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hypebeast/Documents/UTM_3rd_Year/CSC311/"/>
    </mc:Choice>
  </mc:AlternateContent>
  <xr:revisionPtr revIDLastSave="0" documentId="13_ncr:9_{7D8F61C5-2D7C-464A-9B3D-FB7E1D20CC0A}" xr6:coauthVersionLast="47" xr6:coauthVersionMax="47" xr10:uidLastSave="{00000000-0000-0000-0000-000000000000}"/>
  <bookViews>
    <workbookView xWindow="1020" yWindow="620" windowWidth="28100" windowHeight="16300" xr2:uid="{4A2632BB-B32E-F040-9828-E1D66C1D6939}"/>
  </bookViews>
  <sheets>
    <sheet name="ml_challenge_dataset" sheetId="1" r:id="rId1"/>
    <sheet name="EDA" sheetId="2" r:id="rId2"/>
  </sheets>
  <calcPr calcId="0"/>
</workbook>
</file>

<file path=xl/calcChain.xml><?xml version="1.0" encoding="utf-8"?>
<calcChain xmlns="http://schemas.openxmlformats.org/spreadsheetml/2006/main">
  <c r="D43" i="2" l="1" a="1"/>
  <c r="D43" i="2" s="1"/>
  <c r="C43" i="2" a="1"/>
  <c r="C43" i="2" s="1"/>
  <c r="B43" i="2" a="1"/>
  <c r="B43" i="2" s="1"/>
  <c r="D41" i="2" a="1"/>
  <c r="D41" i="2" s="1"/>
  <c r="C41" i="2" a="1"/>
  <c r="C41" i="2" s="1"/>
  <c r="B41" i="2" a="1"/>
  <c r="B41" i="2" s="1"/>
  <c r="D39" i="2" a="1"/>
  <c r="D39" i="2" s="1"/>
  <c r="C39" i="2" a="1"/>
  <c r="C39" i="2" s="1"/>
  <c r="B39" i="2" a="1"/>
  <c r="B39" i="2" s="1"/>
  <c r="D37" i="2" a="1"/>
  <c r="D37" i="2" s="1"/>
  <c r="C37" i="2" a="1"/>
  <c r="C37" i="2" s="1"/>
  <c r="B37" i="2" a="1"/>
  <c r="B37" i="2" s="1"/>
  <c r="B35" i="2" a="1"/>
  <c r="B35" i="2" s="1"/>
  <c r="D42" i="2"/>
  <c r="C42" i="2"/>
  <c r="B42" i="2"/>
  <c r="D40" i="2"/>
  <c r="B40" i="2"/>
  <c r="C40" i="2"/>
  <c r="D38" i="2"/>
  <c r="C38" i="2"/>
  <c r="B38" i="2"/>
  <c r="D36" i="2"/>
  <c r="B36" i="2"/>
  <c r="C36" i="2"/>
  <c r="B34" i="2"/>
  <c r="D35" i="2" a="1"/>
  <c r="D35" i="2" s="1"/>
  <c r="C35" i="2" a="1"/>
  <c r="C35" i="2" s="1"/>
  <c r="D33" i="2" a="1"/>
  <c r="D33" i="2" s="1"/>
  <c r="C33" i="2" a="1"/>
  <c r="C33" i="2" s="1"/>
  <c r="B33" i="2" a="1"/>
  <c r="B33" i="2" s="1"/>
  <c r="D31" i="2" a="1"/>
  <c r="D31" i="2" s="1"/>
  <c r="C31" i="2" a="1"/>
  <c r="C31" i="2" s="1"/>
  <c r="B31" i="2" a="1"/>
  <c r="B31" i="2" s="1"/>
  <c r="D29" i="2" a="1"/>
  <c r="D29" i="2" s="1"/>
  <c r="C29" i="2" a="1"/>
  <c r="C29" i="2" s="1"/>
  <c r="B29" i="2" a="1"/>
  <c r="B29" i="2" s="1"/>
  <c r="B30" i="2"/>
  <c r="C30" i="2"/>
  <c r="D27" i="2" a="1"/>
  <c r="D27" i="2" s="1"/>
  <c r="C27" i="2" a="1"/>
  <c r="C27" i="2" s="1"/>
  <c r="B27" i="2" a="1"/>
  <c r="B27" i="2" s="1"/>
  <c r="B25" i="2" a="1"/>
  <c r="B25" i="2" s="1"/>
  <c r="D34" i="2"/>
  <c r="C34" i="2"/>
  <c r="D32" i="2"/>
  <c r="C32" i="2"/>
  <c r="B32" i="2"/>
  <c r="D30" i="2"/>
  <c r="D28" i="2"/>
  <c r="C28" i="2"/>
  <c r="B28" i="2"/>
  <c r="D26" i="2"/>
  <c r="C26" i="2"/>
  <c r="B26" i="2"/>
  <c r="AI1686" i="1"/>
  <c r="AI1685" i="1"/>
  <c r="AI1684" i="1"/>
  <c r="AI1683" i="1"/>
  <c r="AI1682" i="1"/>
  <c r="AI1681" i="1"/>
  <c r="AI1680" i="1"/>
  <c r="AI1679" i="1"/>
  <c r="AI1678" i="1"/>
  <c r="AI1677" i="1"/>
  <c r="AI1676" i="1"/>
  <c r="AI1675" i="1"/>
  <c r="AI1674" i="1"/>
  <c r="AI1673" i="1"/>
  <c r="AI1672" i="1"/>
  <c r="AI1671" i="1"/>
  <c r="AI1670" i="1"/>
  <c r="AI1669" i="1"/>
  <c r="AI1668" i="1"/>
  <c r="AI1667" i="1"/>
  <c r="AI1666" i="1"/>
  <c r="AI1665" i="1"/>
  <c r="AI1664" i="1"/>
  <c r="AI1663" i="1"/>
  <c r="AI1662" i="1"/>
  <c r="AI1661" i="1"/>
  <c r="AI1660" i="1"/>
  <c r="AI1659" i="1"/>
  <c r="AI1658" i="1"/>
  <c r="AI1657" i="1"/>
  <c r="AI1656" i="1"/>
  <c r="AI1655" i="1"/>
  <c r="AI1654" i="1"/>
  <c r="AI1653" i="1"/>
  <c r="AI1652" i="1"/>
  <c r="AI1651" i="1"/>
  <c r="AI1650" i="1"/>
  <c r="AI1649" i="1"/>
  <c r="AI1648" i="1"/>
  <c r="AI1647" i="1"/>
  <c r="AI1646" i="1"/>
  <c r="AI1645" i="1"/>
  <c r="AI1644" i="1"/>
  <c r="AI1643" i="1"/>
  <c r="AI1642" i="1"/>
  <c r="AI1641" i="1"/>
  <c r="AI1640" i="1"/>
  <c r="AI1639" i="1"/>
  <c r="AI1638" i="1"/>
  <c r="AI1637" i="1"/>
  <c r="AI1636" i="1"/>
  <c r="AI1635" i="1"/>
  <c r="AI1634" i="1"/>
  <c r="AI1633" i="1"/>
  <c r="AI1632" i="1"/>
  <c r="AI1631" i="1"/>
  <c r="AI1630" i="1"/>
  <c r="AI1629" i="1"/>
  <c r="AI1628" i="1"/>
  <c r="AI1627" i="1"/>
  <c r="AI1626" i="1"/>
  <c r="AI1625" i="1"/>
  <c r="AI1624" i="1"/>
  <c r="AI1623" i="1"/>
  <c r="AI1622" i="1"/>
  <c r="AI1621" i="1"/>
  <c r="AI1620" i="1"/>
  <c r="AI1619" i="1"/>
  <c r="AI1618" i="1"/>
  <c r="AI1617" i="1"/>
  <c r="AI1616" i="1"/>
  <c r="AI1615" i="1"/>
  <c r="AI1614" i="1"/>
  <c r="AI1613" i="1"/>
  <c r="AI1612" i="1"/>
  <c r="AI1611" i="1"/>
  <c r="AI1610" i="1"/>
  <c r="AI1609" i="1"/>
  <c r="AI1608" i="1"/>
  <c r="AI1607" i="1"/>
  <c r="AI1606" i="1"/>
  <c r="AI1605" i="1"/>
  <c r="AI1604" i="1"/>
  <c r="AI1603" i="1"/>
  <c r="AI1602" i="1"/>
  <c r="AI1601" i="1"/>
  <c r="AI1600" i="1"/>
  <c r="AI1599" i="1"/>
  <c r="AI1598" i="1"/>
  <c r="AI1597" i="1"/>
  <c r="AI1596" i="1"/>
  <c r="AI1595" i="1"/>
  <c r="AI1594" i="1"/>
  <c r="AI1593" i="1"/>
  <c r="AI1592" i="1"/>
  <c r="AI1591" i="1"/>
  <c r="AI1590" i="1"/>
  <c r="AI1589" i="1"/>
  <c r="AI1588" i="1"/>
  <c r="AI1587" i="1"/>
  <c r="AI1586" i="1"/>
  <c r="AI1585" i="1"/>
  <c r="AI1584" i="1"/>
  <c r="AI1583" i="1"/>
  <c r="AI1582" i="1"/>
  <c r="AI1581" i="1"/>
  <c r="AI1580" i="1"/>
  <c r="AI1579" i="1"/>
  <c r="AI1578" i="1"/>
  <c r="AI1577" i="1"/>
  <c r="AI1576" i="1"/>
  <c r="AI1575" i="1"/>
  <c r="AI1574" i="1"/>
  <c r="AI1573" i="1"/>
  <c r="AI1572" i="1"/>
  <c r="AI1571" i="1"/>
  <c r="AI1570" i="1"/>
  <c r="AI1569" i="1"/>
  <c r="AI1568" i="1"/>
  <c r="AI1567" i="1"/>
  <c r="AI1566" i="1"/>
  <c r="AI1565" i="1"/>
  <c r="AI1564" i="1"/>
  <c r="AI1563" i="1"/>
  <c r="AI1562" i="1"/>
  <c r="AI1561" i="1"/>
  <c r="AI1560" i="1"/>
  <c r="AI1559" i="1"/>
  <c r="AI1558" i="1"/>
  <c r="AI1557" i="1"/>
  <c r="AI1556" i="1"/>
  <c r="AI1555" i="1"/>
  <c r="AI1554" i="1"/>
  <c r="AI1553" i="1"/>
  <c r="AI1552" i="1"/>
  <c r="AI1551" i="1"/>
  <c r="AI1550" i="1"/>
  <c r="AI1549" i="1"/>
  <c r="AI1548" i="1"/>
  <c r="AI1547" i="1"/>
  <c r="AI1546" i="1"/>
  <c r="AI1545" i="1"/>
  <c r="AI1544" i="1"/>
  <c r="AI1543" i="1"/>
  <c r="AI1542" i="1"/>
  <c r="AI1541" i="1"/>
  <c r="AI1540" i="1"/>
  <c r="AI1539" i="1"/>
  <c r="AI1538" i="1"/>
  <c r="AI1537" i="1"/>
  <c r="AI1536" i="1"/>
  <c r="AI1535" i="1"/>
  <c r="AI1534" i="1"/>
  <c r="AI1533" i="1"/>
  <c r="AI1532" i="1"/>
  <c r="AI1531" i="1"/>
  <c r="AI1530" i="1"/>
  <c r="AI1529" i="1"/>
  <c r="AI1528" i="1"/>
  <c r="AI1527" i="1"/>
  <c r="AI1526" i="1"/>
  <c r="AI1525" i="1"/>
  <c r="AI1524" i="1"/>
  <c r="AI1523" i="1"/>
  <c r="AI1522" i="1"/>
  <c r="AI1521" i="1"/>
  <c r="AI1520" i="1"/>
  <c r="AI1519" i="1"/>
  <c r="AI1518" i="1"/>
  <c r="AI1517" i="1"/>
  <c r="AI1516" i="1"/>
  <c r="AI1515" i="1"/>
  <c r="AI1514" i="1"/>
  <c r="AI1513" i="1"/>
  <c r="AI1512" i="1"/>
  <c r="AI1511" i="1"/>
  <c r="AI1510" i="1"/>
  <c r="AI1509" i="1"/>
  <c r="AI1508" i="1"/>
  <c r="AI1507" i="1"/>
  <c r="AI1506" i="1"/>
  <c r="AI1505" i="1"/>
  <c r="AI1504" i="1"/>
  <c r="AI1503" i="1"/>
  <c r="AI1502" i="1"/>
  <c r="AI1501" i="1"/>
  <c r="AI1500" i="1"/>
  <c r="AI1499" i="1"/>
  <c r="AI1498" i="1"/>
  <c r="AI1497" i="1"/>
  <c r="AI1496" i="1"/>
  <c r="AI1495" i="1"/>
  <c r="AI1494" i="1"/>
  <c r="AI1493" i="1"/>
  <c r="AI1492" i="1"/>
  <c r="AI1491" i="1"/>
  <c r="AI1490" i="1"/>
  <c r="AI1489" i="1"/>
  <c r="AI1488" i="1"/>
  <c r="AI1487" i="1"/>
  <c r="AI1486" i="1"/>
  <c r="AI1485" i="1"/>
  <c r="AI1484" i="1"/>
  <c r="AI1483" i="1"/>
  <c r="AI1482" i="1"/>
  <c r="AI1481" i="1"/>
  <c r="AI1480" i="1"/>
  <c r="AI1479" i="1"/>
  <c r="AI1478" i="1"/>
  <c r="AI1477" i="1"/>
  <c r="AI1476" i="1"/>
  <c r="AI1475" i="1"/>
  <c r="AI1474" i="1"/>
  <c r="AI1473" i="1"/>
  <c r="AI1472" i="1"/>
  <c r="AI1471" i="1"/>
  <c r="AI1470" i="1"/>
  <c r="AI1469" i="1"/>
  <c r="AI1468" i="1"/>
  <c r="AI1467" i="1"/>
  <c r="AI1466" i="1"/>
  <c r="AI1465" i="1"/>
  <c r="AI1464" i="1"/>
  <c r="AI1463" i="1"/>
  <c r="AI1462" i="1"/>
  <c r="AI1461" i="1"/>
  <c r="AI1460" i="1"/>
  <c r="AI1459" i="1"/>
  <c r="AI1458" i="1"/>
  <c r="AI1457" i="1"/>
  <c r="AI1456" i="1"/>
  <c r="AI1455" i="1"/>
  <c r="AI1454" i="1"/>
  <c r="AI1453" i="1"/>
  <c r="AI1452" i="1"/>
  <c r="AI1451" i="1"/>
  <c r="AI1450" i="1"/>
  <c r="AI1449" i="1"/>
  <c r="AI1448" i="1"/>
  <c r="AI1447" i="1"/>
  <c r="AI1446" i="1"/>
  <c r="AI1445" i="1"/>
  <c r="AI1444" i="1"/>
  <c r="AI1443" i="1"/>
  <c r="AI1442" i="1"/>
  <c r="AI1441" i="1"/>
  <c r="AI1440" i="1"/>
  <c r="AI1439" i="1"/>
  <c r="AI1438" i="1"/>
  <c r="AI1437" i="1"/>
  <c r="AI1436" i="1"/>
  <c r="AI1435" i="1"/>
  <c r="AI1434" i="1"/>
  <c r="AI1433" i="1"/>
  <c r="AI1432" i="1"/>
  <c r="AI1431" i="1"/>
  <c r="AI1430" i="1"/>
  <c r="AI1429" i="1"/>
  <c r="AI1428" i="1"/>
  <c r="AI1427" i="1"/>
  <c r="AI1426" i="1"/>
  <c r="AI1425" i="1"/>
  <c r="AI1424" i="1"/>
  <c r="AI1423" i="1"/>
  <c r="AI1422" i="1"/>
  <c r="AI1421" i="1"/>
  <c r="AI1420" i="1"/>
  <c r="AI1419" i="1"/>
  <c r="AI1418" i="1"/>
  <c r="AI1417" i="1"/>
  <c r="AI1416" i="1"/>
  <c r="AI1415" i="1"/>
  <c r="AI1414" i="1"/>
  <c r="AI1413" i="1"/>
  <c r="AI1412" i="1"/>
  <c r="AI1411" i="1"/>
  <c r="AI1410" i="1"/>
  <c r="AI1409" i="1"/>
  <c r="AI1408" i="1"/>
  <c r="AI1407" i="1"/>
  <c r="AI1406" i="1"/>
  <c r="AI1405" i="1"/>
  <c r="AI1404" i="1"/>
  <c r="AI1403" i="1"/>
  <c r="AI1402" i="1"/>
  <c r="AI1401" i="1"/>
  <c r="AI1400" i="1"/>
  <c r="AI1399" i="1"/>
  <c r="AI1398" i="1"/>
  <c r="AI1397" i="1"/>
  <c r="AI1396" i="1"/>
  <c r="AI1395" i="1"/>
  <c r="AI1394" i="1"/>
  <c r="AI1393" i="1"/>
  <c r="AI1392" i="1"/>
  <c r="AI1391" i="1"/>
  <c r="AI1390" i="1"/>
  <c r="AI1389" i="1"/>
  <c r="AI1388" i="1"/>
  <c r="AI1387" i="1"/>
  <c r="AI1386" i="1"/>
  <c r="AI1385" i="1"/>
  <c r="AI1384" i="1"/>
  <c r="AI1383" i="1"/>
  <c r="AI1382" i="1"/>
  <c r="AI1381" i="1"/>
  <c r="AI1380" i="1"/>
  <c r="AI1379" i="1"/>
  <c r="AI1378" i="1"/>
  <c r="AI1377" i="1"/>
  <c r="AI1376" i="1"/>
  <c r="AI1375" i="1"/>
  <c r="AI1374" i="1"/>
  <c r="AI1373" i="1"/>
  <c r="AI1372" i="1"/>
  <c r="AI1371" i="1"/>
  <c r="AI1370" i="1"/>
  <c r="AI1369" i="1"/>
  <c r="AI1368" i="1"/>
  <c r="AI1367" i="1"/>
  <c r="AI1366" i="1"/>
  <c r="AI1365" i="1"/>
  <c r="AI1364" i="1"/>
  <c r="AI1363" i="1"/>
  <c r="AI1362" i="1"/>
  <c r="AI1361" i="1"/>
  <c r="AI1360" i="1"/>
  <c r="AI1359" i="1"/>
  <c r="AI1358" i="1"/>
  <c r="AI1357" i="1"/>
  <c r="AI1356" i="1"/>
  <c r="AI1355" i="1"/>
  <c r="AI1354" i="1"/>
  <c r="AI1353" i="1"/>
  <c r="AI1352" i="1"/>
  <c r="AI1351" i="1"/>
  <c r="AI1350" i="1"/>
  <c r="AI1349" i="1"/>
  <c r="AI1348" i="1"/>
  <c r="AI1347" i="1"/>
  <c r="AI1346" i="1"/>
  <c r="AI1345" i="1"/>
  <c r="AI1344" i="1"/>
  <c r="AI1343" i="1"/>
  <c r="AI1342" i="1"/>
  <c r="AI1341" i="1"/>
  <c r="AI1340" i="1"/>
  <c r="AI1339" i="1"/>
  <c r="AI1338" i="1"/>
  <c r="AI1337" i="1"/>
  <c r="AI1336" i="1"/>
  <c r="AI1335" i="1"/>
  <c r="AI1334" i="1"/>
  <c r="AI1333" i="1"/>
  <c r="AI1332" i="1"/>
  <c r="AI1331" i="1"/>
  <c r="AI1330" i="1"/>
  <c r="AI1329" i="1"/>
  <c r="AI1328" i="1"/>
  <c r="AI1327" i="1"/>
  <c r="AI1326" i="1"/>
  <c r="AI1325" i="1"/>
  <c r="AI1324" i="1"/>
  <c r="AI1323" i="1"/>
  <c r="AI1322" i="1"/>
  <c r="AI1321" i="1"/>
  <c r="AI1320" i="1"/>
  <c r="AI1319" i="1"/>
  <c r="AI1318" i="1"/>
  <c r="AI1317" i="1"/>
  <c r="AI1316" i="1"/>
  <c r="AI1315" i="1"/>
  <c r="AI1314" i="1"/>
  <c r="AI1313" i="1"/>
  <c r="AI1312" i="1"/>
  <c r="AI1311" i="1"/>
  <c r="AI1310" i="1"/>
  <c r="AI1309" i="1"/>
  <c r="AI1308" i="1"/>
  <c r="AI1307" i="1"/>
  <c r="AI1306" i="1"/>
  <c r="AI1305" i="1"/>
  <c r="AI1304" i="1"/>
  <c r="AI1303" i="1"/>
  <c r="AI1302" i="1"/>
  <c r="AI1301" i="1"/>
  <c r="AI1300" i="1"/>
  <c r="AI1299" i="1"/>
  <c r="AI1298" i="1"/>
  <c r="AI1297" i="1"/>
  <c r="AI1296" i="1"/>
  <c r="AI1295" i="1"/>
  <c r="AI1294" i="1"/>
  <c r="AI1293" i="1"/>
  <c r="AI1292" i="1"/>
  <c r="AI1291" i="1"/>
  <c r="AI1290" i="1"/>
  <c r="AI1289" i="1"/>
  <c r="AI1288" i="1"/>
  <c r="AI1287" i="1"/>
  <c r="AI1286" i="1"/>
  <c r="AI1285" i="1"/>
  <c r="AI1284" i="1"/>
  <c r="AI1283" i="1"/>
  <c r="AI1282" i="1"/>
  <c r="AI1281" i="1"/>
  <c r="AI1280" i="1"/>
  <c r="AI1279" i="1"/>
  <c r="AI1278" i="1"/>
  <c r="AI1277" i="1"/>
  <c r="AI1276" i="1"/>
  <c r="AI1275" i="1"/>
  <c r="AI1274" i="1"/>
  <c r="AI1273" i="1"/>
  <c r="AI1272" i="1"/>
  <c r="AI1271" i="1"/>
  <c r="AI1270" i="1"/>
  <c r="AI1269" i="1"/>
  <c r="AI1268" i="1"/>
  <c r="AI1267" i="1"/>
  <c r="AI1266" i="1"/>
  <c r="AI1265" i="1"/>
  <c r="AI1264" i="1"/>
  <c r="AI1263" i="1"/>
  <c r="AI1262" i="1"/>
  <c r="AI1261" i="1"/>
  <c r="AI1260" i="1"/>
  <c r="AI1259" i="1"/>
  <c r="AI1258" i="1"/>
  <c r="AI1257" i="1"/>
  <c r="AI1256" i="1"/>
  <c r="AI1255" i="1"/>
  <c r="AI1254" i="1"/>
  <c r="AI1253" i="1"/>
  <c r="AI1252" i="1"/>
  <c r="AI1251" i="1"/>
  <c r="AI1250" i="1"/>
  <c r="AI1249" i="1"/>
  <c r="AI1248" i="1"/>
  <c r="AI1247" i="1"/>
  <c r="AI1246" i="1"/>
  <c r="AI1245" i="1"/>
  <c r="AI1244" i="1"/>
  <c r="AI1243" i="1"/>
  <c r="AI1242" i="1"/>
  <c r="AI1241" i="1"/>
  <c r="AI1240" i="1"/>
  <c r="AI1239" i="1"/>
  <c r="AI1238" i="1"/>
  <c r="AI1237" i="1"/>
  <c r="AI1236" i="1"/>
  <c r="AI1235" i="1"/>
  <c r="AI1234" i="1"/>
  <c r="AI1233" i="1"/>
  <c r="AI1232" i="1"/>
  <c r="AI1231" i="1"/>
  <c r="AI1230" i="1"/>
  <c r="AI1229" i="1"/>
  <c r="AI1228" i="1"/>
  <c r="AI1227" i="1"/>
  <c r="AI1226" i="1"/>
  <c r="AI1225" i="1"/>
  <c r="AI1224" i="1"/>
  <c r="AI1223" i="1"/>
  <c r="AI1222" i="1"/>
  <c r="AI1221" i="1"/>
  <c r="AI1220" i="1"/>
  <c r="AI1219" i="1"/>
  <c r="AI1218" i="1"/>
  <c r="AI1217" i="1"/>
  <c r="AI1216" i="1"/>
  <c r="AI1215" i="1"/>
  <c r="AI1214" i="1"/>
  <c r="AI1213" i="1"/>
  <c r="AI1212" i="1"/>
  <c r="AI1211" i="1"/>
  <c r="AI1210" i="1"/>
  <c r="AI1209" i="1"/>
  <c r="AI1208" i="1"/>
  <c r="AI1207" i="1"/>
  <c r="AI1206" i="1"/>
  <c r="AI1205" i="1"/>
  <c r="AI1204" i="1"/>
  <c r="AI1203" i="1"/>
  <c r="AI1202" i="1"/>
  <c r="AI1201" i="1"/>
  <c r="AI1200" i="1"/>
  <c r="AI1199" i="1"/>
  <c r="AI1198" i="1"/>
  <c r="AI1197" i="1"/>
  <c r="AI1196" i="1"/>
  <c r="AI1195" i="1"/>
  <c r="AI1194" i="1"/>
  <c r="AI1193" i="1"/>
  <c r="AI1192" i="1"/>
  <c r="AI1191" i="1"/>
  <c r="AI1190" i="1"/>
  <c r="AI1189" i="1"/>
  <c r="AI1188" i="1"/>
  <c r="AI1187" i="1"/>
  <c r="AI1186" i="1"/>
  <c r="AI1185" i="1"/>
  <c r="AI1184" i="1"/>
  <c r="AI1183" i="1"/>
  <c r="AI1182" i="1"/>
  <c r="AI1181" i="1"/>
  <c r="AI1180" i="1"/>
  <c r="AI1179" i="1"/>
  <c r="AI1178" i="1"/>
  <c r="AI1177" i="1"/>
  <c r="AI1176" i="1"/>
  <c r="AI1175" i="1"/>
  <c r="AI1174" i="1"/>
  <c r="AI1173" i="1"/>
  <c r="AI1172" i="1"/>
  <c r="AI1171" i="1"/>
  <c r="AI1170" i="1"/>
  <c r="AI1169" i="1"/>
  <c r="AI1168" i="1"/>
  <c r="AI1167" i="1"/>
  <c r="AI1166" i="1"/>
  <c r="AI1165" i="1"/>
  <c r="AI1164" i="1"/>
  <c r="AI1163" i="1"/>
  <c r="AI1162" i="1"/>
  <c r="AI1161" i="1"/>
  <c r="AI1160" i="1"/>
  <c r="AI1159" i="1"/>
  <c r="AI1158" i="1"/>
  <c r="AI1157" i="1"/>
  <c r="AI1156" i="1"/>
  <c r="AI1155" i="1"/>
  <c r="AI1154" i="1"/>
  <c r="AI1153" i="1"/>
  <c r="AI1152" i="1"/>
  <c r="AI1151" i="1"/>
  <c r="AI1150" i="1"/>
  <c r="AI1149" i="1"/>
  <c r="AI1148" i="1"/>
  <c r="AI1147" i="1"/>
  <c r="AI1146" i="1"/>
  <c r="AI1145" i="1"/>
  <c r="AI1144" i="1"/>
  <c r="AI1143" i="1"/>
  <c r="AI1142" i="1"/>
  <c r="AI1141" i="1"/>
  <c r="AI1140" i="1"/>
  <c r="AI1139" i="1"/>
  <c r="AI1138" i="1"/>
  <c r="AI1137" i="1"/>
  <c r="AI1136" i="1"/>
  <c r="AI1135" i="1"/>
  <c r="AI1134" i="1"/>
  <c r="AI1133" i="1"/>
  <c r="AI1132" i="1"/>
  <c r="AI1131" i="1"/>
  <c r="AI1130" i="1"/>
  <c r="AI1129" i="1"/>
  <c r="AI1128" i="1"/>
  <c r="AI1127" i="1"/>
  <c r="AI1126" i="1"/>
  <c r="AI1125" i="1"/>
  <c r="AI1124" i="1"/>
  <c r="AI1123" i="1"/>
  <c r="AI1122" i="1"/>
  <c r="AI1121" i="1"/>
  <c r="AI1120" i="1"/>
  <c r="AI1119" i="1"/>
  <c r="AI1118" i="1"/>
  <c r="AI1117" i="1"/>
  <c r="AI1116" i="1"/>
  <c r="AI1115" i="1"/>
  <c r="AI1114" i="1"/>
  <c r="AI1113" i="1"/>
  <c r="AI1112" i="1"/>
  <c r="AI1111" i="1"/>
  <c r="AI1110" i="1"/>
  <c r="AI1109" i="1"/>
  <c r="AI1108" i="1"/>
  <c r="AI1107" i="1"/>
  <c r="AI1106" i="1"/>
  <c r="AI1105" i="1"/>
  <c r="AI1104" i="1"/>
  <c r="AI1103" i="1"/>
  <c r="AI1102" i="1"/>
  <c r="AI1101" i="1"/>
  <c r="AI1100" i="1"/>
  <c r="AI1099" i="1"/>
  <c r="AI1098" i="1"/>
  <c r="AI1097" i="1"/>
  <c r="AI1096" i="1"/>
  <c r="AI1095" i="1"/>
  <c r="AI1094" i="1"/>
  <c r="AI1093" i="1"/>
  <c r="AI1092" i="1"/>
  <c r="AI1091" i="1"/>
  <c r="AI1090" i="1"/>
  <c r="AI1089" i="1"/>
  <c r="AI1088" i="1"/>
  <c r="AI1087" i="1"/>
  <c r="AI1086" i="1"/>
  <c r="AI1085" i="1"/>
  <c r="AI1084" i="1"/>
  <c r="AI1083" i="1"/>
  <c r="AI1082" i="1"/>
  <c r="AI1081" i="1"/>
  <c r="AI1080" i="1"/>
  <c r="AI1079" i="1"/>
  <c r="AI1078" i="1"/>
  <c r="AI1077" i="1"/>
  <c r="AI1076" i="1"/>
  <c r="AI1075" i="1"/>
  <c r="AI1074" i="1"/>
  <c r="AI1073" i="1"/>
  <c r="AI1072" i="1"/>
  <c r="AI1071" i="1"/>
  <c r="AI1070" i="1"/>
  <c r="AI1069" i="1"/>
  <c r="AI1068" i="1"/>
  <c r="AI1067" i="1"/>
  <c r="AI1066" i="1"/>
  <c r="AI1065" i="1"/>
  <c r="AI1064" i="1"/>
  <c r="AI1063" i="1"/>
  <c r="AI1062" i="1"/>
  <c r="AI1061" i="1"/>
  <c r="AI1060" i="1"/>
  <c r="AI1059" i="1"/>
  <c r="AI1058" i="1"/>
  <c r="AI1057" i="1"/>
  <c r="AI1056" i="1"/>
  <c r="AI1055" i="1"/>
  <c r="AI1054" i="1"/>
  <c r="AI1053" i="1"/>
  <c r="AI1052" i="1"/>
  <c r="AI1051" i="1"/>
  <c r="AI1050" i="1"/>
  <c r="AI1049" i="1"/>
  <c r="AI1048" i="1"/>
  <c r="AI1047" i="1"/>
  <c r="AI1046" i="1"/>
  <c r="AI1045" i="1"/>
  <c r="AI1044" i="1"/>
  <c r="AI1043" i="1"/>
  <c r="AI1042" i="1"/>
  <c r="AI1041" i="1"/>
  <c r="AI1040" i="1"/>
  <c r="AI1039" i="1"/>
  <c r="AI1038" i="1"/>
  <c r="AI1037" i="1"/>
  <c r="AI1036" i="1"/>
  <c r="AI1035" i="1"/>
  <c r="AI1034" i="1"/>
  <c r="AI1033" i="1"/>
  <c r="AI1032" i="1"/>
  <c r="AI1031" i="1"/>
  <c r="AI1030" i="1"/>
  <c r="AI1029" i="1"/>
  <c r="AI1028" i="1"/>
  <c r="AI1027" i="1"/>
  <c r="AI1026" i="1"/>
  <c r="AI1025" i="1"/>
  <c r="AI1024" i="1"/>
  <c r="AI1023" i="1"/>
  <c r="AI1022" i="1"/>
  <c r="AI1021" i="1"/>
  <c r="AI1020" i="1"/>
  <c r="AI1019" i="1"/>
  <c r="AI1018" i="1"/>
  <c r="AI1017" i="1"/>
  <c r="AI1016" i="1"/>
  <c r="AI1015" i="1"/>
  <c r="AI1014" i="1"/>
  <c r="AI1013" i="1"/>
  <c r="AI1012" i="1"/>
  <c r="AI1011" i="1"/>
  <c r="AI1010" i="1"/>
  <c r="AI1009" i="1"/>
  <c r="AI1008" i="1"/>
  <c r="AI1007" i="1"/>
  <c r="AI1006" i="1"/>
  <c r="AI1005" i="1"/>
  <c r="AI1004" i="1"/>
  <c r="AI1003" i="1"/>
  <c r="AI1002" i="1"/>
  <c r="AI1001" i="1"/>
  <c r="AI1000" i="1"/>
  <c r="AI999" i="1"/>
  <c r="AI998" i="1"/>
  <c r="AI997" i="1"/>
  <c r="AI996" i="1"/>
  <c r="AI995" i="1"/>
  <c r="AI994" i="1"/>
  <c r="AI993" i="1"/>
  <c r="AI992" i="1"/>
  <c r="AI991" i="1"/>
  <c r="AI990" i="1"/>
  <c r="AI989" i="1"/>
  <c r="AI988" i="1"/>
  <c r="AI987" i="1"/>
  <c r="AI986" i="1"/>
  <c r="AI985" i="1"/>
  <c r="AI984" i="1"/>
  <c r="AI983" i="1"/>
  <c r="AI982" i="1"/>
  <c r="AI981" i="1"/>
  <c r="AI980" i="1"/>
  <c r="AI979" i="1"/>
  <c r="AI978" i="1"/>
  <c r="AI977" i="1"/>
  <c r="AI976" i="1"/>
  <c r="AI975" i="1"/>
  <c r="AI974" i="1"/>
  <c r="AI973" i="1"/>
  <c r="AI972" i="1"/>
  <c r="AI971" i="1"/>
  <c r="AI970" i="1"/>
  <c r="AI969" i="1"/>
  <c r="AI968" i="1"/>
  <c r="AI967" i="1"/>
  <c r="AI966" i="1"/>
  <c r="AI965" i="1"/>
  <c r="AI964" i="1"/>
  <c r="AI963" i="1"/>
  <c r="AI962" i="1"/>
  <c r="AI961" i="1"/>
  <c r="AI960" i="1"/>
  <c r="AI959" i="1"/>
  <c r="AI958" i="1"/>
  <c r="AI957" i="1"/>
  <c r="AI956" i="1"/>
  <c r="AI955" i="1"/>
  <c r="AI954" i="1"/>
  <c r="AI953" i="1"/>
  <c r="AI952" i="1"/>
  <c r="AI951" i="1"/>
  <c r="AI950" i="1"/>
  <c r="AI949" i="1"/>
  <c r="AI948" i="1"/>
  <c r="AI947" i="1"/>
  <c r="AI946" i="1"/>
  <c r="AI945" i="1"/>
  <c r="AI944" i="1"/>
  <c r="AI943" i="1"/>
  <c r="AI942" i="1"/>
  <c r="AI941" i="1"/>
  <c r="AI940" i="1"/>
  <c r="AI939" i="1"/>
  <c r="AI938" i="1"/>
  <c r="AI937" i="1"/>
  <c r="AI936" i="1"/>
  <c r="AI935" i="1"/>
  <c r="AI934" i="1"/>
  <c r="AI933" i="1"/>
  <c r="AI932" i="1"/>
  <c r="AI931" i="1"/>
  <c r="AI930" i="1"/>
  <c r="AI929" i="1"/>
  <c r="AI928" i="1"/>
  <c r="AI927" i="1"/>
  <c r="AI926" i="1"/>
  <c r="AI925" i="1"/>
  <c r="AI924" i="1"/>
  <c r="AI923" i="1"/>
  <c r="AI922" i="1"/>
  <c r="AI921" i="1"/>
  <c r="AI920" i="1"/>
  <c r="AI919" i="1"/>
  <c r="AI918" i="1"/>
  <c r="AI917" i="1"/>
  <c r="AI916" i="1"/>
  <c r="AI915" i="1"/>
  <c r="AI914" i="1"/>
  <c r="AI913" i="1"/>
  <c r="AI912" i="1"/>
  <c r="AI911" i="1"/>
  <c r="AI910" i="1"/>
  <c r="AI909" i="1"/>
  <c r="AI908" i="1"/>
  <c r="AI907" i="1"/>
  <c r="AI906" i="1"/>
  <c r="AI905" i="1"/>
  <c r="AI904" i="1"/>
  <c r="AI903" i="1"/>
  <c r="AI902" i="1"/>
  <c r="AI901" i="1"/>
  <c r="AI900" i="1"/>
  <c r="AI899" i="1"/>
  <c r="AI898" i="1"/>
  <c r="AI897" i="1"/>
  <c r="AI896" i="1"/>
  <c r="AI895" i="1"/>
  <c r="AI894" i="1"/>
  <c r="AI893" i="1"/>
  <c r="AI892" i="1"/>
  <c r="AI891" i="1"/>
  <c r="AI890" i="1"/>
  <c r="AI889" i="1"/>
  <c r="AI888" i="1"/>
  <c r="AI887" i="1"/>
  <c r="AI886" i="1"/>
  <c r="AI885" i="1"/>
  <c r="AI884" i="1"/>
  <c r="AI883" i="1"/>
  <c r="AI882" i="1"/>
  <c r="AI881" i="1"/>
  <c r="AI880" i="1"/>
  <c r="AI879" i="1"/>
  <c r="AI878" i="1"/>
  <c r="AI877" i="1"/>
  <c r="AI876" i="1"/>
  <c r="AI875" i="1"/>
  <c r="AI874" i="1"/>
  <c r="AI873" i="1"/>
  <c r="AI872" i="1"/>
  <c r="AI871" i="1"/>
  <c r="AI870" i="1"/>
  <c r="AI869" i="1"/>
  <c r="AI868" i="1"/>
  <c r="AI867" i="1"/>
  <c r="AI866" i="1"/>
  <c r="AI865" i="1"/>
  <c r="AI864" i="1"/>
  <c r="AI863" i="1"/>
  <c r="AI862" i="1"/>
  <c r="AI861" i="1"/>
  <c r="AI860" i="1"/>
  <c r="AI859" i="1"/>
  <c r="AI858" i="1"/>
  <c r="AI857" i="1"/>
  <c r="AI856" i="1"/>
  <c r="AI855" i="1"/>
  <c r="AI854" i="1"/>
  <c r="AI853" i="1"/>
  <c r="AI852" i="1"/>
  <c r="AI851" i="1"/>
  <c r="AI850" i="1"/>
  <c r="AI849" i="1"/>
  <c r="AI848" i="1"/>
  <c r="AI847" i="1"/>
  <c r="AI846" i="1"/>
  <c r="AI845" i="1"/>
  <c r="AI844" i="1"/>
  <c r="AI843" i="1"/>
  <c r="AI842" i="1"/>
  <c r="AI841" i="1"/>
  <c r="AI840" i="1"/>
  <c r="AI839" i="1"/>
  <c r="AI838" i="1"/>
  <c r="AI837" i="1"/>
  <c r="AI836" i="1"/>
  <c r="AI835" i="1"/>
  <c r="AI834" i="1"/>
  <c r="AI833" i="1"/>
  <c r="AI832" i="1"/>
  <c r="AI831" i="1"/>
  <c r="AI830" i="1"/>
  <c r="AI829" i="1"/>
  <c r="AI828" i="1"/>
  <c r="AI827" i="1"/>
  <c r="AI826" i="1"/>
  <c r="AI825" i="1"/>
  <c r="AI824" i="1"/>
  <c r="AI823" i="1"/>
  <c r="AI822" i="1"/>
  <c r="AI821" i="1"/>
  <c r="AI820" i="1"/>
  <c r="AI819" i="1"/>
  <c r="AI818" i="1"/>
  <c r="AI817" i="1"/>
  <c r="AI816" i="1"/>
  <c r="AI815" i="1"/>
  <c r="AI814" i="1"/>
  <c r="AI813" i="1"/>
  <c r="AI812" i="1"/>
  <c r="AI811" i="1"/>
  <c r="AI810" i="1"/>
  <c r="AI809" i="1"/>
  <c r="AI808" i="1"/>
  <c r="AI807" i="1"/>
  <c r="AI806" i="1"/>
  <c r="AI805" i="1"/>
  <c r="AI804" i="1"/>
  <c r="AI803" i="1"/>
  <c r="AI802" i="1"/>
  <c r="AI801" i="1"/>
  <c r="AI800" i="1"/>
  <c r="AI799" i="1"/>
  <c r="AI798" i="1"/>
  <c r="AI797" i="1"/>
  <c r="AI796" i="1"/>
  <c r="AI795" i="1"/>
  <c r="AI794" i="1"/>
  <c r="AI793" i="1"/>
  <c r="AI792" i="1"/>
  <c r="AI791" i="1"/>
  <c r="AI790" i="1"/>
  <c r="AI789" i="1"/>
  <c r="AI788" i="1"/>
  <c r="AI787" i="1"/>
  <c r="AI786" i="1"/>
  <c r="AI785" i="1"/>
  <c r="AI784" i="1"/>
  <c r="AI783" i="1"/>
  <c r="AI782" i="1"/>
  <c r="AI781" i="1"/>
  <c r="AI780" i="1"/>
  <c r="AI779" i="1"/>
  <c r="AI778" i="1"/>
  <c r="AI777" i="1"/>
  <c r="AI776" i="1"/>
  <c r="AI775" i="1"/>
  <c r="AI774" i="1"/>
  <c r="AI773" i="1"/>
  <c r="AI772" i="1"/>
  <c r="AI771" i="1"/>
  <c r="AI770" i="1"/>
  <c r="AI769" i="1"/>
  <c r="AI768" i="1"/>
  <c r="AI767" i="1"/>
  <c r="AI766" i="1"/>
  <c r="AI765" i="1"/>
  <c r="AI764" i="1"/>
  <c r="AI763" i="1"/>
  <c r="AI762" i="1"/>
  <c r="AI761" i="1"/>
  <c r="AI760" i="1"/>
  <c r="AI759" i="1"/>
  <c r="AI758" i="1"/>
  <c r="AI757" i="1"/>
  <c r="AI756" i="1"/>
  <c r="AI755" i="1"/>
  <c r="AI754" i="1"/>
  <c r="AI753" i="1"/>
  <c r="AI752" i="1"/>
  <c r="AI751" i="1"/>
  <c r="AI750" i="1"/>
  <c r="AI749" i="1"/>
  <c r="AI748" i="1"/>
  <c r="AI747" i="1"/>
  <c r="AI746" i="1"/>
  <c r="AI745" i="1"/>
  <c r="AI744" i="1"/>
  <c r="AI743" i="1"/>
  <c r="AI742" i="1"/>
  <c r="AI741" i="1"/>
  <c r="AI740" i="1"/>
  <c r="AI739" i="1"/>
  <c r="AI738" i="1"/>
  <c r="AI737" i="1"/>
  <c r="AI736" i="1"/>
  <c r="AI735" i="1"/>
  <c r="AI734" i="1"/>
  <c r="AI733" i="1"/>
  <c r="AI732" i="1"/>
  <c r="AI731" i="1"/>
  <c r="AI730" i="1"/>
  <c r="AI729" i="1"/>
  <c r="AI728" i="1"/>
  <c r="AI727" i="1"/>
  <c r="AI726" i="1"/>
  <c r="AI725" i="1"/>
  <c r="AI724" i="1"/>
  <c r="AI723" i="1"/>
  <c r="AI722" i="1"/>
  <c r="AI721" i="1"/>
  <c r="AI720" i="1"/>
  <c r="AI719" i="1"/>
  <c r="AI718" i="1"/>
  <c r="AI717" i="1"/>
  <c r="AI716" i="1"/>
  <c r="AI715" i="1"/>
  <c r="AI714" i="1"/>
  <c r="AI713" i="1"/>
  <c r="AI712" i="1"/>
  <c r="AI711" i="1"/>
  <c r="AI710" i="1"/>
  <c r="AI709" i="1"/>
  <c r="AI708" i="1"/>
  <c r="AI707" i="1"/>
  <c r="AI706" i="1"/>
  <c r="AI705" i="1"/>
  <c r="AI704" i="1"/>
  <c r="AI703" i="1"/>
  <c r="AI702" i="1"/>
  <c r="AI701" i="1"/>
  <c r="AI700" i="1"/>
  <c r="AI699" i="1"/>
  <c r="AI698" i="1"/>
  <c r="AI697" i="1"/>
  <c r="AI696" i="1"/>
  <c r="AI695" i="1"/>
  <c r="AI694" i="1"/>
  <c r="AI693" i="1"/>
  <c r="AI692" i="1"/>
  <c r="AI691" i="1"/>
  <c r="AI690" i="1"/>
  <c r="AI689" i="1"/>
  <c r="AI688" i="1"/>
  <c r="AI687" i="1"/>
  <c r="AI686" i="1"/>
  <c r="AI685" i="1"/>
  <c r="AI684" i="1"/>
  <c r="AI683" i="1"/>
  <c r="AI682" i="1"/>
  <c r="AI681" i="1"/>
  <c r="AI680" i="1"/>
  <c r="AI679" i="1"/>
  <c r="AI678" i="1"/>
  <c r="AI677" i="1"/>
  <c r="AI676" i="1"/>
  <c r="AI675" i="1"/>
  <c r="AI674" i="1"/>
  <c r="AI673" i="1"/>
  <c r="AI672" i="1"/>
  <c r="AI671" i="1"/>
  <c r="AI670" i="1"/>
  <c r="AI669" i="1"/>
  <c r="AI668" i="1"/>
  <c r="AI667" i="1"/>
  <c r="AI666" i="1"/>
  <c r="AI665" i="1"/>
  <c r="AI664" i="1"/>
  <c r="AI663" i="1"/>
  <c r="AI662" i="1"/>
  <c r="AI661" i="1"/>
  <c r="AI660" i="1"/>
  <c r="AI659" i="1"/>
  <c r="AI658" i="1"/>
  <c r="AI657" i="1"/>
  <c r="AI656" i="1"/>
  <c r="AI655" i="1"/>
  <c r="AI654" i="1"/>
  <c r="AI653" i="1"/>
  <c r="AI652" i="1"/>
  <c r="AI651" i="1"/>
  <c r="AI650" i="1"/>
  <c r="AI649" i="1"/>
  <c r="AI648" i="1"/>
  <c r="AI647" i="1"/>
  <c r="AI646" i="1"/>
  <c r="AI645" i="1"/>
  <c r="AI644" i="1"/>
  <c r="AI643" i="1"/>
  <c r="AI642" i="1"/>
  <c r="AI641" i="1"/>
  <c r="AI640" i="1"/>
  <c r="AI639" i="1"/>
  <c r="AI638" i="1"/>
  <c r="AI637" i="1"/>
  <c r="AI636" i="1"/>
  <c r="AI635" i="1"/>
  <c r="AI634" i="1"/>
  <c r="AI633" i="1"/>
  <c r="AI632" i="1"/>
  <c r="AI631" i="1"/>
  <c r="AI630" i="1"/>
  <c r="AI629" i="1"/>
  <c r="AI628" i="1"/>
  <c r="AI627" i="1"/>
  <c r="AI626" i="1"/>
  <c r="AI625" i="1"/>
  <c r="AI624" i="1"/>
  <c r="AI623" i="1"/>
  <c r="AI622" i="1"/>
  <c r="AI621" i="1"/>
  <c r="AI620" i="1"/>
  <c r="AI619" i="1"/>
  <c r="AI618" i="1"/>
  <c r="AI617" i="1"/>
  <c r="AI616" i="1"/>
  <c r="AI615" i="1"/>
  <c r="AI614" i="1"/>
  <c r="AI613" i="1"/>
  <c r="AI612" i="1"/>
  <c r="AI611" i="1"/>
  <c r="AI610" i="1"/>
  <c r="AI609" i="1"/>
  <c r="AI608" i="1"/>
  <c r="AI607" i="1"/>
  <c r="AI606" i="1"/>
  <c r="AI605" i="1"/>
  <c r="AI604" i="1"/>
  <c r="AI603" i="1"/>
  <c r="AI602" i="1"/>
  <c r="AI601" i="1"/>
  <c r="AI600" i="1"/>
  <c r="AI599" i="1"/>
  <c r="AI598" i="1"/>
  <c r="AI597" i="1"/>
  <c r="AI596" i="1"/>
  <c r="AI595" i="1"/>
  <c r="AI594" i="1"/>
  <c r="AI593" i="1"/>
  <c r="AI592" i="1"/>
  <c r="AI591" i="1"/>
  <c r="AI590" i="1"/>
  <c r="AI589" i="1"/>
  <c r="AI588" i="1"/>
  <c r="AI587" i="1"/>
  <c r="AI586" i="1"/>
  <c r="AI585" i="1"/>
  <c r="AI584" i="1"/>
  <c r="AI583" i="1"/>
  <c r="AI582" i="1"/>
  <c r="AI581" i="1"/>
  <c r="AI580" i="1"/>
  <c r="AI579" i="1"/>
  <c r="AI578" i="1"/>
  <c r="AI577" i="1"/>
  <c r="AI576" i="1"/>
  <c r="AI575" i="1"/>
  <c r="AI574" i="1"/>
  <c r="AI573" i="1"/>
  <c r="AI572" i="1"/>
  <c r="AI571" i="1"/>
  <c r="AI570" i="1"/>
  <c r="AI569" i="1"/>
  <c r="AI568" i="1"/>
  <c r="AI567" i="1"/>
  <c r="AI566" i="1"/>
  <c r="AI565" i="1"/>
  <c r="AI564" i="1"/>
  <c r="AI563" i="1"/>
  <c r="AI562" i="1"/>
  <c r="AI561" i="1"/>
  <c r="AI560" i="1"/>
  <c r="AI559" i="1"/>
  <c r="AI558" i="1"/>
  <c r="AI557" i="1"/>
  <c r="AI556" i="1"/>
  <c r="AI555" i="1"/>
  <c r="AI554" i="1"/>
  <c r="AI553" i="1"/>
  <c r="AI552" i="1"/>
  <c r="AI551" i="1"/>
  <c r="AI550" i="1"/>
  <c r="AI549" i="1"/>
  <c r="AI548" i="1"/>
  <c r="AI547" i="1"/>
  <c r="AI546" i="1"/>
  <c r="AI545" i="1"/>
  <c r="AI544" i="1"/>
  <c r="AI543" i="1"/>
  <c r="AI542" i="1"/>
  <c r="AI541" i="1"/>
  <c r="AI540" i="1"/>
  <c r="AI539" i="1"/>
  <c r="AI538" i="1"/>
  <c r="AI537" i="1"/>
  <c r="AI536" i="1"/>
  <c r="AI535" i="1"/>
  <c r="AI534" i="1"/>
  <c r="AI533" i="1"/>
  <c r="AI532" i="1"/>
  <c r="AI531" i="1"/>
  <c r="AI530" i="1"/>
  <c r="AI529" i="1"/>
  <c r="AI528" i="1"/>
  <c r="AI527" i="1"/>
  <c r="AI526" i="1"/>
  <c r="AI525" i="1"/>
  <c r="AI524" i="1"/>
  <c r="AI523" i="1"/>
  <c r="AI522" i="1"/>
  <c r="AI521" i="1"/>
  <c r="AI520" i="1"/>
  <c r="AI519" i="1"/>
  <c r="AI518" i="1"/>
  <c r="AI517" i="1"/>
  <c r="AI516" i="1"/>
  <c r="AI515" i="1"/>
  <c r="AI514" i="1"/>
  <c r="AI513" i="1"/>
  <c r="AI512" i="1"/>
  <c r="AI511" i="1"/>
  <c r="AI510" i="1"/>
  <c r="AI509" i="1"/>
  <c r="AI508" i="1"/>
  <c r="AI507" i="1"/>
  <c r="AI506" i="1"/>
  <c r="AI505" i="1"/>
  <c r="AI504" i="1"/>
  <c r="AI503" i="1"/>
  <c r="AI502" i="1"/>
  <c r="AI501" i="1"/>
  <c r="AI500" i="1"/>
  <c r="AI499" i="1"/>
  <c r="AI498" i="1"/>
  <c r="AI497" i="1"/>
  <c r="AI496" i="1"/>
  <c r="AI495" i="1"/>
  <c r="AI494" i="1"/>
  <c r="AI493" i="1"/>
  <c r="AI492" i="1"/>
  <c r="AI491" i="1"/>
  <c r="AI490" i="1"/>
  <c r="AI489" i="1"/>
  <c r="AI488" i="1"/>
  <c r="AI487" i="1"/>
  <c r="AI486" i="1"/>
  <c r="AI485" i="1"/>
  <c r="AI484" i="1"/>
  <c r="AI483" i="1"/>
  <c r="AI482" i="1"/>
  <c r="AI481" i="1"/>
  <c r="AI480" i="1"/>
  <c r="AI479" i="1"/>
  <c r="AI478" i="1"/>
  <c r="AI477" i="1"/>
  <c r="AI476" i="1"/>
  <c r="AI475" i="1"/>
  <c r="AI474" i="1"/>
  <c r="AI473" i="1"/>
  <c r="AI472" i="1"/>
  <c r="AI471" i="1"/>
  <c r="AI470" i="1"/>
  <c r="AI469" i="1"/>
  <c r="AI468" i="1"/>
  <c r="AI467" i="1"/>
  <c r="AI466" i="1"/>
  <c r="AI465" i="1"/>
  <c r="AI464" i="1"/>
  <c r="AI463" i="1"/>
  <c r="AI462" i="1"/>
  <c r="AI461" i="1"/>
  <c r="AI460" i="1"/>
  <c r="AI459" i="1"/>
  <c r="AI458" i="1"/>
  <c r="AI457" i="1"/>
  <c r="AI456" i="1"/>
  <c r="AI455" i="1"/>
  <c r="AI454" i="1"/>
  <c r="AI453" i="1"/>
  <c r="AI452" i="1"/>
  <c r="AI451" i="1"/>
  <c r="AI450" i="1"/>
  <c r="AI449" i="1"/>
  <c r="AI448" i="1"/>
  <c r="AI447" i="1"/>
  <c r="AI446" i="1"/>
  <c r="AI445" i="1"/>
  <c r="AI444" i="1"/>
  <c r="AI443" i="1"/>
  <c r="AI442" i="1"/>
  <c r="AI441" i="1"/>
  <c r="AI440" i="1"/>
  <c r="AI439" i="1"/>
  <c r="AI438" i="1"/>
  <c r="AI437" i="1"/>
  <c r="AI436" i="1"/>
  <c r="AI435" i="1"/>
  <c r="AI434" i="1"/>
  <c r="AI433" i="1"/>
  <c r="AI432" i="1"/>
  <c r="AI431" i="1"/>
  <c r="AI430" i="1"/>
  <c r="AI429" i="1"/>
  <c r="AI428" i="1"/>
  <c r="AI427" i="1"/>
  <c r="AI426" i="1"/>
  <c r="AI425" i="1"/>
  <c r="AI424" i="1"/>
  <c r="AI423" i="1"/>
  <c r="AI422" i="1"/>
  <c r="AI421" i="1"/>
  <c r="AI420" i="1"/>
  <c r="AI419" i="1"/>
  <c r="AI418" i="1"/>
  <c r="AI417" i="1"/>
  <c r="AI416" i="1"/>
  <c r="AI415" i="1"/>
  <c r="AI414" i="1"/>
  <c r="AI413" i="1"/>
  <c r="AI412" i="1"/>
  <c r="AI411" i="1"/>
  <c r="AI410" i="1"/>
  <c r="AI409" i="1"/>
  <c r="AI408" i="1"/>
  <c r="AI407" i="1"/>
  <c r="AI406" i="1"/>
  <c r="AI405" i="1"/>
  <c r="AI404" i="1"/>
  <c r="AI403" i="1"/>
  <c r="AI402" i="1"/>
  <c r="AI401" i="1"/>
  <c r="AI400" i="1"/>
  <c r="AI399" i="1"/>
  <c r="AI398" i="1"/>
  <c r="AI397" i="1"/>
  <c r="AI396" i="1"/>
  <c r="AI395" i="1"/>
  <c r="AI394" i="1"/>
  <c r="AI393" i="1"/>
  <c r="AI392" i="1"/>
  <c r="AI391" i="1"/>
  <c r="AI390" i="1"/>
  <c r="AI389" i="1"/>
  <c r="AI388" i="1"/>
  <c r="AI387" i="1"/>
  <c r="AI386" i="1"/>
  <c r="AI385" i="1"/>
  <c r="AI384" i="1"/>
  <c r="AI383" i="1"/>
  <c r="AI382" i="1"/>
  <c r="AI381" i="1"/>
  <c r="AI380" i="1"/>
  <c r="AI379" i="1"/>
  <c r="AI378" i="1"/>
  <c r="AI377" i="1"/>
  <c r="AI376" i="1"/>
  <c r="AI375" i="1"/>
  <c r="AI374" i="1"/>
  <c r="AI373" i="1"/>
  <c r="AI372" i="1"/>
  <c r="AI371" i="1"/>
  <c r="AI370" i="1"/>
  <c r="AI369" i="1"/>
  <c r="AI368" i="1"/>
  <c r="AI367" i="1"/>
  <c r="AI366" i="1"/>
  <c r="AI365" i="1"/>
  <c r="AI364" i="1"/>
  <c r="AI363" i="1"/>
  <c r="AI362" i="1"/>
  <c r="AI361" i="1"/>
  <c r="AI360" i="1"/>
  <c r="AI359" i="1"/>
  <c r="AI358" i="1"/>
  <c r="AI357" i="1"/>
  <c r="AI356" i="1"/>
  <c r="AI355" i="1"/>
  <c r="AI354" i="1"/>
  <c r="AI353" i="1"/>
  <c r="AI352" i="1"/>
  <c r="AI351" i="1"/>
  <c r="AI350" i="1"/>
  <c r="AI349" i="1"/>
  <c r="AI348" i="1"/>
  <c r="AI347" i="1"/>
  <c r="AI346" i="1"/>
  <c r="AI345" i="1"/>
  <c r="AI344" i="1"/>
  <c r="AI343" i="1"/>
  <c r="AI342" i="1"/>
  <c r="AI341" i="1"/>
  <c r="AI340" i="1"/>
  <c r="AI339" i="1"/>
  <c r="AI338" i="1"/>
  <c r="AI337" i="1"/>
  <c r="AI336" i="1"/>
  <c r="AI335" i="1"/>
  <c r="AI334" i="1"/>
  <c r="AI333" i="1"/>
  <c r="AI332" i="1"/>
  <c r="AI331" i="1"/>
  <c r="AI330" i="1"/>
  <c r="AI329" i="1"/>
  <c r="AI328" i="1"/>
  <c r="AI327" i="1"/>
  <c r="AI326" i="1"/>
  <c r="AI325" i="1"/>
  <c r="AI324" i="1"/>
  <c r="AI323" i="1"/>
  <c r="AI322" i="1"/>
  <c r="AI321" i="1"/>
  <c r="AI320" i="1"/>
  <c r="AI319" i="1"/>
  <c r="AI318" i="1"/>
  <c r="AI317" i="1"/>
  <c r="AI316" i="1"/>
  <c r="AI315" i="1"/>
  <c r="AI314" i="1"/>
  <c r="AI313" i="1"/>
  <c r="AI312" i="1"/>
  <c r="AI311" i="1"/>
  <c r="AI310" i="1"/>
  <c r="AI309" i="1"/>
  <c r="AI308" i="1"/>
  <c r="AI307" i="1"/>
  <c r="AI306" i="1"/>
  <c r="AI305" i="1"/>
  <c r="AI304" i="1"/>
  <c r="AI303" i="1"/>
  <c r="AI302" i="1"/>
  <c r="AI301" i="1"/>
  <c r="AI300" i="1"/>
  <c r="AI299" i="1"/>
  <c r="AI298" i="1"/>
  <c r="AI297" i="1"/>
  <c r="AI296" i="1"/>
  <c r="AI295" i="1"/>
  <c r="AI294" i="1"/>
  <c r="AI293" i="1"/>
  <c r="AI292" i="1"/>
  <c r="AI291" i="1"/>
  <c r="AI290" i="1"/>
  <c r="AI289" i="1"/>
  <c r="AI288" i="1"/>
  <c r="AI287" i="1"/>
  <c r="AI286" i="1"/>
  <c r="AI285" i="1"/>
  <c r="AI284" i="1"/>
  <c r="AI283" i="1"/>
  <c r="AI282" i="1"/>
  <c r="AI281" i="1"/>
  <c r="AI280" i="1"/>
  <c r="AI279" i="1"/>
  <c r="AI278" i="1"/>
  <c r="AI277" i="1"/>
  <c r="AI276" i="1"/>
  <c r="AI275" i="1"/>
  <c r="AI274" i="1"/>
  <c r="AI273" i="1"/>
  <c r="AI272" i="1"/>
  <c r="AI271" i="1"/>
  <c r="AI270" i="1"/>
  <c r="AI269" i="1"/>
  <c r="AI268" i="1"/>
  <c r="AI267" i="1"/>
  <c r="AI266" i="1"/>
  <c r="AI265" i="1"/>
  <c r="AI264" i="1"/>
  <c r="AI263" i="1"/>
  <c r="AI262" i="1"/>
  <c r="AI261" i="1"/>
  <c r="AI260" i="1"/>
  <c r="AI259" i="1"/>
  <c r="AI258" i="1"/>
  <c r="AI257" i="1"/>
  <c r="AI256" i="1"/>
  <c r="AI255" i="1"/>
  <c r="AI254" i="1"/>
  <c r="AI253" i="1"/>
  <c r="AI252" i="1"/>
  <c r="AI251" i="1"/>
  <c r="AI250" i="1"/>
  <c r="AI249" i="1"/>
  <c r="AI248" i="1"/>
  <c r="AI247" i="1"/>
  <c r="AI246" i="1"/>
  <c r="AI245" i="1"/>
  <c r="AI244" i="1"/>
  <c r="AI243" i="1"/>
  <c r="AI242" i="1"/>
  <c r="AI241" i="1"/>
  <c r="AI240" i="1"/>
  <c r="AI239" i="1"/>
  <c r="AI238" i="1"/>
  <c r="AI237" i="1"/>
  <c r="AI236" i="1"/>
  <c r="AI235" i="1"/>
  <c r="AI234" i="1"/>
  <c r="AI233" i="1"/>
  <c r="AI232" i="1"/>
  <c r="AI231" i="1"/>
  <c r="AI230" i="1"/>
  <c r="AI229" i="1"/>
  <c r="AI228" i="1"/>
  <c r="AI227" i="1"/>
  <c r="AI226" i="1"/>
  <c r="AI225" i="1"/>
  <c r="AI224" i="1"/>
  <c r="AI223" i="1"/>
  <c r="AI222" i="1"/>
  <c r="AI221" i="1"/>
  <c r="AI220" i="1"/>
  <c r="AI219" i="1"/>
  <c r="AI218" i="1"/>
  <c r="AI217" i="1"/>
  <c r="AI216" i="1"/>
  <c r="AI215" i="1"/>
  <c r="AI214" i="1"/>
  <c r="AI213" i="1"/>
  <c r="AI212" i="1"/>
  <c r="AI211" i="1"/>
  <c r="AI210" i="1"/>
  <c r="AI209" i="1"/>
  <c r="AI208" i="1"/>
  <c r="AI207" i="1"/>
  <c r="AI206" i="1"/>
  <c r="AI205" i="1"/>
  <c r="AI204" i="1"/>
  <c r="AI203" i="1"/>
  <c r="AI202" i="1"/>
  <c r="AI201" i="1"/>
  <c r="AI200" i="1"/>
  <c r="AI199" i="1"/>
  <c r="AI198" i="1"/>
  <c r="AI197" i="1"/>
  <c r="AI196" i="1"/>
  <c r="AI195" i="1"/>
  <c r="AI194" i="1"/>
  <c r="AI193" i="1"/>
  <c r="AI192" i="1"/>
  <c r="AI191" i="1"/>
  <c r="AI190" i="1"/>
  <c r="AI189" i="1"/>
  <c r="AI188" i="1"/>
  <c r="AI187" i="1"/>
  <c r="AI186" i="1"/>
  <c r="AI185" i="1"/>
  <c r="AI184" i="1"/>
  <c r="AI183" i="1"/>
  <c r="AI182" i="1"/>
  <c r="AI181" i="1"/>
  <c r="AI180" i="1"/>
  <c r="AI179" i="1"/>
  <c r="AI178" i="1"/>
  <c r="AI177" i="1"/>
  <c r="AI176" i="1"/>
  <c r="AI175" i="1"/>
  <c r="AI174" i="1"/>
  <c r="AI173" i="1"/>
  <c r="AI172" i="1"/>
  <c r="AI171" i="1"/>
  <c r="AI170" i="1"/>
  <c r="AI169" i="1"/>
  <c r="AI168" i="1"/>
  <c r="AI167" i="1"/>
  <c r="AI166" i="1"/>
  <c r="AI165" i="1"/>
  <c r="AI164" i="1"/>
  <c r="AI163" i="1"/>
  <c r="AI162" i="1"/>
  <c r="AI161" i="1"/>
  <c r="AI160" i="1"/>
  <c r="AI159" i="1"/>
  <c r="AI158" i="1"/>
  <c r="AI157" i="1"/>
  <c r="AI156" i="1"/>
  <c r="AI155" i="1"/>
  <c r="AI154" i="1"/>
  <c r="AI153" i="1"/>
  <c r="AI152" i="1"/>
  <c r="AI151" i="1"/>
  <c r="AI150" i="1"/>
  <c r="AI149" i="1"/>
  <c r="AI148" i="1"/>
  <c r="AI147" i="1"/>
  <c r="AI146" i="1"/>
  <c r="AI145" i="1"/>
  <c r="AI144" i="1"/>
  <c r="AI143" i="1"/>
  <c r="AI142" i="1"/>
  <c r="AI141" i="1"/>
  <c r="AI140" i="1"/>
  <c r="AI139" i="1"/>
  <c r="AI138" i="1"/>
  <c r="AI137" i="1"/>
  <c r="AI136" i="1"/>
  <c r="AI135" i="1"/>
  <c r="AI134" i="1"/>
  <c r="AI133" i="1"/>
  <c r="AI132" i="1"/>
  <c r="AI131" i="1"/>
  <c r="AI130" i="1"/>
  <c r="AI129" i="1"/>
  <c r="AI128" i="1"/>
  <c r="AI127" i="1"/>
  <c r="AI126" i="1"/>
  <c r="AI125" i="1"/>
  <c r="AI124" i="1"/>
  <c r="AI123" i="1"/>
  <c r="AI122" i="1"/>
  <c r="AI121" i="1"/>
  <c r="AI120" i="1"/>
  <c r="AI119" i="1"/>
  <c r="AI118" i="1"/>
  <c r="AI117" i="1"/>
  <c r="AI116" i="1"/>
  <c r="AI115" i="1"/>
  <c r="AI114" i="1"/>
  <c r="AI113" i="1"/>
  <c r="AI112" i="1"/>
  <c r="AI111" i="1"/>
  <c r="AI110" i="1"/>
  <c r="AI109" i="1"/>
  <c r="AI108" i="1"/>
  <c r="AI107" i="1"/>
  <c r="AI106" i="1"/>
  <c r="AI105" i="1"/>
  <c r="AI104" i="1"/>
  <c r="AI103" i="1"/>
  <c r="AI102" i="1"/>
  <c r="AI101" i="1"/>
  <c r="AI100" i="1"/>
  <c r="AI99" i="1"/>
  <c r="AI98" i="1"/>
  <c r="AI97" i="1"/>
  <c r="AI96" i="1"/>
  <c r="AI95" i="1"/>
  <c r="AI94" i="1"/>
  <c r="AI93" i="1"/>
  <c r="AI92" i="1"/>
  <c r="AI91" i="1"/>
  <c r="AI90" i="1"/>
  <c r="AI89" i="1"/>
  <c r="AI88" i="1"/>
  <c r="AI87" i="1"/>
  <c r="AI86" i="1"/>
  <c r="AI85" i="1"/>
  <c r="AI84" i="1"/>
  <c r="AI83" i="1"/>
  <c r="AI82" i="1"/>
  <c r="AI81" i="1"/>
  <c r="AI80" i="1"/>
  <c r="AI79" i="1"/>
  <c r="AI78" i="1"/>
  <c r="AI77" i="1"/>
  <c r="AI76" i="1"/>
  <c r="AI75" i="1"/>
  <c r="AI74" i="1"/>
  <c r="AI73" i="1"/>
  <c r="AI72" i="1"/>
  <c r="AI71" i="1"/>
  <c r="AI70" i="1"/>
  <c r="AI69" i="1"/>
  <c r="AI68" i="1"/>
  <c r="AI67" i="1"/>
  <c r="AI66" i="1"/>
  <c r="AI65" i="1"/>
  <c r="AI64" i="1"/>
  <c r="AI63" i="1"/>
  <c r="AI62" i="1"/>
  <c r="AI61" i="1"/>
  <c r="AI60" i="1"/>
  <c r="AI59" i="1"/>
  <c r="AI58" i="1"/>
  <c r="AI57" i="1"/>
  <c r="AI56" i="1"/>
  <c r="AI55" i="1"/>
  <c r="AI54" i="1"/>
  <c r="AI53" i="1"/>
  <c r="AI52" i="1"/>
  <c r="AI51" i="1"/>
  <c r="AI50" i="1"/>
  <c r="AI49" i="1"/>
  <c r="AI48" i="1"/>
  <c r="AI47" i="1"/>
  <c r="AI46" i="1"/>
  <c r="AI45"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I3" i="1"/>
  <c r="AI1687" i="1"/>
  <c r="AI2" i="1"/>
  <c r="AH1686" i="1"/>
  <c r="AH1685" i="1"/>
  <c r="AH1684" i="1"/>
  <c r="AH1683" i="1"/>
  <c r="AH1682" i="1"/>
  <c r="AH1681" i="1"/>
  <c r="AH1680" i="1"/>
  <c r="AH1679" i="1"/>
  <c r="AH1678" i="1"/>
  <c r="AH1677" i="1"/>
  <c r="AH1676" i="1"/>
  <c r="AH1675" i="1"/>
  <c r="AH1674" i="1"/>
  <c r="AH1673" i="1"/>
  <c r="AH1672" i="1"/>
  <c r="AH1671" i="1"/>
  <c r="AH1670" i="1"/>
  <c r="AH1669" i="1"/>
  <c r="AH1668" i="1"/>
  <c r="AH1667" i="1"/>
  <c r="AH1666" i="1"/>
  <c r="AH1665" i="1"/>
  <c r="AH1664" i="1"/>
  <c r="AH1663" i="1"/>
  <c r="AH1662" i="1"/>
  <c r="AH1661" i="1"/>
  <c r="AH1660" i="1"/>
  <c r="AH1659" i="1"/>
  <c r="AH1658" i="1"/>
  <c r="AH1657" i="1"/>
  <c r="AH1656" i="1"/>
  <c r="AH1655" i="1"/>
  <c r="AH1654" i="1"/>
  <c r="AH1653" i="1"/>
  <c r="AH1652" i="1"/>
  <c r="AH1651" i="1"/>
  <c r="AH1650" i="1"/>
  <c r="AH1649" i="1"/>
  <c r="AH1648" i="1"/>
  <c r="AH1647" i="1"/>
  <c r="AH1646" i="1"/>
  <c r="AH1645" i="1"/>
  <c r="AH1644" i="1"/>
  <c r="AH1643" i="1"/>
  <c r="AH1642" i="1"/>
  <c r="AH1641" i="1"/>
  <c r="AH1640" i="1"/>
  <c r="AH1639" i="1"/>
  <c r="AH1638" i="1"/>
  <c r="AH1637" i="1"/>
  <c r="AH1636" i="1"/>
  <c r="AH1635" i="1"/>
  <c r="AH1634" i="1"/>
  <c r="AH1633" i="1"/>
  <c r="AH1632" i="1"/>
  <c r="AH1631" i="1"/>
  <c r="AH1630" i="1"/>
  <c r="AH1629" i="1"/>
  <c r="AH1628" i="1"/>
  <c r="AH1627" i="1"/>
  <c r="AH1626" i="1"/>
  <c r="AH1625" i="1"/>
  <c r="AH1624" i="1"/>
  <c r="AH1623" i="1"/>
  <c r="AH1622" i="1"/>
  <c r="AH1621" i="1"/>
  <c r="AH1620" i="1"/>
  <c r="AH1619" i="1"/>
  <c r="AH1618" i="1"/>
  <c r="AH1617" i="1"/>
  <c r="AH1616" i="1"/>
  <c r="AH1615" i="1"/>
  <c r="AH1614" i="1"/>
  <c r="AH1613" i="1"/>
  <c r="AH1612" i="1"/>
  <c r="AH1611" i="1"/>
  <c r="AH1610" i="1"/>
  <c r="AH1609" i="1"/>
  <c r="AH1608" i="1"/>
  <c r="AH1607" i="1"/>
  <c r="AH1606" i="1"/>
  <c r="AH1605" i="1"/>
  <c r="AH1604" i="1"/>
  <c r="AH1603" i="1"/>
  <c r="AH1602" i="1"/>
  <c r="AH1601" i="1"/>
  <c r="AH1600" i="1"/>
  <c r="AH1599" i="1"/>
  <c r="AH1598" i="1"/>
  <c r="AH1597" i="1"/>
  <c r="AH1596" i="1"/>
  <c r="AH1595" i="1"/>
  <c r="AH1594" i="1"/>
  <c r="AH1593" i="1"/>
  <c r="AH1592" i="1"/>
  <c r="AH1591" i="1"/>
  <c r="AH1590" i="1"/>
  <c r="AH1589" i="1"/>
  <c r="AH1588" i="1"/>
  <c r="AH1587" i="1"/>
  <c r="AH1586" i="1"/>
  <c r="AH1585" i="1"/>
  <c r="AH1584" i="1"/>
  <c r="AH1583" i="1"/>
  <c r="AH1582" i="1"/>
  <c r="AH1581" i="1"/>
  <c r="AH1580" i="1"/>
  <c r="AH1579" i="1"/>
  <c r="AH1578" i="1"/>
  <c r="AH1577" i="1"/>
  <c r="AH1576" i="1"/>
  <c r="AH1575" i="1"/>
  <c r="AH1574" i="1"/>
  <c r="AH1573" i="1"/>
  <c r="AH1572" i="1"/>
  <c r="AH1571" i="1"/>
  <c r="AH1570" i="1"/>
  <c r="AH1569" i="1"/>
  <c r="AH1568" i="1"/>
  <c r="AH1567" i="1"/>
  <c r="AH1566" i="1"/>
  <c r="AH1565" i="1"/>
  <c r="AH1564" i="1"/>
  <c r="AH1563" i="1"/>
  <c r="AH1562" i="1"/>
  <c r="AH1561" i="1"/>
  <c r="AH1560" i="1"/>
  <c r="AH1559" i="1"/>
  <c r="AH1558" i="1"/>
  <c r="AH1557" i="1"/>
  <c r="AH1556" i="1"/>
  <c r="AH1555" i="1"/>
  <c r="AH1554" i="1"/>
  <c r="AH1553" i="1"/>
  <c r="AH1552" i="1"/>
  <c r="AH1551" i="1"/>
  <c r="AH1550" i="1"/>
  <c r="AH1549" i="1"/>
  <c r="AH1548" i="1"/>
  <c r="AH1547" i="1"/>
  <c r="AH1546" i="1"/>
  <c r="AH1545" i="1"/>
  <c r="AH1544" i="1"/>
  <c r="AH1543" i="1"/>
  <c r="AH1542" i="1"/>
  <c r="AH1541" i="1"/>
  <c r="AH1540" i="1"/>
  <c r="AH1539" i="1"/>
  <c r="AH1538" i="1"/>
  <c r="AH1537" i="1"/>
  <c r="AH1536" i="1"/>
  <c r="AH1535" i="1"/>
  <c r="AH1534" i="1"/>
  <c r="AH1533" i="1"/>
  <c r="AH1532" i="1"/>
  <c r="AH1531" i="1"/>
  <c r="AH1530" i="1"/>
  <c r="AH1529" i="1"/>
  <c r="AH1528" i="1"/>
  <c r="AH1527" i="1"/>
  <c r="AH1526" i="1"/>
  <c r="AH1525" i="1"/>
  <c r="AH1524" i="1"/>
  <c r="AH1523" i="1"/>
  <c r="AH1522" i="1"/>
  <c r="AH1521" i="1"/>
  <c r="AH1520" i="1"/>
  <c r="AH1519" i="1"/>
  <c r="AH1518" i="1"/>
  <c r="AH1517" i="1"/>
  <c r="AH1516" i="1"/>
  <c r="AH1515" i="1"/>
  <c r="AH1514" i="1"/>
  <c r="AH1513" i="1"/>
  <c r="AH1512" i="1"/>
  <c r="AH1511" i="1"/>
  <c r="AH1510" i="1"/>
  <c r="AH1509" i="1"/>
  <c r="AH1508" i="1"/>
  <c r="AH1507" i="1"/>
  <c r="AH1506" i="1"/>
  <c r="AH1505" i="1"/>
  <c r="AH1504" i="1"/>
  <c r="AH1503" i="1"/>
  <c r="AH1502" i="1"/>
  <c r="AH1501" i="1"/>
  <c r="AH1500" i="1"/>
  <c r="AH1499" i="1"/>
  <c r="AH1498" i="1"/>
  <c r="AH1497" i="1"/>
  <c r="AH1496" i="1"/>
  <c r="AH1495" i="1"/>
  <c r="AH1494" i="1"/>
  <c r="AH1493" i="1"/>
  <c r="AH1492" i="1"/>
  <c r="AH1491" i="1"/>
  <c r="AH1490" i="1"/>
  <c r="AH1489" i="1"/>
  <c r="AH1488" i="1"/>
  <c r="AH1487" i="1"/>
  <c r="AH1486" i="1"/>
  <c r="AH1485" i="1"/>
  <c r="AH1484" i="1"/>
  <c r="AH1483" i="1"/>
  <c r="AH1482" i="1"/>
  <c r="AH1481" i="1"/>
  <c r="AH1480" i="1"/>
  <c r="AH1479" i="1"/>
  <c r="AH1478" i="1"/>
  <c r="AH1477" i="1"/>
  <c r="AH1476" i="1"/>
  <c r="AH1475" i="1"/>
  <c r="AH1474" i="1"/>
  <c r="AH1473" i="1"/>
  <c r="AH1472" i="1"/>
  <c r="AH1471" i="1"/>
  <c r="AH1470" i="1"/>
  <c r="AH1469" i="1"/>
  <c r="AH1468" i="1"/>
  <c r="AH1467" i="1"/>
  <c r="AH1466" i="1"/>
  <c r="AH1465" i="1"/>
  <c r="AH1464" i="1"/>
  <c r="AH1463" i="1"/>
  <c r="AH1462" i="1"/>
  <c r="AH1461" i="1"/>
  <c r="AH1460" i="1"/>
  <c r="AH1459" i="1"/>
  <c r="AH1458" i="1"/>
  <c r="AH1457" i="1"/>
  <c r="AH1456" i="1"/>
  <c r="AH1455" i="1"/>
  <c r="AH1454" i="1"/>
  <c r="AH1453" i="1"/>
  <c r="AH1452" i="1"/>
  <c r="AH1451" i="1"/>
  <c r="AH1450" i="1"/>
  <c r="AH1449" i="1"/>
  <c r="AH1448" i="1"/>
  <c r="AH1447" i="1"/>
  <c r="AH1446" i="1"/>
  <c r="AH1445" i="1"/>
  <c r="AH1444" i="1"/>
  <c r="AH1443" i="1"/>
  <c r="AH1442" i="1"/>
  <c r="AH1441" i="1"/>
  <c r="AH1440" i="1"/>
  <c r="AH1439" i="1"/>
  <c r="AH1438" i="1"/>
  <c r="AH1437" i="1"/>
  <c r="AH1436" i="1"/>
  <c r="AH1435" i="1"/>
  <c r="AH1434" i="1"/>
  <c r="AH1433" i="1"/>
  <c r="AH1432" i="1"/>
  <c r="AH1431" i="1"/>
  <c r="AH1430" i="1"/>
  <c r="AH1429" i="1"/>
  <c r="AH1428" i="1"/>
  <c r="AH1427" i="1"/>
  <c r="AH1426" i="1"/>
  <c r="AH1425" i="1"/>
  <c r="AH1424" i="1"/>
  <c r="AH1423" i="1"/>
  <c r="AH1422" i="1"/>
  <c r="AH1421" i="1"/>
  <c r="AH1420" i="1"/>
  <c r="AH1419" i="1"/>
  <c r="AH1418" i="1"/>
  <c r="AH1417" i="1"/>
  <c r="AH1416" i="1"/>
  <c r="AH1415" i="1"/>
  <c r="AH1414" i="1"/>
  <c r="AH1413" i="1"/>
  <c r="AH1412" i="1"/>
  <c r="AH1411" i="1"/>
  <c r="AH1410" i="1"/>
  <c r="AH1409" i="1"/>
  <c r="AH1408" i="1"/>
  <c r="AH1407" i="1"/>
  <c r="AH1406" i="1"/>
  <c r="AH1405" i="1"/>
  <c r="AH1404" i="1"/>
  <c r="AH1403" i="1"/>
  <c r="AH1402" i="1"/>
  <c r="AH1401" i="1"/>
  <c r="AH1400" i="1"/>
  <c r="AH1399" i="1"/>
  <c r="AH1398" i="1"/>
  <c r="AH1397" i="1"/>
  <c r="AH1396" i="1"/>
  <c r="AH1395" i="1"/>
  <c r="AH1394" i="1"/>
  <c r="AH1393" i="1"/>
  <c r="AH1392" i="1"/>
  <c r="AH1391" i="1"/>
  <c r="AH1390" i="1"/>
  <c r="AH1389" i="1"/>
  <c r="AH1388" i="1"/>
  <c r="AH1387" i="1"/>
  <c r="AH1386" i="1"/>
  <c r="AH1385" i="1"/>
  <c r="AH1384" i="1"/>
  <c r="AH1383" i="1"/>
  <c r="AH1382" i="1"/>
  <c r="AH1381" i="1"/>
  <c r="AH1380" i="1"/>
  <c r="AH1379" i="1"/>
  <c r="AH1378" i="1"/>
  <c r="AH1377" i="1"/>
  <c r="AH1376" i="1"/>
  <c r="AH1375" i="1"/>
  <c r="AH1374" i="1"/>
  <c r="AH1373" i="1"/>
  <c r="AH1372" i="1"/>
  <c r="AH1371" i="1"/>
  <c r="AH1370" i="1"/>
  <c r="AH1369" i="1"/>
  <c r="AH1368" i="1"/>
  <c r="AH1367" i="1"/>
  <c r="AH1366" i="1"/>
  <c r="AH1365" i="1"/>
  <c r="AH1364" i="1"/>
  <c r="AH1363" i="1"/>
  <c r="AH1362" i="1"/>
  <c r="AH1361" i="1"/>
  <c r="AH1360" i="1"/>
  <c r="AH1359" i="1"/>
  <c r="AH1358" i="1"/>
  <c r="AH1357" i="1"/>
  <c r="AH1356" i="1"/>
  <c r="AH1355" i="1"/>
  <c r="AH1354" i="1"/>
  <c r="AH1353" i="1"/>
  <c r="AH1352" i="1"/>
  <c r="AH1351" i="1"/>
  <c r="AH1350" i="1"/>
  <c r="AH1349" i="1"/>
  <c r="AH1348" i="1"/>
  <c r="AH1347" i="1"/>
  <c r="AH1346" i="1"/>
  <c r="AH1345" i="1"/>
  <c r="AH1344" i="1"/>
  <c r="AH1343" i="1"/>
  <c r="AH1342" i="1"/>
  <c r="AH1341" i="1"/>
  <c r="AH1340" i="1"/>
  <c r="AH1339" i="1"/>
  <c r="AH1338" i="1"/>
  <c r="AH1337" i="1"/>
  <c r="AH1336" i="1"/>
  <c r="AH1335" i="1"/>
  <c r="AH1334" i="1"/>
  <c r="AH1333" i="1"/>
  <c r="AH1332" i="1"/>
  <c r="AH1331" i="1"/>
  <c r="AH1330" i="1"/>
  <c r="AH1329" i="1"/>
  <c r="AH1328" i="1"/>
  <c r="AH1327" i="1"/>
  <c r="AH1326" i="1"/>
  <c r="AH1325" i="1"/>
  <c r="AH1324" i="1"/>
  <c r="AH1323" i="1"/>
  <c r="AH1322" i="1"/>
  <c r="AH1321" i="1"/>
  <c r="AH1320" i="1"/>
  <c r="AH1319" i="1"/>
  <c r="AH1318" i="1"/>
  <c r="AH1317" i="1"/>
  <c r="AH1316" i="1"/>
  <c r="AH1315" i="1"/>
  <c r="AH1314" i="1"/>
  <c r="AH1313" i="1"/>
  <c r="AH1312" i="1"/>
  <c r="AH1311" i="1"/>
  <c r="AH1310" i="1"/>
  <c r="AH1309" i="1"/>
  <c r="AH1308" i="1"/>
  <c r="AH1307" i="1"/>
  <c r="AH1306" i="1"/>
  <c r="AH1305" i="1"/>
  <c r="AH1304" i="1"/>
  <c r="AH1303" i="1"/>
  <c r="AH1302" i="1"/>
  <c r="AH1301" i="1"/>
  <c r="AH1300" i="1"/>
  <c r="AH1299" i="1"/>
  <c r="AH1298" i="1"/>
  <c r="AH1297" i="1"/>
  <c r="AH1296" i="1"/>
  <c r="AH1295" i="1"/>
  <c r="AH1294" i="1"/>
  <c r="AH1293" i="1"/>
  <c r="AH1292" i="1"/>
  <c r="AH1291" i="1"/>
  <c r="AH1290" i="1"/>
  <c r="AH1289" i="1"/>
  <c r="AH1288" i="1"/>
  <c r="AH1287" i="1"/>
  <c r="AH1286" i="1"/>
  <c r="AH1285" i="1"/>
  <c r="AH1284" i="1"/>
  <c r="AH1283" i="1"/>
  <c r="AH1282" i="1"/>
  <c r="AH1281" i="1"/>
  <c r="AH1280" i="1"/>
  <c r="AH1279" i="1"/>
  <c r="AH1278" i="1"/>
  <c r="AH1277" i="1"/>
  <c r="AH1276" i="1"/>
  <c r="AH1275" i="1"/>
  <c r="AH1274" i="1"/>
  <c r="AH1273" i="1"/>
  <c r="AH1272" i="1"/>
  <c r="AH1271" i="1"/>
  <c r="AH1270" i="1"/>
  <c r="AH1269" i="1"/>
  <c r="AH1268" i="1"/>
  <c r="AH1267" i="1"/>
  <c r="AH1266" i="1"/>
  <c r="AH1265" i="1"/>
  <c r="AH1264" i="1"/>
  <c r="AH1263" i="1"/>
  <c r="AH1262" i="1"/>
  <c r="AH1261" i="1"/>
  <c r="AH1260" i="1"/>
  <c r="AH1259" i="1"/>
  <c r="AH1258" i="1"/>
  <c r="AH1257" i="1"/>
  <c r="AH1256" i="1"/>
  <c r="AH1255" i="1"/>
  <c r="AH1254" i="1"/>
  <c r="AH1253" i="1"/>
  <c r="AH1252" i="1"/>
  <c r="AH1251" i="1"/>
  <c r="AH1250" i="1"/>
  <c r="AH1249" i="1"/>
  <c r="AH1248" i="1"/>
  <c r="AH1247" i="1"/>
  <c r="AH1246" i="1"/>
  <c r="AH1245" i="1"/>
  <c r="AH1244" i="1"/>
  <c r="AH1243" i="1"/>
  <c r="AH1242" i="1"/>
  <c r="AH1241" i="1"/>
  <c r="AH1240" i="1"/>
  <c r="AH1239" i="1"/>
  <c r="AH1238" i="1"/>
  <c r="AH1237" i="1"/>
  <c r="AH1236" i="1"/>
  <c r="AH1235" i="1"/>
  <c r="AH1234" i="1"/>
  <c r="AH1233" i="1"/>
  <c r="AH1232" i="1"/>
  <c r="AH1231" i="1"/>
  <c r="AH1230" i="1"/>
  <c r="AH1229" i="1"/>
  <c r="AH1228" i="1"/>
  <c r="AH1227" i="1"/>
  <c r="AH1226" i="1"/>
  <c r="AH1225" i="1"/>
  <c r="AH1224" i="1"/>
  <c r="AH1223" i="1"/>
  <c r="AH1222" i="1"/>
  <c r="AH1221" i="1"/>
  <c r="AH1220" i="1"/>
  <c r="AH1219" i="1"/>
  <c r="AH1218" i="1"/>
  <c r="AH1217" i="1"/>
  <c r="AH1216" i="1"/>
  <c r="AH1215" i="1"/>
  <c r="AH1214" i="1"/>
  <c r="AH1213" i="1"/>
  <c r="AH1212" i="1"/>
  <c r="AH1211" i="1"/>
  <c r="AH1210" i="1"/>
  <c r="AH1209" i="1"/>
  <c r="AH1208" i="1"/>
  <c r="AH1207" i="1"/>
  <c r="AH1206" i="1"/>
  <c r="AH1205" i="1"/>
  <c r="AH1204" i="1"/>
  <c r="AH1203" i="1"/>
  <c r="AH1202" i="1"/>
  <c r="AH1201" i="1"/>
  <c r="AH1200" i="1"/>
  <c r="AH1199" i="1"/>
  <c r="AH1198" i="1"/>
  <c r="AH1197" i="1"/>
  <c r="AH1196" i="1"/>
  <c r="AH1195" i="1"/>
  <c r="AH1194" i="1"/>
  <c r="AH1193" i="1"/>
  <c r="AH1192" i="1"/>
  <c r="AH1191" i="1"/>
  <c r="AH1190" i="1"/>
  <c r="AH1189" i="1"/>
  <c r="AH1188" i="1"/>
  <c r="AH1187" i="1"/>
  <c r="AH1186" i="1"/>
  <c r="AH1185" i="1"/>
  <c r="AH1184" i="1"/>
  <c r="AH1183" i="1"/>
  <c r="AH1182" i="1"/>
  <c r="AH1181" i="1"/>
  <c r="AH1180" i="1"/>
  <c r="AH1179" i="1"/>
  <c r="AH1178" i="1"/>
  <c r="AH1177" i="1"/>
  <c r="AH1176" i="1"/>
  <c r="AH1175" i="1"/>
  <c r="AH1174" i="1"/>
  <c r="AH1173" i="1"/>
  <c r="AH1172" i="1"/>
  <c r="AH1171" i="1"/>
  <c r="AH1170" i="1"/>
  <c r="AH1169" i="1"/>
  <c r="AH1168" i="1"/>
  <c r="AH1167" i="1"/>
  <c r="AH1166" i="1"/>
  <c r="AH1165" i="1"/>
  <c r="AH1164" i="1"/>
  <c r="AH1163" i="1"/>
  <c r="AH1162" i="1"/>
  <c r="AH1161" i="1"/>
  <c r="AH1160" i="1"/>
  <c r="AH1159" i="1"/>
  <c r="AH1158" i="1"/>
  <c r="AH1157" i="1"/>
  <c r="AH1156" i="1"/>
  <c r="AH1155" i="1"/>
  <c r="AH1154" i="1"/>
  <c r="AH1153" i="1"/>
  <c r="AH1152" i="1"/>
  <c r="AH1151" i="1"/>
  <c r="AH1150" i="1"/>
  <c r="AH1149" i="1"/>
  <c r="AH1148" i="1"/>
  <c r="AH1147" i="1"/>
  <c r="AH1146" i="1"/>
  <c r="AH1145" i="1"/>
  <c r="AH1144" i="1"/>
  <c r="AH1143" i="1"/>
  <c r="AH1142" i="1"/>
  <c r="AH1141" i="1"/>
  <c r="AH1140" i="1"/>
  <c r="AH1139" i="1"/>
  <c r="AH1138" i="1"/>
  <c r="AH1137" i="1"/>
  <c r="AH1136" i="1"/>
  <c r="AH1135" i="1"/>
  <c r="AH1134" i="1"/>
  <c r="AH1133" i="1"/>
  <c r="AH1132" i="1"/>
  <c r="AH1131" i="1"/>
  <c r="AH1130" i="1"/>
  <c r="AH1129" i="1"/>
  <c r="AH1128" i="1"/>
  <c r="AH1127" i="1"/>
  <c r="AH1126" i="1"/>
  <c r="AH1125" i="1"/>
  <c r="AH1124" i="1"/>
  <c r="AH1123" i="1"/>
  <c r="AH1122" i="1"/>
  <c r="AH1121" i="1"/>
  <c r="AH1120" i="1"/>
  <c r="AH1119" i="1"/>
  <c r="AH1118" i="1"/>
  <c r="AH1117" i="1"/>
  <c r="AH1116" i="1"/>
  <c r="AH1115" i="1"/>
  <c r="AH1114" i="1"/>
  <c r="AH1113" i="1"/>
  <c r="AH1112" i="1"/>
  <c r="AH1111" i="1"/>
  <c r="AH1110" i="1"/>
  <c r="AH1109" i="1"/>
  <c r="AH1108" i="1"/>
  <c r="AH1107" i="1"/>
  <c r="AH1106" i="1"/>
  <c r="AH1105" i="1"/>
  <c r="AH1104" i="1"/>
  <c r="AH1103" i="1"/>
  <c r="AH1102" i="1"/>
  <c r="AH1101" i="1"/>
  <c r="AH1100" i="1"/>
  <c r="AH1099" i="1"/>
  <c r="AH1098" i="1"/>
  <c r="AH1097" i="1"/>
  <c r="AH1096" i="1"/>
  <c r="AH1095" i="1"/>
  <c r="AH1094" i="1"/>
  <c r="AH1093" i="1"/>
  <c r="AH1092" i="1"/>
  <c r="AH1091" i="1"/>
  <c r="AH1090" i="1"/>
  <c r="AH1089" i="1"/>
  <c r="AH1088" i="1"/>
  <c r="AH1087" i="1"/>
  <c r="AH1086" i="1"/>
  <c r="AH1085" i="1"/>
  <c r="AH1084" i="1"/>
  <c r="AH1083" i="1"/>
  <c r="AH1082" i="1"/>
  <c r="AH1081" i="1"/>
  <c r="AH1080" i="1"/>
  <c r="AH1079" i="1"/>
  <c r="AH1078" i="1"/>
  <c r="AH1077" i="1"/>
  <c r="AH1076" i="1"/>
  <c r="AH1075" i="1"/>
  <c r="AH1074" i="1"/>
  <c r="AH1073" i="1"/>
  <c r="AH1072" i="1"/>
  <c r="AH1071" i="1"/>
  <c r="AH1070" i="1"/>
  <c r="AH1069" i="1"/>
  <c r="AH1068" i="1"/>
  <c r="AH1067" i="1"/>
  <c r="AH1066" i="1"/>
  <c r="AH1065" i="1"/>
  <c r="AH1064" i="1"/>
  <c r="AH1063" i="1"/>
  <c r="AH1062" i="1"/>
  <c r="AH1061" i="1"/>
  <c r="AH1060" i="1"/>
  <c r="AH1059" i="1"/>
  <c r="AH1058" i="1"/>
  <c r="AH1057" i="1"/>
  <c r="AH1056" i="1"/>
  <c r="AH1055" i="1"/>
  <c r="AH1054" i="1"/>
  <c r="AH1053" i="1"/>
  <c r="AH1052" i="1"/>
  <c r="AH1051" i="1"/>
  <c r="AH1050" i="1"/>
  <c r="AH1049" i="1"/>
  <c r="AH1048" i="1"/>
  <c r="AH1047" i="1"/>
  <c r="AH1046" i="1"/>
  <c r="AH1045" i="1"/>
  <c r="AH1044" i="1"/>
  <c r="AH1043" i="1"/>
  <c r="AH1042" i="1"/>
  <c r="AH1041" i="1"/>
  <c r="AH1040" i="1"/>
  <c r="AH1039" i="1"/>
  <c r="AH1038" i="1"/>
  <c r="AH1037" i="1"/>
  <c r="AH1036" i="1"/>
  <c r="AH1035" i="1"/>
  <c r="AH1034" i="1"/>
  <c r="AH1033" i="1"/>
  <c r="AH1032" i="1"/>
  <c r="AH1031" i="1"/>
  <c r="AH1030" i="1"/>
  <c r="AH1029" i="1"/>
  <c r="AH1028" i="1"/>
  <c r="AH1027" i="1"/>
  <c r="AH1026" i="1"/>
  <c r="AH1025" i="1"/>
  <c r="AH1024" i="1"/>
  <c r="AH1023" i="1"/>
  <c r="AH1022" i="1"/>
  <c r="AH1021" i="1"/>
  <c r="AH1020" i="1"/>
  <c r="AH1019" i="1"/>
  <c r="AH1018" i="1"/>
  <c r="AH1017" i="1"/>
  <c r="AH1016" i="1"/>
  <c r="AH1015" i="1"/>
  <c r="AH1014" i="1"/>
  <c r="AH1013" i="1"/>
  <c r="AH1012" i="1"/>
  <c r="AH1011" i="1"/>
  <c r="AH1010" i="1"/>
  <c r="AH1009" i="1"/>
  <c r="AH1008" i="1"/>
  <c r="AH1007" i="1"/>
  <c r="AH1006" i="1"/>
  <c r="AH1005" i="1"/>
  <c r="AH1004" i="1"/>
  <c r="AH1003" i="1"/>
  <c r="AH1002" i="1"/>
  <c r="AH1001" i="1"/>
  <c r="AH1000" i="1"/>
  <c r="AH999" i="1"/>
  <c r="AH998" i="1"/>
  <c r="AH997" i="1"/>
  <c r="AH996" i="1"/>
  <c r="AH995" i="1"/>
  <c r="AH994" i="1"/>
  <c r="AH993" i="1"/>
  <c r="AH992" i="1"/>
  <c r="AH991" i="1"/>
  <c r="AH990" i="1"/>
  <c r="AH989" i="1"/>
  <c r="AH988" i="1"/>
  <c r="AH987" i="1"/>
  <c r="AH986" i="1"/>
  <c r="AH985" i="1"/>
  <c r="AH984" i="1"/>
  <c r="AH983" i="1"/>
  <c r="AH982" i="1"/>
  <c r="AH981" i="1"/>
  <c r="AH980" i="1"/>
  <c r="AH979" i="1"/>
  <c r="AH978" i="1"/>
  <c r="AH977" i="1"/>
  <c r="AH976" i="1"/>
  <c r="AH975" i="1"/>
  <c r="AH974" i="1"/>
  <c r="AH973" i="1"/>
  <c r="AH972" i="1"/>
  <c r="AH971" i="1"/>
  <c r="AH970" i="1"/>
  <c r="AH969" i="1"/>
  <c r="AH968" i="1"/>
  <c r="AH967" i="1"/>
  <c r="AH966" i="1"/>
  <c r="AH965" i="1"/>
  <c r="AH964" i="1"/>
  <c r="AH963" i="1"/>
  <c r="AH962" i="1"/>
  <c r="AH961" i="1"/>
  <c r="AH960" i="1"/>
  <c r="AH959" i="1"/>
  <c r="AH958" i="1"/>
  <c r="AH957" i="1"/>
  <c r="AH956" i="1"/>
  <c r="AH955" i="1"/>
  <c r="AH954" i="1"/>
  <c r="AH953" i="1"/>
  <c r="AH952" i="1"/>
  <c r="AH951" i="1"/>
  <c r="AH950" i="1"/>
  <c r="AH949" i="1"/>
  <c r="AH948" i="1"/>
  <c r="AH947" i="1"/>
  <c r="AH946" i="1"/>
  <c r="AH945" i="1"/>
  <c r="AH944" i="1"/>
  <c r="AH943" i="1"/>
  <c r="AH942" i="1"/>
  <c r="AH941" i="1"/>
  <c r="AH940" i="1"/>
  <c r="AH939" i="1"/>
  <c r="AH938" i="1"/>
  <c r="AH937" i="1"/>
  <c r="AH936" i="1"/>
  <c r="AH935" i="1"/>
  <c r="AH934" i="1"/>
  <c r="AH933" i="1"/>
  <c r="AH932" i="1"/>
  <c r="AH931" i="1"/>
  <c r="AH930" i="1"/>
  <c r="AH929" i="1"/>
  <c r="AH928" i="1"/>
  <c r="AH927" i="1"/>
  <c r="AH926" i="1"/>
  <c r="AH925" i="1"/>
  <c r="AH924" i="1"/>
  <c r="AH923" i="1"/>
  <c r="AH922" i="1"/>
  <c r="AH921" i="1"/>
  <c r="AH920" i="1"/>
  <c r="AH919" i="1"/>
  <c r="AH918" i="1"/>
  <c r="AH917" i="1"/>
  <c r="AH916" i="1"/>
  <c r="AH915" i="1"/>
  <c r="AH914" i="1"/>
  <c r="AH913" i="1"/>
  <c r="AH912" i="1"/>
  <c r="AH911" i="1"/>
  <c r="AH910" i="1"/>
  <c r="AH909" i="1"/>
  <c r="AH908" i="1"/>
  <c r="AH907" i="1"/>
  <c r="AH906" i="1"/>
  <c r="AH905" i="1"/>
  <c r="AH904" i="1"/>
  <c r="AH903" i="1"/>
  <c r="AH902" i="1"/>
  <c r="AH901" i="1"/>
  <c r="AH900" i="1"/>
  <c r="AH899" i="1"/>
  <c r="AH898" i="1"/>
  <c r="AH897" i="1"/>
  <c r="AH896" i="1"/>
  <c r="AH895" i="1"/>
  <c r="AH894" i="1"/>
  <c r="AH893" i="1"/>
  <c r="AH892" i="1"/>
  <c r="AH891" i="1"/>
  <c r="AH890" i="1"/>
  <c r="AH889" i="1"/>
  <c r="AH888" i="1"/>
  <c r="AH887" i="1"/>
  <c r="AH886" i="1"/>
  <c r="AH885" i="1"/>
  <c r="AH884" i="1"/>
  <c r="AH883" i="1"/>
  <c r="AH882" i="1"/>
  <c r="AH881" i="1"/>
  <c r="AH880" i="1"/>
  <c r="AH879" i="1"/>
  <c r="AH878" i="1"/>
  <c r="AH877" i="1"/>
  <c r="AH876" i="1"/>
  <c r="AH875" i="1"/>
  <c r="AH874" i="1"/>
  <c r="AH873" i="1"/>
  <c r="AH872" i="1"/>
  <c r="AH871" i="1"/>
  <c r="AH870" i="1"/>
  <c r="AH869" i="1"/>
  <c r="AH868" i="1"/>
  <c r="AH867" i="1"/>
  <c r="AH866" i="1"/>
  <c r="AH865" i="1"/>
  <c r="AH864" i="1"/>
  <c r="AH863" i="1"/>
  <c r="AH862" i="1"/>
  <c r="AH861" i="1"/>
  <c r="AH860" i="1"/>
  <c r="AH859" i="1"/>
  <c r="AH858" i="1"/>
  <c r="AH857" i="1"/>
  <c r="AH856" i="1"/>
  <c r="AH855" i="1"/>
  <c r="AH854" i="1"/>
  <c r="AH853" i="1"/>
  <c r="AH852" i="1"/>
  <c r="AH851" i="1"/>
  <c r="AH850" i="1"/>
  <c r="AH849" i="1"/>
  <c r="AH848" i="1"/>
  <c r="AH847" i="1"/>
  <c r="AH846" i="1"/>
  <c r="AH845" i="1"/>
  <c r="AH844" i="1"/>
  <c r="AH843" i="1"/>
  <c r="AH842" i="1"/>
  <c r="AH841" i="1"/>
  <c r="AH840" i="1"/>
  <c r="AH839" i="1"/>
  <c r="AH838" i="1"/>
  <c r="AH837" i="1"/>
  <c r="AH836" i="1"/>
  <c r="AH835" i="1"/>
  <c r="AH834" i="1"/>
  <c r="AH833" i="1"/>
  <c r="AH832" i="1"/>
  <c r="AH831" i="1"/>
  <c r="AH830" i="1"/>
  <c r="AH829" i="1"/>
  <c r="AH828" i="1"/>
  <c r="AH827" i="1"/>
  <c r="AH826" i="1"/>
  <c r="AH825" i="1"/>
  <c r="AH824" i="1"/>
  <c r="AH823" i="1"/>
  <c r="AH822" i="1"/>
  <c r="AH821" i="1"/>
  <c r="AH820" i="1"/>
  <c r="AH819" i="1"/>
  <c r="AH818" i="1"/>
  <c r="AH817" i="1"/>
  <c r="AH816" i="1"/>
  <c r="AH815" i="1"/>
  <c r="AH814" i="1"/>
  <c r="AH813" i="1"/>
  <c r="AH812" i="1"/>
  <c r="AH811" i="1"/>
  <c r="AH810" i="1"/>
  <c r="AH809" i="1"/>
  <c r="AH808" i="1"/>
  <c r="AH807" i="1"/>
  <c r="AH806" i="1"/>
  <c r="AH805" i="1"/>
  <c r="AH804" i="1"/>
  <c r="AH803" i="1"/>
  <c r="AH802" i="1"/>
  <c r="AH801" i="1"/>
  <c r="AH800" i="1"/>
  <c r="AH799" i="1"/>
  <c r="AH798" i="1"/>
  <c r="AH797" i="1"/>
  <c r="AH796" i="1"/>
  <c r="AH795" i="1"/>
  <c r="AH794" i="1"/>
  <c r="AH793" i="1"/>
  <c r="AH792" i="1"/>
  <c r="AH791" i="1"/>
  <c r="AH790" i="1"/>
  <c r="AH789" i="1"/>
  <c r="AH788" i="1"/>
  <c r="AH787" i="1"/>
  <c r="AH786" i="1"/>
  <c r="AH785" i="1"/>
  <c r="AH784" i="1"/>
  <c r="AH783" i="1"/>
  <c r="AH782" i="1"/>
  <c r="AH781" i="1"/>
  <c r="AH780" i="1"/>
  <c r="AH779" i="1"/>
  <c r="AH778" i="1"/>
  <c r="AH777" i="1"/>
  <c r="AH776" i="1"/>
  <c r="AH775" i="1"/>
  <c r="AH774" i="1"/>
  <c r="AH773" i="1"/>
  <c r="AH772" i="1"/>
  <c r="AH771" i="1"/>
  <c r="AH770" i="1"/>
  <c r="AH769" i="1"/>
  <c r="AH768" i="1"/>
  <c r="AH767" i="1"/>
  <c r="AH766" i="1"/>
  <c r="AH765" i="1"/>
  <c r="AH764" i="1"/>
  <c r="AH763" i="1"/>
  <c r="AH762" i="1"/>
  <c r="AH761" i="1"/>
  <c r="AH760" i="1"/>
  <c r="AH759" i="1"/>
  <c r="AH758" i="1"/>
  <c r="AH757" i="1"/>
  <c r="AH756" i="1"/>
  <c r="AH755" i="1"/>
  <c r="AH754" i="1"/>
  <c r="AH753" i="1"/>
  <c r="AH752" i="1"/>
  <c r="AH751" i="1"/>
  <c r="AH750" i="1"/>
  <c r="AH749" i="1"/>
  <c r="AH748" i="1"/>
  <c r="AH747" i="1"/>
  <c r="AH746" i="1"/>
  <c r="AH745" i="1"/>
  <c r="AH744" i="1"/>
  <c r="AH743" i="1"/>
  <c r="AH742" i="1"/>
  <c r="AH741" i="1"/>
  <c r="AH740" i="1"/>
  <c r="AH739" i="1"/>
  <c r="AH738" i="1"/>
  <c r="AH737" i="1"/>
  <c r="AH736" i="1"/>
  <c r="AH735" i="1"/>
  <c r="AH734" i="1"/>
  <c r="AH733" i="1"/>
  <c r="AH732" i="1"/>
  <c r="AH731" i="1"/>
  <c r="AH730" i="1"/>
  <c r="AH729" i="1"/>
  <c r="AH728" i="1"/>
  <c r="AH727" i="1"/>
  <c r="AH726" i="1"/>
  <c r="AH725" i="1"/>
  <c r="AH724" i="1"/>
  <c r="AH723" i="1"/>
  <c r="AH722" i="1"/>
  <c r="AH721" i="1"/>
  <c r="AH720" i="1"/>
  <c r="AH719" i="1"/>
  <c r="AH718" i="1"/>
  <c r="AH717" i="1"/>
  <c r="AH716" i="1"/>
  <c r="AH715" i="1"/>
  <c r="AH714" i="1"/>
  <c r="AH713" i="1"/>
  <c r="AH712" i="1"/>
  <c r="AH711" i="1"/>
  <c r="AH710" i="1"/>
  <c r="AH709" i="1"/>
  <c r="AH708" i="1"/>
  <c r="AH707" i="1"/>
  <c r="AH706" i="1"/>
  <c r="AH705" i="1"/>
  <c r="AH704" i="1"/>
  <c r="AH703" i="1"/>
  <c r="AH702" i="1"/>
  <c r="AH701" i="1"/>
  <c r="AH700" i="1"/>
  <c r="AH699" i="1"/>
  <c r="AH698" i="1"/>
  <c r="AH697" i="1"/>
  <c r="AH696" i="1"/>
  <c r="AH695" i="1"/>
  <c r="AH694" i="1"/>
  <c r="AH693" i="1"/>
  <c r="AH692" i="1"/>
  <c r="AH691" i="1"/>
  <c r="AH690" i="1"/>
  <c r="AH689" i="1"/>
  <c r="AH688" i="1"/>
  <c r="AH687" i="1"/>
  <c r="AH686" i="1"/>
  <c r="AH685" i="1"/>
  <c r="AH684" i="1"/>
  <c r="AH683" i="1"/>
  <c r="AH682" i="1"/>
  <c r="AH681" i="1"/>
  <c r="AH680" i="1"/>
  <c r="AH679" i="1"/>
  <c r="AH678" i="1"/>
  <c r="AH677" i="1"/>
  <c r="AH676" i="1"/>
  <c r="AH675" i="1"/>
  <c r="AH674" i="1"/>
  <c r="AH673" i="1"/>
  <c r="AH672" i="1"/>
  <c r="AH671" i="1"/>
  <c r="AH670" i="1"/>
  <c r="AH669" i="1"/>
  <c r="AH668" i="1"/>
  <c r="AH667" i="1"/>
  <c r="AH666" i="1"/>
  <c r="AH665" i="1"/>
  <c r="AH664" i="1"/>
  <c r="AH663" i="1"/>
  <c r="AH662" i="1"/>
  <c r="AH661" i="1"/>
  <c r="AH660" i="1"/>
  <c r="AH659" i="1"/>
  <c r="AH658" i="1"/>
  <c r="AH657" i="1"/>
  <c r="AH656" i="1"/>
  <c r="AH655" i="1"/>
  <c r="AH654" i="1"/>
  <c r="AH653" i="1"/>
  <c r="AH652" i="1"/>
  <c r="AH651" i="1"/>
  <c r="AH650" i="1"/>
  <c r="AH649" i="1"/>
  <c r="AH648" i="1"/>
  <c r="AH647" i="1"/>
  <c r="AH646" i="1"/>
  <c r="AH645" i="1"/>
  <c r="AH644" i="1"/>
  <c r="AH643" i="1"/>
  <c r="AH642" i="1"/>
  <c r="AH641" i="1"/>
  <c r="AH640" i="1"/>
  <c r="AH639" i="1"/>
  <c r="AH638" i="1"/>
  <c r="AH637" i="1"/>
  <c r="AH636" i="1"/>
  <c r="AH635" i="1"/>
  <c r="AH634" i="1"/>
  <c r="AH633" i="1"/>
  <c r="AH632" i="1"/>
  <c r="AH631" i="1"/>
  <c r="AH630" i="1"/>
  <c r="AH629" i="1"/>
  <c r="AH628" i="1"/>
  <c r="AH627" i="1"/>
  <c r="AH626" i="1"/>
  <c r="AH625" i="1"/>
  <c r="AH624" i="1"/>
  <c r="AH623" i="1"/>
  <c r="AH622" i="1"/>
  <c r="AH621" i="1"/>
  <c r="AH620" i="1"/>
  <c r="AH619" i="1"/>
  <c r="AH618" i="1"/>
  <c r="AH617" i="1"/>
  <c r="AH616" i="1"/>
  <c r="AH615" i="1"/>
  <c r="AH614" i="1"/>
  <c r="AH613" i="1"/>
  <c r="AH612" i="1"/>
  <c r="AH611" i="1"/>
  <c r="AH610" i="1"/>
  <c r="AH609" i="1"/>
  <c r="AH608" i="1"/>
  <c r="AH607" i="1"/>
  <c r="AH606" i="1"/>
  <c r="AH605" i="1"/>
  <c r="AH604" i="1"/>
  <c r="AH603" i="1"/>
  <c r="AH602" i="1"/>
  <c r="AH601" i="1"/>
  <c r="AH600" i="1"/>
  <c r="AH599" i="1"/>
  <c r="AH598" i="1"/>
  <c r="AH597" i="1"/>
  <c r="AH596" i="1"/>
  <c r="AH595" i="1"/>
  <c r="AH594" i="1"/>
  <c r="AH593" i="1"/>
  <c r="AH592" i="1"/>
  <c r="AH591" i="1"/>
  <c r="AH590" i="1"/>
  <c r="AH589" i="1"/>
  <c r="AH588" i="1"/>
  <c r="AH587" i="1"/>
  <c r="AH586" i="1"/>
  <c r="AH585" i="1"/>
  <c r="AH584" i="1"/>
  <c r="AH583" i="1"/>
  <c r="AH582" i="1"/>
  <c r="AH581" i="1"/>
  <c r="AH580" i="1"/>
  <c r="AH579" i="1"/>
  <c r="AH578" i="1"/>
  <c r="AH577" i="1"/>
  <c r="AH576" i="1"/>
  <c r="AH575" i="1"/>
  <c r="AH574" i="1"/>
  <c r="AH573" i="1"/>
  <c r="AH572" i="1"/>
  <c r="AH571" i="1"/>
  <c r="AH570" i="1"/>
  <c r="AH569" i="1"/>
  <c r="AH568" i="1"/>
  <c r="AH567" i="1"/>
  <c r="AH566" i="1"/>
  <c r="AH565" i="1"/>
  <c r="AH564" i="1"/>
  <c r="AH563" i="1"/>
  <c r="AH562" i="1"/>
  <c r="AH561" i="1"/>
  <c r="AH560" i="1"/>
  <c r="AH559" i="1"/>
  <c r="AH558" i="1"/>
  <c r="AH557" i="1"/>
  <c r="AH556" i="1"/>
  <c r="AH555" i="1"/>
  <c r="AH554" i="1"/>
  <c r="AH553" i="1"/>
  <c r="AH552" i="1"/>
  <c r="AH551" i="1"/>
  <c r="AH550" i="1"/>
  <c r="AH549" i="1"/>
  <c r="AH548" i="1"/>
  <c r="AH547" i="1"/>
  <c r="AH546" i="1"/>
  <c r="AH545" i="1"/>
  <c r="AH544" i="1"/>
  <c r="AH543" i="1"/>
  <c r="AH542" i="1"/>
  <c r="AH541" i="1"/>
  <c r="AH540" i="1"/>
  <c r="AH539" i="1"/>
  <c r="AH538" i="1"/>
  <c r="AH537" i="1"/>
  <c r="AH536" i="1"/>
  <c r="AH535" i="1"/>
  <c r="AH534" i="1"/>
  <c r="AH533" i="1"/>
  <c r="AH532" i="1"/>
  <c r="AH531" i="1"/>
  <c r="AH530" i="1"/>
  <c r="AH529" i="1"/>
  <c r="AH528" i="1"/>
  <c r="AH527" i="1"/>
  <c r="AH526" i="1"/>
  <c r="AH525" i="1"/>
  <c r="AH524" i="1"/>
  <c r="AH523" i="1"/>
  <c r="AH522" i="1"/>
  <c r="AH521" i="1"/>
  <c r="AH520" i="1"/>
  <c r="AH519" i="1"/>
  <c r="AH518" i="1"/>
  <c r="AH517" i="1"/>
  <c r="AH516" i="1"/>
  <c r="AH515" i="1"/>
  <c r="AH514" i="1"/>
  <c r="AH513" i="1"/>
  <c r="AH512" i="1"/>
  <c r="AH511" i="1"/>
  <c r="AH510" i="1"/>
  <c r="AH509" i="1"/>
  <c r="AH508" i="1"/>
  <c r="AH507" i="1"/>
  <c r="AH506" i="1"/>
  <c r="AH505" i="1"/>
  <c r="AH504" i="1"/>
  <c r="AH503" i="1"/>
  <c r="AH502" i="1"/>
  <c r="AH501" i="1"/>
  <c r="AH500" i="1"/>
  <c r="AH499" i="1"/>
  <c r="AH498" i="1"/>
  <c r="AH497" i="1"/>
  <c r="AH496" i="1"/>
  <c r="AH495" i="1"/>
  <c r="AH494" i="1"/>
  <c r="AH493" i="1"/>
  <c r="AH492" i="1"/>
  <c r="AH491" i="1"/>
  <c r="AH490" i="1"/>
  <c r="AH489" i="1"/>
  <c r="AH488" i="1"/>
  <c r="AH487" i="1"/>
  <c r="AH486" i="1"/>
  <c r="AH485" i="1"/>
  <c r="AH484" i="1"/>
  <c r="AH483" i="1"/>
  <c r="AH482" i="1"/>
  <c r="AH481" i="1"/>
  <c r="AH480" i="1"/>
  <c r="AH479" i="1"/>
  <c r="AH478" i="1"/>
  <c r="AH477" i="1"/>
  <c r="AH476" i="1"/>
  <c r="AH475" i="1"/>
  <c r="AH474" i="1"/>
  <c r="AH473" i="1"/>
  <c r="AH472" i="1"/>
  <c r="AH471" i="1"/>
  <c r="AH470" i="1"/>
  <c r="AH469" i="1"/>
  <c r="AH468" i="1"/>
  <c r="AH467" i="1"/>
  <c r="AH466" i="1"/>
  <c r="AH465" i="1"/>
  <c r="AH464" i="1"/>
  <c r="AH463" i="1"/>
  <c r="AH462" i="1"/>
  <c r="AH461" i="1"/>
  <c r="AH460" i="1"/>
  <c r="AH459" i="1"/>
  <c r="AH458" i="1"/>
  <c r="AH457" i="1"/>
  <c r="AH456" i="1"/>
  <c r="AH455" i="1"/>
  <c r="AH454" i="1"/>
  <c r="AH453" i="1"/>
  <c r="AH452" i="1"/>
  <c r="AH451" i="1"/>
  <c r="AH450" i="1"/>
  <c r="AH449" i="1"/>
  <c r="AH448" i="1"/>
  <c r="AH447" i="1"/>
  <c r="AH446" i="1"/>
  <c r="AH445" i="1"/>
  <c r="AH444" i="1"/>
  <c r="AH443" i="1"/>
  <c r="AH442" i="1"/>
  <c r="AH441" i="1"/>
  <c r="AH440" i="1"/>
  <c r="AH439" i="1"/>
  <c r="AH438" i="1"/>
  <c r="AH437" i="1"/>
  <c r="AH436" i="1"/>
  <c r="AH435" i="1"/>
  <c r="AH434" i="1"/>
  <c r="AH433" i="1"/>
  <c r="AH432" i="1"/>
  <c r="AH431" i="1"/>
  <c r="AH430" i="1"/>
  <c r="AH429" i="1"/>
  <c r="AH428" i="1"/>
  <c r="AH427" i="1"/>
  <c r="AH426" i="1"/>
  <c r="AH425" i="1"/>
  <c r="AH424" i="1"/>
  <c r="AH423" i="1"/>
  <c r="AH422" i="1"/>
  <c r="AH421" i="1"/>
  <c r="AH420" i="1"/>
  <c r="AH419" i="1"/>
  <c r="AH418" i="1"/>
  <c r="AH417" i="1"/>
  <c r="AH416" i="1"/>
  <c r="AH415" i="1"/>
  <c r="AH414" i="1"/>
  <c r="AH413" i="1"/>
  <c r="AH412" i="1"/>
  <c r="AH411" i="1"/>
  <c r="AH410" i="1"/>
  <c r="AH409" i="1"/>
  <c r="AH408" i="1"/>
  <c r="AH407" i="1"/>
  <c r="AH406" i="1"/>
  <c r="AH405" i="1"/>
  <c r="AH404" i="1"/>
  <c r="AH403" i="1"/>
  <c r="AH402" i="1"/>
  <c r="AH401" i="1"/>
  <c r="AH400" i="1"/>
  <c r="AH399" i="1"/>
  <c r="AH398" i="1"/>
  <c r="AH397" i="1"/>
  <c r="AH396" i="1"/>
  <c r="AH395" i="1"/>
  <c r="AH394" i="1"/>
  <c r="AH393" i="1"/>
  <c r="AH392" i="1"/>
  <c r="AH391" i="1"/>
  <c r="AH390" i="1"/>
  <c r="AH389" i="1"/>
  <c r="AH388" i="1"/>
  <c r="AH387" i="1"/>
  <c r="AH386" i="1"/>
  <c r="AH385" i="1"/>
  <c r="AH384" i="1"/>
  <c r="AH383" i="1"/>
  <c r="AH382" i="1"/>
  <c r="AH381" i="1"/>
  <c r="AH380" i="1"/>
  <c r="AH379" i="1"/>
  <c r="AH378" i="1"/>
  <c r="AH377" i="1"/>
  <c r="AH376" i="1"/>
  <c r="AH375" i="1"/>
  <c r="AH374" i="1"/>
  <c r="AH373" i="1"/>
  <c r="AH372" i="1"/>
  <c r="AH371" i="1"/>
  <c r="AH370" i="1"/>
  <c r="AH369" i="1"/>
  <c r="AH368" i="1"/>
  <c r="AH367" i="1"/>
  <c r="AH366" i="1"/>
  <c r="AH365" i="1"/>
  <c r="AH364" i="1"/>
  <c r="AH363" i="1"/>
  <c r="AH362" i="1"/>
  <c r="AH361" i="1"/>
  <c r="AH360" i="1"/>
  <c r="AH359" i="1"/>
  <c r="AH358" i="1"/>
  <c r="AH357" i="1"/>
  <c r="AH356" i="1"/>
  <c r="AH355" i="1"/>
  <c r="AH354" i="1"/>
  <c r="AH353" i="1"/>
  <c r="AH352" i="1"/>
  <c r="AH351" i="1"/>
  <c r="AH350" i="1"/>
  <c r="AH349" i="1"/>
  <c r="AH348" i="1"/>
  <c r="AH347" i="1"/>
  <c r="AH346" i="1"/>
  <c r="AH345" i="1"/>
  <c r="AH344" i="1"/>
  <c r="AH343" i="1"/>
  <c r="AH342" i="1"/>
  <c r="AH341" i="1"/>
  <c r="AH340" i="1"/>
  <c r="AH339" i="1"/>
  <c r="AH338" i="1"/>
  <c r="AH337" i="1"/>
  <c r="AH336" i="1"/>
  <c r="AH335" i="1"/>
  <c r="AH334" i="1"/>
  <c r="AH333" i="1"/>
  <c r="AH332" i="1"/>
  <c r="AH331" i="1"/>
  <c r="AH330" i="1"/>
  <c r="AH329" i="1"/>
  <c r="AH328" i="1"/>
  <c r="AH327" i="1"/>
  <c r="AH326" i="1"/>
  <c r="AH325" i="1"/>
  <c r="AH324" i="1"/>
  <c r="AH323" i="1"/>
  <c r="AH322" i="1"/>
  <c r="AH321" i="1"/>
  <c r="AH320" i="1"/>
  <c r="AH319" i="1"/>
  <c r="AH318" i="1"/>
  <c r="AH317" i="1"/>
  <c r="AH316" i="1"/>
  <c r="AH315" i="1"/>
  <c r="AH314" i="1"/>
  <c r="AH313" i="1"/>
  <c r="AH312" i="1"/>
  <c r="AH311" i="1"/>
  <c r="AH310" i="1"/>
  <c r="AH309" i="1"/>
  <c r="AH308" i="1"/>
  <c r="AH307" i="1"/>
  <c r="AH306" i="1"/>
  <c r="AH305" i="1"/>
  <c r="AH304" i="1"/>
  <c r="AH303" i="1"/>
  <c r="AH302" i="1"/>
  <c r="AH301" i="1"/>
  <c r="AH300" i="1"/>
  <c r="AH299" i="1"/>
  <c r="AH298" i="1"/>
  <c r="AH297" i="1"/>
  <c r="AH296" i="1"/>
  <c r="AH295" i="1"/>
  <c r="AH294" i="1"/>
  <c r="AH293" i="1"/>
  <c r="AH292" i="1"/>
  <c r="AH291" i="1"/>
  <c r="AH290" i="1"/>
  <c r="AH289" i="1"/>
  <c r="AH288" i="1"/>
  <c r="AH287" i="1"/>
  <c r="AH286" i="1"/>
  <c r="AH285" i="1"/>
  <c r="AH284" i="1"/>
  <c r="AH283" i="1"/>
  <c r="AH282" i="1"/>
  <c r="AH281" i="1"/>
  <c r="AH280" i="1"/>
  <c r="AH279" i="1"/>
  <c r="AH278" i="1"/>
  <c r="AH277" i="1"/>
  <c r="AH276" i="1"/>
  <c r="AH275" i="1"/>
  <c r="AH274" i="1"/>
  <c r="AH273" i="1"/>
  <c r="AH272" i="1"/>
  <c r="AH271" i="1"/>
  <c r="AH270" i="1"/>
  <c r="AH269" i="1"/>
  <c r="AH268" i="1"/>
  <c r="AH267" i="1"/>
  <c r="AH266" i="1"/>
  <c r="AH265" i="1"/>
  <c r="AH264" i="1"/>
  <c r="AH263" i="1"/>
  <c r="AH262" i="1"/>
  <c r="AH261" i="1"/>
  <c r="AH260" i="1"/>
  <c r="AH259" i="1"/>
  <c r="AH258" i="1"/>
  <c r="AH257" i="1"/>
  <c r="AH256" i="1"/>
  <c r="AH255" i="1"/>
  <c r="AH254" i="1"/>
  <c r="AH253" i="1"/>
  <c r="AH252" i="1"/>
  <c r="AH251" i="1"/>
  <c r="AH250" i="1"/>
  <c r="AH249" i="1"/>
  <c r="AH248" i="1"/>
  <c r="AH247" i="1"/>
  <c r="AH246" i="1"/>
  <c r="AH245" i="1"/>
  <c r="AH244" i="1"/>
  <c r="AH243" i="1"/>
  <c r="AH242" i="1"/>
  <c r="AH241" i="1"/>
  <c r="AH240" i="1"/>
  <c r="AH239" i="1"/>
  <c r="AH238" i="1"/>
  <c r="AH237" i="1"/>
  <c r="AH236" i="1"/>
  <c r="AH235" i="1"/>
  <c r="AH234" i="1"/>
  <c r="AH233" i="1"/>
  <c r="AH232" i="1"/>
  <c r="AH231" i="1"/>
  <c r="AH230" i="1"/>
  <c r="AH229" i="1"/>
  <c r="AH228" i="1"/>
  <c r="AH227" i="1"/>
  <c r="AH226" i="1"/>
  <c r="AH225" i="1"/>
  <c r="AH224" i="1"/>
  <c r="AH223" i="1"/>
  <c r="AH222" i="1"/>
  <c r="AH221" i="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4"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1687" i="1"/>
  <c r="AH2" i="1"/>
  <c r="AG2" i="1"/>
  <c r="AG1686" i="1"/>
  <c r="AG1685" i="1"/>
  <c r="AG1684" i="1"/>
  <c r="AG1683" i="1"/>
  <c r="AG1682" i="1"/>
  <c r="AG1681" i="1"/>
  <c r="AG1680" i="1"/>
  <c r="AG1679" i="1"/>
  <c r="AG1678" i="1"/>
  <c r="AG1677" i="1"/>
  <c r="AG1676" i="1"/>
  <c r="AG1675" i="1"/>
  <c r="AG1674" i="1"/>
  <c r="AG1673" i="1"/>
  <c r="AG1672" i="1"/>
  <c r="AG1671" i="1"/>
  <c r="AG1670" i="1"/>
  <c r="AG1669" i="1"/>
  <c r="AG1668" i="1"/>
  <c r="AG1667" i="1"/>
  <c r="AG1666" i="1"/>
  <c r="AG1665" i="1"/>
  <c r="AG1664" i="1"/>
  <c r="AG1663" i="1"/>
  <c r="AG1662" i="1"/>
  <c r="AG1661" i="1"/>
  <c r="AG1660" i="1"/>
  <c r="AG1659" i="1"/>
  <c r="AG1658" i="1"/>
  <c r="AG1657" i="1"/>
  <c r="AG1656" i="1"/>
  <c r="AG1655" i="1"/>
  <c r="AG1654" i="1"/>
  <c r="AG1653" i="1"/>
  <c r="AG1652" i="1"/>
  <c r="AG1651" i="1"/>
  <c r="AG1650" i="1"/>
  <c r="AG1649" i="1"/>
  <c r="AG1648" i="1"/>
  <c r="AG1647" i="1"/>
  <c r="AG1646" i="1"/>
  <c r="AG1645" i="1"/>
  <c r="AG1644" i="1"/>
  <c r="AG1643" i="1"/>
  <c r="AG1642" i="1"/>
  <c r="AG1641" i="1"/>
  <c r="AG1640" i="1"/>
  <c r="AG1639" i="1"/>
  <c r="AG1638" i="1"/>
  <c r="AG1637" i="1"/>
  <c r="AG1636" i="1"/>
  <c r="AG1635" i="1"/>
  <c r="AG1634" i="1"/>
  <c r="AG1633" i="1"/>
  <c r="AG1632" i="1"/>
  <c r="AG1631" i="1"/>
  <c r="AG1630" i="1"/>
  <c r="AG1629" i="1"/>
  <c r="AG1628" i="1"/>
  <c r="AG1627" i="1"/>
  <c r="AG1626" i="1"/>
  <c r="AG1625" i="1"/>
  <c r="AG1624" i="1"/>
  <c r="AG1623" i="1"/>
  <c r="AG1622" i="1"/>
  <c r="AG1621" i="1"/>
  <c r="AG1620" i="1"/>
  <c r="AG1619" i="1"/>
  <c r="AG1618" i="1"/>
  <c r="AG1617" i="1"/>
  <c r="AG1616" i="1"/>
  <c r="AG1615" i="1"/>
  <c r="AG1614" i="1"/>
  <c r="AG1613" i="1"/>
  <c r="AG1612" i="1"/>
  <c r="AG1611" i="1"/>
  <c r="AG1610" i="1"/>
  <c r="AG1609" i="1"/>
  <c r="AG1608" i="1"/>
  <c r="AG1607" i="1"/>
  <c r="AG1606" i="1"/>
  <c r="AG1605" i="1"/>
  <c r="AG1604" i="1"/>
  <c r="AG1603" i="1"/>
  <c r="AG1602" i="1"/>
  <c r="AG1601" i="1"/>
  <c r="AG1600" i="1"/>
  <c r="AG1599" i="1"/>
  <c r="AG1598" i="1"/>
  <c r="AG1597" i="1"/>
  <c r="AG1596" i="1"/>
  <c r="AG1595" i="1"/>
  <c r="AG1594" i="1"/>
  <c r="AG1593" i="1"/>
  <c r="AG1592" i="1"/>
  <c r="AG1591" i="1"/>
  <c r="AG1590" i="1"/>
  <c r="AG1589" i="1"/>
  <c r="AG1588" i="1"/>
  <c r="AG1587" i="1"/>
  <c r="AG1586" i="1"/>
  <c r="AG1585" i="1"/>
  <c r="AG1584" i="1"/>
  <c r="AG1583" i="1"/>
  <c r="AG1582" i="1"/>
  <c r="AG1581" i="1"/>
  <c r="AG1580" i="1"/>
  <c r="AG1579" i="1"/>
  <c r="AG1578" i="1"/>
  <c r="AG1577" i="1"/>
  <c r="AG1576" i="1"/>
  <c r="AG1575" i="1"/>
  <c r="AG1574" i="1"/>
  <c r="AG1573" i="1"/>
  <c r="AG1572" i="1"/>
  <c r="AG1571" i="1"/>
  <c r="AG1570" i="1"/>
  <c r="AG1569" i="1"/>
  <c r="AG1568" i="1"/>
  <c r="AG1567" i="1"/>
  <c r="AG1566" i="1"/>
  <c r="AG1565" i="1"/>
  <c r="AG1564" i="1"/>
  <c r="AG1563" i="1"/>
  <c r="AG1562" i="1"/>
  <c r="AG1561" i="1"/>
  <c r="AG1560" i="1"/>
  <c r="AG1559" i="1"/>
  <c r="AG1558" i="1"/>
  <c r="AG1557" i="1"/>
  <c r="AG1556" i="1"/>
  <c r="AG1555" i="1"/>
  <c r="AG1554" i="1"/>
  <c r="AG1553" i="1"/>
  <c r="AG1552" i="1"/>
  <c r="AG1551" i="1"/>
  <c r="AG1550" i="1"/>
  <c r="AG1549" i="1"/>
  <c r="AG1548" i="1"/>
  <c r="AG1547" i="1"/>
  <c r="AG1546" i="1"/>
  <c r="AG1545" i="1"/>
  <c r="AG1544" i="1"/>
  <c r="AG1543" i="1"/>
  <c r="AG1542" i="1"/>
  <c r="AG1541" i="1"/>
  <c r="AG1540" i="1"/>
  <c r="AG1539" i="1"/>
  <c r="AG1538" i="1"/>
  <c r="AG1537" i="1"/>
  <c r="AG1536" i="1"/>
  <c r="AG1535" i="1"/>
  <c r="AG1534" i="1"/>
  <c r="AG1533" i="1"/>
  <c r="AG1532" i="1"/>
  <c r="AG1531" i="1"/>
  <c r="AG1530" i="1"/>
  <c r="AG1529" i="1"/>
  <c r="AG1528" i="1"/>
  <c r="AG1527" i="1"/>
  <c r="AG1526" i="1"/>
  <c r="AG1525" i="1"/>
  <c r="AG1524" i="1"/>
  <c r="AG1523" i="1"/>
  <c r="AG1522" i="1"/>
  <c r="AG1521" i="1"/>
  <c r="AG1520" i="1"/>
  <c r="AG1519" i="1"/>
  <c r="AG1518" i="1"/>
  <c r="AG1517" i="1"/>
  <c r="AG1516" i="1"/>
  <c r="AG1515" i="1"/>
  <c r="AG1514" i="1"/>
  <c r="AG1513" i="1"/>
  <c r="AG1512" i="1"/>
  <c r="AG1511" i="1"/>
  <c r="AG1510" i="1"/>
  <c r="AG1509" i="1"/>
  <c r="AG1508" i="1"/>
  <c r="AG1507" i="1"/>
  <c r="AG1506" i="1"/>
  <c r="AG1505" i="1"/>
  <c r="AG1504" i="1"/>
  <c r="AG1503" i="1"/>
  <c r="AG1502" i="1"/>
  <c r="AG1501" i="1"/>
  <c r="AG1500" i="1"/>
  <c r="AG1499" i="1"/>
  <c r="AG1498" i="1"/>
  <c r="AG1497" i="1"/>
  <c r="AG1496" i="1"/>
  <c r="AG1495" i="1"/>
  <c r="AG1494" i="1"/>
  <c r="AG1493" i="1"/>
  <c r="AG1492" i="1"/>
  <c r="AG1491" i="1"/>
  <c r="AG1490" i="1"/>
  <c r="AG1489" i="1"/>
  <c r="AG1488" i="1"/>
  <c r="AG1487" i="1"/>
  <c r="AG1486" i="1"/>
  <c r="AG1485" i="1"/>
  <c r="AG1484" i="1"/>
  <c r="AG1483" i="1"/>
  <c r="AG1482" i="1"/>
  <c r="AG1481" i="1"/>
  <c r="AG1480" i="1"/>
  <c r="AG1479" i="1"/>
  <c r="AG1478" i="1"/>
  <c r="AG1477" i="1"/>
  <c r="AG1476" i="1"/>
  <c r="AG1475" i="1"/>
  <c r="AG1474" i="1"/>
  <c r="AG1473" i="1"/>
  <c r="AG1472" i="1"/>
  <c r="AG1471" i="1"/>
  <c r="AG1470" i="1"/>
  <c r="AG1469" i="1"/>
  <c r="AG1468" i="1"/>
  <c r="AG1467" i="1"/>
  <c r="AG1466" i="1"/>
  <c r="AG1465" i="1"/>
  <c r="AG1464" i="1"/>
  <c r="AG1463" i="1"/>
  <c r="AG1462" i="1"/>
  <c r="AG1461" i="1"/>
  <c r="AG1460" i="1"/>
  <c r="AG1459" i="1"/>
  <c r="AG1458" i="1"/>
  <c r="AG1457" i="1"/>
  <c r="AG1456" i="1"/>
  <c r="AG1455" i="1"/>
  <c r="AG1454" i="1"/>
  <c r="AG1453" i="1"/>
  <c r="AG1452" i="1"/>
  <c r="AG1451" i="1"/>
  <c r="AG1450" i="1"/>
  <c r="AG1449" i="1"/>
  <c r="AG1448" i="1"/>
  <c r="AG1447" i="1"/>
  <c r="AG1446" i="1"/>
  <c r="AG1445" i="1"/>
  <c r="AG1444" i="1"/>
  <c r="AG1443" i="1"/>
  <c r="AG1442" i="1"/>
  <c r="AG1441" i="1"/>
  <c r="AG1440" i="1"/>
  <c r="AG1439" i="1"/>
  <c r="AG1438" i="1"/>
  <c r="AG1437" i="1"/>
  <c r="AG1436" i="1"/>
  <c r="AG1435" i="1"/>
  <c r="AG1434" i="1"/>
  <c r="AG1433" i="1"/>
  <c r="AG1432" i="1"/>
  <c r="AG1431" i="1"/>
  <c r="AG1430" i="1"/>
  <c r="AG1429" i="1"/>
  <c r="AG1428" i="1"/>
  <c r="AG1427" i="1"/>
  <c r="AG1426" i="1"/>
  <c r="AG1425" i="1"/>
  <c r="AG1424" i="1"/>
  <c r="AG1423" i="1"/>
  <c r="AG1422" i="1"/>
  <c r="AG1421" i="1"/>
  <c r="AG1420" i="1"/>
  <c r="AG1419" i="1"/>
  <c r="AG1418" i="1"/>
  <c r="AG1417" i="1"/>
  <c r="AG1416" i="1"/>
  <c r="AG1415" i="1"/>
  <c r="AG1414" i="1"/>
  <c r="AG1413" i="1"/>
  <c r="AG1412" i="1"/>
  <c r="AG1411" i="1"/>
  <c r="AG1410" i="1"/>
  <c r="AG1409" i="1"/>
  <c r="AG1408" i="1"/>
  <c r="AG1407" i="1"/>
  <c r="AG1406" i="1"/>
  <c r="AG1405" i="1"/>
  <c r="AG1404" i="1"/>
  <c r="AG1403" i="1"/>
  <c r="AG1402" i="1"/>
  <c r="AG1401" i="1"/>
  <c r="AG1400" i="1"/>
  <c r="AG1399" i="1"/>
  <c r="AG1398" i="1"/>
  <c r="AG1397" i="1"/>
  <c r="AG1396" i="1"/>
  <c r="AG1395" i="1"/>
  <c r="AG1394" i="1"/>
  <c r="AG1393" i="1"/>
  <c r="AG1392" i="1"/>
  <c r="AG1391" i="1"/>
  <c r="AG1390" i="1"/>
  <c r="AG1389" i="1"/>
  <c r="AG1388" i="1"/>
  <c r="AG1387" i="1"/>
  <c r="AG1386" i="1"/>
  <c r="AG1385" i="1"/>
  <c r="AG1384" i="1"/>
  <c r="AG1383" i="1"/>
  <c r="AG1382" i="1"/>
  <c r="AG1381" i="1"/>
  <c r="AG1380" i="1"/>
  <c r="AG1379" i="1"/>
  <c r="AG1378" i="1"/>
  <c r="AG1377" i="1"/>
  <c r="AG1376" i="1"/>
  <c r="AG1375" i="1"/>
  <c r="AG1374" i="1"/>
  <c r="AG1373" i="1"/>
  <c r="AG1372" i="1"/>
  <c r="AG1371" i="1"/>
  <c r="AG1370" i="1"/>
  <c r="AG1369" i="1"/>
  <c r="AG1368" i="1"/>
  <c r="AG1367" i="1"/>
  <c r="AG1366" i="1"/>
  <c r="AG1365" i="1"/>
  <c r="AG1364" i="1"/>
  <c r="AG1363" i="1"/>
  <c r="AG1362" i="1"/>
  <c r="AG1361" i="1"/>
  <c r="AG1360" i="1"/>
  <c r="AG1359" i="1"/>
  <c r="AG1358" i="1"/>
  <c r="AG1357" i="1"/>
  <c r="AG1356" i="1"/>
  <c r="AG1355" i="1"/>
  <c r="AG1354" i="1"/>
  <c r="AG1353" i="1"/>
  <c r="AG1352" i="1"/>
  <c r="AG1351" i="1"/>
  <c r="AG1350" i="1"/>
  <c r="AG1349" i="1"/>
  <c r="AG1348" i="1"/>
  <c r="AG1347" i="1"/>
  <c r="AG1346" i="1"/>
  <c r="AG1345" i="1"/>
  <c r="AG1344" i="1"/>
  <c r="AG1343" i="1"/>
  <c r="AG1342" i="1"/>
  <c r="AG1341" i="1"/>
  <c r="AG1340" i="1"/>
  <c r="AG1339" i="1"/>
  <c r="AG1338" i="1"/>
  <c r="AG1337" i="1"/>
  <c r="AG1336" i="1"/>
  <c r="AG1335" i="1"/>
  <c r="AG1334" i="1"/>
  <c r="AG1333" i="1"/>
  <c r="AG1332" i="1"/>
  <c r="AG1331" i="1"/>
  <c r="AG1330" i="1"/>
  <c r="AG1329" i="1"/>
  <c r="AG1328" i="1"/>
  <c r="AG1327" i="1"/>
  <c r="AG1326" i="1"/>
  <c r="AG1325" i="1"/>
  <c r="AG1324" i="1"/>
  <c r="AG1323" i="1"/>
  <c r="AG1322" i="1"/>
  <c r="AG1321" i="1"/>
  <c r="AG1320" i="1"/>
  <c r="AG1319" i="1"/>
  <c r="AG1318" i="1"/>
  <c r="AG1317" i="1"/>
  <c r="AG1316" i="1"/>
  <c r="AG1315" i="1"/>
  <c r="AG1314" i="1"/>
  <c r="AG1313" i="1"/>
  <c r="AG1312" i="1"/>
  <c r="AG1311" i="1"/>
  <c r="AG1310" i="1"/>
  <c r="AG1309" i="1"/>
  <c r="AG1308" i="1"/>
  <c r="AG1307" i="1"/>
  <c r="AG1306" i="1"/>
  <c r="AG1305" i="1"/>
  <c r="AG1304" i="1"/>
  <c r="AG1303" i="1"/>
  <c r="AG1302" i="1"/>
  <c r="AG1301" i="1"/>
  <c r="AG1300" i="1"/>
  <c r="AG1299" i="1"/>
  <c r="AG1298" i="1"/>
  <c r="AG1297" i="1"/>
  <c r="AG1296" i="1"/>
  <c r="AG1295" i="1"/>
  <c r="AG1294" i="1"/>
  <c r="AG1293" i="1"/>
  <c r="AG1292" i="1"/>
  <c r="AG1291" i="1"/>
  <c r="AG1290" i="1"/>
  <c r="AG1289" i="1"/>
  <c r="AG1288" i="1"/>
  <c r="AG1287" i="1"/>
  <c r="AG1286" i="1"/>
  <c r="AG1285" i="1"/>
  <c r="AG1284" i="1"/>
  <c r="AG1283" i="1"/>
  <c r="AG1282" i="1"/>
  <c r="AG1281" i="1"/>
  <c r="AG1280" i="1"/>
  <c r="AG1279" i="1"/>
  <c r="AG1278" i="1"/>
  <c r="AG1277" i="1"/>
  <c r="AG1276" i="1"/>
  <c r="AG1275" i="1"/>
  <c r="AG1274" i="1"/>
  <c r="AG1273" i="1"/>
  <c r="AG1272" i="1"/>
  <c r="AG1271" i="1"/>
  <c r="AG1270" i="1"/>
  <c r="AG1269" i="1"/>
  <c r="AG1268" i="1"/>
  <c r="AG1267" i="1"/>
  <c r="AG1266" i="1"/>
  <c r="AG1265" i="1"/>
  <c r="AG1264" i="1"/>
  <c r="AG1263" i="1"/>
  <c r="AG1262" i="1"/>
  <c r="AG1261" i="1"/>
  <c r="AG1260" i="1"/>
  <c r="AG1259" i="1"/>
  <c r="AG1258" i="1"/>
  <c r="AG1257" i="1"/>
  <c r="AG1256" i="1"/>
  <c r="AG1255" i="1"/>
  <c r="AG1254" i="1"/>
  <c r="AG1253" i="1"/>
  <c r="AG1252" i="1"/>
  <c r="AG1251" i="1"/>
  <c r="AG1250" i="1"/>
  <c r="AG1249" i="1"/>
  <c r="AG1248" i="1"/>
  <c r="AG1247" i="1"/>
  <c r="AG1246" i="1"/>
  <c r="AG1245" i="1"/>
  <c r="AG1244" i="1"/>
  <c r="AG1243" i="1"/>
  <c r="AG1242" i="1"/>
  <c r="AG1241" i="1"/>
  <c r="AG1240" i="1"/>
  <c r="AG1239" i="1"/>
  <c r="AG1238" i="1"/>
  <c r="AG1237" i="1"/>
  <c r="AG1236" i="1"/>
  <c r="AG1235" i="1"/>
  <c r="AG1234" i="1"/>
  <c r="AG1233" i="1"/>
  <c r="AG1232" i="1"/>
  <c r="AG1231" i="1"/>
  <c r="AG1230" i="1"/>
  <c r="AG1229" i="1"/>
  <c r="AG1228" i="1"/>
  <c r="AG1227" i="1"/>
  <c r="AG1226" i="1"/>
  <c r="AG1225" i="1"/>
  <c r="AG1224" i="1"/>
  <c r="AG1223" i="1"/>
  <c r="AG1222" i="1"/>
  <c r="AG1221" i="1"/>
  <c r="AG1220" i="1"/>
  <c r="AG1219" i="1"/>
  <c r="AG1218" i="1"/>
  <c r="AG1217" i="1"/>
  <c r="AG1216" i="1"/>
  <c r="AG1215" i="1"/>
  <c r="AG1214" i="1"/>
  <c r="AG1213" i="1"/>
  <c r="AG1212" i="1"/>
  <c r="AG1211" i="1"/>
  <c r="AG1210" i="1"/>
  <c r="AG1209" i="1"/>
  <c r="AG1208" i="1"/>
  <c r="AG1207" i="1"/>
  <c r="AG1206" i="1"/>
  <c r="AG1205" i="1"/>
  <c r="AG1204" i="1"/>
  <c r="AG1203" i="1"/>
  <c r="AG1202" i="1"/>
  <c r="AG1201" i="1"/>
  <c r="AG1200" i="1"/>
  <c r="AG1199" i="1"/>
  <c r="AG1198" i="1"/>
  <c r="AG1197" i="1"/>
  <c r="AG1196" i="1"/>
  <c r="AG1195" i="1"/>
  <c r="AG1194" i="1"/>
  <c r="AG1193" i="1"/>
  <c r="AG1192" i="1"/>
  <c r="AG1191" i="1"/>
  <c r="AG1190" i="1"/>
  <c r="AG1189" i="1"/>
  <c r="AG1188" i="1"/>
  <c r="AG1187" i="1"/>
  <c r="AG1186" i="1"/>
  <c r="AG1185" i="1"/>
  <c r="AG1184" i="1"/>
  <c r="AG1183" i="1"/>
  <c r="AG1182" i="1"/>
  <c r="AG1181" i="1"/>
  <c r="AG1180" i="1"/>
  <c r="AG1179" i="1"/>
  <c r="AG1178" i="1"/>
  <c r="AG1177" i="1"/>
  <c r="AG1176" i="1"/>
  <c r="AG1175" i="1"/>
  <c r="AG1174" i="1"/>
  <c r="AG1173" i="1"/>
  <c r="AG1172" i="1"/>
  <c r="AG1171" i="1"/>
  <c r="AG1170" i="1"/>
  <c r="AG1169" i="1"/>
  <c r="AG1168" i="1"/>
  <c r="AG1167" i="1"/>
  <c r="AG1166" i="1"/>
  <c r="AG1165" i="1"/>
  <c r="AG1164" i="1"/>
  <c r="AG1163" i="1"/>
  <c r="AG1162" i="1"/>
  <c r="AG1161" i="1"/>
  <c r="AG1160" i="1"/>
  <c r="AG1159" i="1"/>
  <c r="AG1158" i="1"/>
  <c r="AG1157" i="1"/>
  <c r="AG1156" i="1"/>
  <c r="AG1155" i="1"/>
  <c r="AG1154" i="1"/>
  <c r="AG1153" i="1"/>
  <c r="AG1152" i="1"/>
  <c r="AG1151" i="1"/>
  <c r="AG1150" i="1"/>
  <c r="AG1149" i="1"/>
  <c r="AG1148" i="1"/>
  <c r="AG1147" i="1"/>
  <c r="AG1146" i="1"/>
  <c r="AG1145" i="1"/>
  <c r="AG1144" i="1"/>
  <c r="AG1143" i="1"/>
  <c r="AG1142" i="1"/>
  <c r="AG1141" i="1"/>
  <c r="AG1140" i="1"/>
  <c r="AG1139" i="1"/>
  <c r="AG1138" i="1"/>
  <c r="AG1137" i="1"/>
  <c r="AG1136" i="1"/>
  <c r="AG1135" i="1"/>
  <c r="AG1134" i="1"/>
  <c r="AG1133" i="1"/>
  <c r="AG1132" i="1"/>
  <c r="AG1131" i="1"/>
  <c r="AG1130" i="1"/>
  <c r="AG1129" i="1"/>
  <c r="AG1128" i="1"/>
  <c r="AG1127" i="1"/>
  <c r="AG1126" i="1"/>
  <c r="AG1125" i="1"/>
  <c r="AG1124" i="1"/>
  <c r="AG1123" i="1"/>
  <c r="AG1122" i="1"/>
  <c r="AG1121" i="1"/>
  <c r="AG1120" i="1"/>
  <c r="AG1119" i="1"/>
  <c r="AG1118" i="1"/>
  <c r="AG1117" i="1"/>
  <c r="AG1116" i="1"/>
  <c r="AG1115" i="1"/>
  <c r="AG1114" i="1"/>
  <c r="AG1113" i="1"/>
  <c r="AG1112" i="1"/>
  <c r="AG1111" i="1"/>
  <c r="AG1110" i="1"/>
  <c r="AG1109" i="1"/>
  <c r="AG1108" i="1"/>
  <c r="AG1107" i="1"/>
  <c r="AG1106" i="1"/>
  <c r="AG1105" i="1"/>
  <c r="AG1104" i="1"/>
  <c r="AG1103" i="1"/>
  <c r="AG1102" i="1"/>
  <c r="AG1101" i="1"/>
  <c r="AG1100" i="1"/>
  <c r="AG1099" i="1"/>
  <c r="AG1098" i="1"/>
  <c r="AG1097" i="1"/>
  <c r="AG1096" i="1"/>
  <c r="AG1095" i="1"/>
  <c r="AG1094" i="1"/>
  <c r="AG1093" i="1"/>
  <c r="AG1092" i="1"/>
  <c r="AG1091" i="1"/>
  <c r="AG1090" i="1"/>
  <c r="AG1089" i="1"/>
  <c r="AG1088" i="1"/>
  <c r="AG1087" i="1"/>
  <c r="AG1086" i="1"/>
  <c r="AG1085" i="1"/>
  <c r="AG1084" i="1"/>
  <c r="AG1083" i="1"/>
  <c r="AG1082" i="1"/>
  <c r="AG1081" i="1"/>
  <c r="AG1080" i="1"/>
  <c r="AG1079" i="1"/>
  <c r="AG1078" i="1"/>
  <c r="AG1077" i="1"/>
  <c r="AG1076" i="1"/>
  <c r="AG1075" i="1"/>
  <c r="AG1074" i="1"/>
  <c r="AG1073" i="1"/>
  <c r="AG1072" i="1"/>
  <c r="AG1071" i="1"/>
  <c r="AG1070" i="1"/>
  <c r="AG1069" i="1"/>
  <c r="AG1068" i="1"/>
  <c r="AG1067" i="1"/>
  <c r="AG1066" i="1"/>
  <c r="AG1065" i="1"/>
  <c r="AG1064" i="1"/>
  <c r="AG1063" i="1"/>
  <c r="AG1062" i="1"/>
  <c r="AG1061" i="1"/>
  <c r="AG1060" i="1"/>
  <c r="AG1059" i="1"/>
  <c r="AG1058" i="1"/>
  <c r="AG1057" i="1"/>
  <c r="AG1056" i="1"/>
  <c r="AG1055" i="1"/>
  <c r="AG1054" i="1"/>
  <c r="AG1053" i="1"/>
  <c r="AG1052" i="1"/>
  <c r="AG1051" i="1"/>
  <c r="AG1050" i="1"/>
  <c r="AG1049" i="1"/>
  <c r="AG1048" i="1"/>
  <c r="AG1047" i="1"/>
  <c r="AG1046" i="1"/>
  <c r="AG1045" i="1"/>
  <c r="AG1044" i="1"/>
  <c r="AG1043" i="1"/>
  <c r="AG1042" i="1"/>
  <c r="AG1041" i="1"/>
  <c r="AG1040" i="1"/>
  <c r="AG1039" i="1"/>
  <c r="AG1038" i="1"/>
  <c r="AG1037" i="1"/>
  <c r="AG1036" i="1"/>
  <c r="AG1035" i="1"/>
  <c r="AG1034" i="1"/>
  <c r="AG1033" i="1"/>
  <c r="AG1032" i="1"/>
  <c r="AG1031" i="1"/>
  <c r="AG1030" i="1"/>
  <c r="AG1029" i="1"/>
  <c r="AG1028" i="1"/>
  <c r="AG1027" i="1"/>
  <c r="AG1026" i="1"/>
  <c r="AG1025" i="1"/>
  <c r="AG1024" i="1"/>
  <c r="AG1023" i="1"/>
  <c r="AG1022" i="1"/>
  <c r="AG1021" i="1"/>
  <c r="AG1020" i="1"/>
  <c r="AG1019" i="1"/>
  <c r="AG1018" i="1"/>
  <c r="AG1017" i="1"/>
  <c r="AG1016" i="1"/>
  <c r="AG1015" i="1"/>
  <c r="AG1014" i="1"/>
  <c r="AG1013" i="1"/>
  <c r="AG1012" i="1"/>
  <c r="AG1011" i="1"/>
  <c r="AG1010" i="1"/>
  <c r="AG1009" i="1"/>
  <c r="AG1008" i="1"/>
  <c r="AG1007" i="1"/>
  <c r="AG1006" i="1"/>
  <c r="AG1005" i="1"/>
  <c r="AG1004" i="1"/>
  <c r="AG1003" i="1"/>
  <c r="AG1002" i="1"/>
  <c r="AG1001" i="1"/>
  <c r="AG1000" i="1"/>
  <c r="AG999" i="1"/>
  <c r="AG998" i="1"/>
  <c r="AG997" i="1"/>
  <c r="AG996" i="1"/>
  <c r="AG995" i="1"/>
  <c r="AG994" i="1"/>
  <c r="AG993" i="1"/>
  <c r="AG992" i="1"/>
  <c r="AG991" i="1"/>
  <c r="AG990" i="1"/>
  <c r="AG989" i="1"/>
  <c r="AG988" i="1"/>
  <c r="AG987" i="1"/>
  <c r="AG986" i="1"/>
  <c r="AG985" i="1"/>
  <c r="AG984" i="1"/>
  <c r="AG983" i="1"/>
  <c r="AG982" i="1"/>
  <c r="AG981" i="1"/>
  <c r="AG980" i="1"/>
  <c r="AG979" i="1"/>
  <c r="AG978" i="1"/>
  <c r="AG977" i="1"/>
  <c r="AG976" i="1"/>
  <c r="AG975" i="1"/>
  <c r="AG974" i="1"/>
  <c r="AG973" i="1"/>
  <c r="AG972" i="1"/>
  <c r="AG971" i="1"/>
  <c r="AG970" i="1"/>
  <c r="AG969" i="1"/>
  <c r="AG968" i="1"/>
  <c r="AG967" i="1"/>
  <c r="AG966" i="1"/>
  <c r="AG965" i="1"/>
  <c r="AG964" i="1"/>
  <c r="AG963" i="1"/>
  <c r="AG962" i="1"/>
  <c r="AG961" i="1"/>
  <c r="AG960" i="1"/>
  <c r="AG959" i="1"/>
  <c r="AG958" i="1"/>
  <c r="AG957" i="1"/>
  <c r="AG956" i="1"/>
  <c r="AG955" i="1"/>
  <c r="AG954" i="1"/>
  <c r="AG953" i="1"/>
  <c r="AG952" i="1"/>
  <c r="AG951" i="1"/>
  <c r="AG950" i="1"/>
  <c r="AG949" i="1"/>
  <c r="AG948" i="1"/>
  <c r="AG947" i="1"/>
  <c r="AG946" i="1"/>
  <c r="AG945" i="1"/>
  <c r="AG944" i="1"/>
  <c r="AG943" i="1"/>
  <c r="AG942" i="1"/>
  <c r="AG941" i="1"/>
  <c r="AG940" i="1"/>
  <c r="AG939" i="1"/>
  <c r="AG938" i="1"/>
  <c r="AG937" i="1"/>
  <c r="AG936" i="1"/>
  <c r="AG935" i="1"/>
  <c r="AG934" i="1"/>
  <c r="AG933" i="1"/>
  <c r="AG932" i="1"/>
  <c r="AG931" i="1"/>
  <c r="AG930" i="1"/>
  <c r="AG929" i="1"/>
  <c r="AG928" i="1"/>
  <c r="AG927" i="1"/>
  <c r="AG926" i="1"/>
  <c r="AG925" i="1"/>
  <c r="AG924" i="1"/>
  <c r="AG923" i="1"/>
  <c r="AG922" i="1"/>
  <c r="AG921" i="1"/>
  <c r="AG920" i="1"/>
  <c r="AG919" i="1"/>
  <c r="AG918" i="1"/>
  <c r="AG917" i="1"/>
  <c r="AG916" i="1"/>
  <c r="AG915" i="1"/>
  <c r="AG914" i="1"/>
  <c r="AG913" i="1"/>
  <c r="AG912" i="1"/>
  <c r="AG911" i="1"/>
  <c r="AG910" i="1"/>
  <c r="AG909" i="1"/>
  <c r="AG908" i="1"/>
  <c r="AG907" i="1"/>
  <c r="AG906" i="1"/>
  <c r="AG905" i="1"/>
  <c r="AG904" i="1"/>
  <c r="AG903" i="1"/>
  <c r="AG902" i="1"/>
  <c r="AG901" i="1"/>
  <c r="AG900" i="1"/>
  <c r="AG899" i="1"/>
  <c r="AG898" i="1"/>
  <c r="AG897" i="1"/>
  <c r="AG896" i="1"/>
  <c r="AG895" i="1"/>
  <c r="AG894" i="1"/>
  <c r="AG893" i="1"/>
  <c r="AG892" i="1"/>
  <c r="AG891" i="1"/>
  <c r="AG890" i="1"/>
  <c r="AG889" i="1"/>
  <c r="AG888" i="1"/>
  <c r="AG887" i="1"/>
  <c r="AG886" i="1"/>
  <c r="AG885" i="1"/>
  <c r="AG884" i="1"/>
  <c r="AG883" i="1"/>
  <c r="AG882" i="1"/>
  <c r="AG881" i="1"/>
  <c r="AG880" i="1"/>
  <c r="AG879" i="1"/>
  <c r="AG878" i="1"/>
  <c r="AG877" i="1"/>
  <c r="AG876" i="1"/>
  <c r="AG875" i="1"/>
  <c r="AG874" i="1"/>
  <c r="AG873" i="1"/>
  <c r="AG872" i="1"/>
  <c r="AG871" i="1"/>
  <c r="AG870" i="1"/>
  <c r="AG869" i="1"/>
  <c r="AG868" i="1"/>
  <c r="AG867" i="1"/>
  <c r="AG866" i="1"/>
  <c r="AG865" i="1"/>
  <c r="AG864" i="1"/>
  <c r="AG863" i="1"/>
  <c r="AG862" i="1"/>
  <c r="AG861" i="1"/>
  <c r="AG860" i="1"/>
  <c r="AG859" i="1"/>
  <c r="AG858" i="1"/>
  <c r="AG857" i="1"/>
  <c r="AG856" i="1"/>
  <c r="AG855" i="1"/>
  <c r="AG854" i="1"/>
  <c r="AG853" i="1"/>
  <c r="AG852" i="1"/>
  <c r="AG851" i="1"/>
  <c r="AG850" i="1"/>
  <c r="AG849" i="1"/>
  <c r="AG848" i="1"/>
  <c r="AG847" i="1"/>
  <c r="AG846" i="1"/>
  <c r="AG845" i="1"/>
  <c r="AG844" i="1"/>
  <c r="AG843" i="1"/>
  <c r="AG842" i="1"/>
  <c r="AG841" i="1"/>
  <c r="AG840" i="1"/>
  <c r="AG839" i="1"/>
  <c r="AG838" i="1"/>
  <c r="AG837" i="1"/>
  <c r="AG836" i="1"/>
  <c r="AG835" i="1"/>
  <c r="AG834" i="1"/>
  <c r="AG833" i="1"/>
  <c r="AG832" i="1"/>
  <c r="AG831" i="1"/>
  <c r="AG830" i="1"/>
  <c r="AG829" i="1"/>
  <c r="AG828" i="1"/>
  <c r="AG827" i="1"/>
  <c r="AG826" i="1"/>
  <c r="AG825" i="1"/>
  <c r="AG824" i="1"/>
  <c r="AG823" i="1"/>
  <c r="AG822" i="1"/>
  <c r="AG821" i="1"/>
  <c r="AG820" i="1"/>
  <c r="AG819" i="1"/>
  <c r="AG818" i="1"/>
  <c r="AG817" i="1"/>
  <c r="AG816" i="1"/>
  <c r="AG815" i="1"/>
  <c r="AG814" i="1"/>
  <c r="AG813" i="1"/>
  <c r="AG812" i="1"/>
  <c r="AG811" i="1"/>
  <c r="AG810" i="1"/>
  <c r="AG809" i="1"/>
  <c r="AG808" i="1"/>
  <c r="AG807" i="1"/>
  <c r="AG806" i="1"/>
  <c r="AG805" i="1"/>
  <c r="AG804" i="1"/>
  <c r="AG803" i="1"/>
  <c r="AG802" i="1"/>
  <c r="AG801" i="1"/>
  <c r="AG800" i="1"/>
  <c r="AG799" i="1"/>
  <c r="AG798" i="1"/>
  <c r="AG797" i="1"/>
  <c r="AG796" i="1"/>
  <c r="AG795" i="1"/>
  <c r="AG794" i="1"/>
  <c r="AG793" i="1"/>
  <c r="AG792" i="1"/>
  <c r="AG791" i="1"/>
  <c r="AG790" i="1"/>
  <c r="AG789" i="1"/>
  <c r="AG788" i="1"/>
  <c r="AG787" i="1"/>
  <c r="AG786" i="1"/>
  <c r="AG785" i="1"/>
  <c r="AG784" i="1"/>
  <c r="AG783" i="1"/>
  <c r="AG782" i="1"/>
  <c r="AG781" i="1"/>
  <c r="AG780" i="1"/>
  <c r="AG779" i="1"/>
  <c r="AG778" i="1"/>
  <c r="AG777" i="1"/>
  <c r="AG776" i="1"/>
  <c r="AG775" i="1"/>
  <c r="AG774" i="1"/>
  <c r="AG773" i="1"/>
  <c r="AG772" i="1"/>
  <c r="AG771" i="1"/>
  <c r="AG770" i="1"/>
  <c r="AG769" i="1"/>
  <c r="AG768" i="1"/>
  <c r="AG767" i="1"/>
  <c r="AG766" i="1"/>
  <c r="AG765" i="1"/>
  <c r="AG764" i="1"/>
  <c r="AG763" i="1"/>
  <c r="AG762" i="1"/>
  <c r="AG761" i="1"/>
  <c r="AG760" i="1"/>
  <c r="AG759" i="1"/>
  <c r="AG758" i="1"/>
  <c r="AG757" i="1"/>
  <c r="AG756" i="1"/>
  <c r="AG755" i="1"/>
  <c r="AG754" i="1"/>
  <c r="AG753" i="1"/>
  <c r="AG752" i="1"/>
  <c r="AG751" i="1"/>
  <c r="AG750" i="1"/>
  <c r="AG749" i="1"/>
  <c r="AG748" i="1"/>
  <c r="AG747" i="1"/>
  <c r="AG746" i="1"/>
  <c r="AG745" i="1"/>
  <c r="AG744" i="1"/>
  <c r="AG743" i="1"/>
  <c r="AG742" i="1"/>
  <c r="AG741" i="1"/>
  <c r="AG740" i="1"/>
  <c r="AG739" i="1"/>
  <c r="AG738" i="1"/>
  <c r="AG737" i="1"/>
  <c r="AG736" i="1"/>
  <c r="AG735" i="1"/>
  <c r="AG734" i="1"/>
  <c r="AG733" i="1"/>
  <c r="AG732" i="1"/>
  <c r="AG731" i="1"/>
  <c r="AG730" i="1"/>
  <c r="AG729" i="1"/>
  <c r="AG728" i="1"/>
  <c r="AG727" i="1"/>
  <c r="AG726" i="1"/>
  <c r="AG725" i="1"/>
  <c r="AG724" i="1"/>
  <c r="AG723" i="1"/>
  <c r="AG722" i="1"/>
  <c r="AG721" i="1"/>
  <c r="AG720" i="1"/>
  <c r="AG719" i="1"/>
  <c r="AG718" i="1"/>
  <c r="AG717" i="1"/>
  <c r="AG716" i="1"/>
  <c r="AG715" i="1"/>
  <c r="AG714" i="1"/>
  <c r="AG713" i="1"/>
  <c r="AG712" i="1"/>
  <c r="AG711" i="1"/>
  <c r="AG710" i="1"/>
  <c r="AG709" i="1"/>
  <c r="AG708" i="1"/>
  <c r="AG707" i="1"/>
  <c r="AG706" i="1"/>
  <c r="AG705" i="1"/>
  <c r="AG704" i="1"/>
  <c r="AG703" i="1"/>
  <c r="AG702" i="1"/>
  <c r="AG701" i="1"/>
  <c r="AG700" i="1"/>
  <c r="AG699" i="1"/>
  <c r="AG698" i="1"/>
  <c r="AG697" i="1"/>
  <c r="AG696" i="1"/>
  <c r="AG695" i="1"/>
  <c r="AG694" i="1"/>
  <c r="AG693" i="1"/>
  <c r="AG692" i="1"/>
  <c r="AG691" i="1"/>
  <c r="AG690" i="1"/>
  <c r="AG689" i="1"/>
  <c r="AG688" i="1"/>
  <c r="AG687" i="1"/>
  <c r="AG686" i="1"/>
  <c r="AG685" i="1"/>
  <c r="AG684" i="1"/>
  <c r="AG683" i="1"/>
  <c r="AG682" i="1"/>
  <c r="AG681" i="1"/>
  <c r="AG680" i="1"/>
  <c r="AG679" i="1"/>
  <c r="AG678" i="1"/>
  <c r="AG677" i="1"/>
  <c r="AG676" i="1"/>
  <c r="AG675" i="1"/>
  <c r="AG674" i="1"/>
  <c r="AG673" i="1"/>
  <c r="AG672" i="1"/>
  <c r="AG671" i="1"/>
  <c r="AG670" i="1"/>
  <c r="AG669" i="1"/>
  <c r="AG668" i="1"/>
  <c r="AG667" i="1"/>
  <c r="AG666" i="1"/>
  <c r="AG665" i="1"/>
  <c r="AG664" i="1"/>
  <c r="AG663" i="1"/>
  <c r="AG662" i="1"/>
  <c r="AG661" i="1"/>
  <c r="AG660" i="1"/>
  <c r="AG659" i="1"/>
  <c r="AG658" i="1"/>
  <c r="AG657" i="1"/>
  <c r="AG656" i="1"/>
  <c r="AG655" i="1"/>
  <c r="AG654" i="1"/>
  <c r="AG653" i="1"/>
  <c r="AG652" i="1"/>
  <c r="AG651" i="1"/>
  <c r="AG650" i="1"/>
  <c r="AG649" i="1"/>
  <c r="AG648" i="1"/>
  <c r="AG647" i="1"/>
  <c r="AG646" i="1"/>
  <c r="AG645" i="1"/>
  <c r="AG644" i="1"/>
  <c r="AG643" i="1"/>
  <c r="AG642" i="1"/>
  <c r="AG641" i="1"/>
  <c r="AG640" i="1"/>
  <c r="AG639" i="1"/>
  <c r="AG638" i="1"/>
  <c r="AG637" i="1"/>
  <c r="AG636" i="1"/>
  <c r="AG635" i="1"/>
  <c r="AG634" i="1"/>
  <c r="AG633" i="1"/>
  <c r="AG632" i="1"/>
  <c r="AG631" i="1"/>
  <c r="AG630" i="1"/>
  <c r="AG629" i="1"/>
  <c r="AG628" i="1"/>
  <c r="AG627" i="1"/>
  <c r="AG626" i="1"/>
  <c r="AG625" i="1"/>
  <c r="AG624" i="1"/>
  <c r="AG623" i="1"/>
  <c r="AG622" i="1"/>
  <c r="AG621" i="1"/>
  <c r="AG620" i="1"/>
  <c r="AG619" i="1"/>
  <c r="AG618" i="1"/>
  <c r="AG617" i="1"/>
  <c r="AG616" i="1"/>
  <c r="AG615" i="1"/>
  <c r="AG614" i="1"/>
  <c r="AG613" i="1"/>
  <c r="AG612" i="1"/>
  <c r="AG611" i="1"/>
  <c r="AG610" i="1"/>
  <c r="AG609" i="1"/>
  <c r="AG608" i="1"/>
  <c r="AG607"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87" i="1"/>
  <c r="AG386" i="1"/>
  <c r="AG385" i="1"/>
  <c r="AG384" i="1"/>
  <c r="AG383" i="1"/>
  <c r="AG382" i="1"/>
  <c r="AG381" i="1"/>
  <c r="AG380" i="1"/>
  <c r="AG379" i="1"/>
  <c r="AG378" i="1"/>
  <c r="AG377" i="1"/>
  <c r="AG376" i="1"/>
  <c r="AG375" i="1"/>
  <c r="AG374" i="1"/>
  <c r="AG373" i="1"/>
  <c r="AG372" i="1"/>
  <c r="AG371" i="1"/>
  <c r="AG370" i="1"/>
  <c r="AG369" i="1"/>
  <c r="AG368" i="1"/>
  <c r="AG367" i="1"/>
  <c r="AG366" i="1"/>
  <c r="AG365" i="1"/>
  <c r="AG364" i="1"/>
  <c r="AG363" i="1"/>
  <c r="AG362" i="1"/>
  <c r="AG361" i="1"/>
  <c r="AG360" i="1"/>
  <c r="AG359" i="1"/>
  <c r="AG358" i="1"/>
  <c r="AG357" i="1"/>
  <c r="AG356" i="1"/>
  <c r="AG355" i="1"/>
  <c r="AG354" i="1"/>
  <c r="AG353" i="1"/>
  <c r="AG352" i="1"/>
  <c r="AG351" i="1"/>
  <c r="AG350" i="1"/>
  <c r="AG349" i="1"/>
  <c r="AG348" i="1"/>
  <c r="AG347" i="1"/>
  <c r="AG346" i="1"/>
  <c r="AG345" i="1"/>
  <c r="AG344" i="1"/>
  <c r="AG343" i="1"/>
  <c r="AG342" i="1"/>
  <c r="AG341" i="1"/>
  <c r="AG340" i="1"/>
  <c r="AG339" i="1"/>
  <c r="AG338" i="1"/>
  <c r="AG337" i="1"/>
  <c r="AG336" i="1"/>
  <c r="AG335" i="1"/>
  <c r="AG334" i="1"/>
  <c r="AG333" i="1"/>
  <c r="AG332" i="1"/>
  <c r="AG331" i="1"/>
  <c r="AG330" i="1"/>
  <c r="AG329" i="1"/>
  <c r="AG328" i="1"/>
  <c r="AG327" i="1"/>
  <c r="AG326" i="1"/>
  <c r="AG325" i="1"/>
  <c r="AG324" i="1"/>
  <c r="AG323" i="1"/>
  <c r="AG322" i="1"/>
  <c r="AG321" i="1"/>
  <c r="AG320" i="1"/>
  <c r="AG319" i="1"/>
  <c r="AG318" i="1"/>
  <c r="AG317" i="1"/>
  <c r="AG316" i="1"/>
  <c r="AG315" i="1"/>
  <c r="AG314" i="1"/>
  <c r="AG313" i="1"/>
  <c r="AG312" i="1"/>
  <c r="AG311" i="1"/>
  <c r="AG310" i="1"/>
  <c r="AG309" i="1"/>
  <c r="AG308" i="1"/>
  <c r="AG307" i="1"/>
  <c r="AG306" i="1"/>
  <c r="AG305" i="1"/>
  <c r="AG304" i="1"/>
  <c r="AG303" i="1"/>
  <c r="AG302" i="1"/>
  <c r="AG301" i="1"/>
  <c r="AG300" i="1"/>
  <c r="AG299" i="1"/>
  <c r="AG298" i="1"/>
  <c r="AG297" i="1"/>
  <c r="AG296" i="1"/>
  <c r="AG295" i="1"/>
  <c r="AG294" i="1"/>
  <c r="AG293" i="1"/>
  <c r="AG292" i="1"/>
  <c r="AG291" i="1"/>
  <c r="AG290" i="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AG7" i="1"/>
  <c r="AG6" i="1"/>
  <c r="AG5" i="1"/>
  <c r="AG4" i="1"/>
  <c r="AG3" i="1"/>
  <c r="AG1687" i="1"/>
  <c r="AF1686" i="1"/>
  <c r="AF1685" i="1"/>
  <c r="AF1684" i="1"/>
  <c r="AF1683" i="1"/>
  <c r="AF1682" i="1"/>
  <c r="AF1681" i="1"/>
  <c r="AF1680" i="1"/>
  <c r="AF1679" i="1"/>
  <c r="AF1678" i="1"/>
  <c r="AF1677" i="1"/>
  <c r="AF1676" i="1"/>
  <c r="AF1675" i="1"/>
  <c r="AF1674" i="1"/>
  <c r="AF1673" i="1"/>
  <c r="AF1672" i="1"/>
  <c r="AF1671" i="1"/>
  <c r="AF1670" i="1"/>
  <c r="AF1669" i="1"/>
  <c r="AF1668" i="1"/>
  <c r="AF1667" i="1"/>
  <c r="AF1666" i="1"/>
  <c r="AF1665" i="1"/>
  <c r="AF1664" i="1"/>
  <c r="AF1663" i="1"/>
  <c r="AF1662" i="1"/>
  <c r="AF1661" i="1"/>
  <c r="AF1660" i="1"/>
  <c r="AF1659" i="1"/>
  <c r="AF1658" i="1"/>
  <c r="AF1657" i="1"/>
  <c r="AF1656" i="1"/>
  <c r="AF1655" i="1"/>
  <c r="AF1654" i="1"/>
  <c r="AF1653" i="1"/>
  <c r="AF1652" i="1"/>
  <c r="AF1651" i="1"/>
  <c r="AF1650" i="1"/>
  <c r="AF1649" i="1"/>
  <c r="AF1648" i="1"/>
  <c r="AF1647" i="1"/>
  <c r="AF1646" i="1"/>
  <c r="AF1645" i="1"/>
  <c r="AF1644" i="1"/>
  <c r="AF1643" i="1"/>
  <c r="AF1642" i="1"/>
  <c r="AF1641" i="1"/>
  <c r="AF1640" i="1"/>
  <c r="AF1639" i="1"/>
  <c r="AF1638" i="1"/>
  <c r="AF1637" i="1"/>
  <c r="AF1636" i="1"/>
  <c r="AF1635" i="1"/>
  <c r="AF1634" i="1"/>
  <c r="AF1633" i="1"/>
  <c r="AF1632" i="1"/>
  <c r="AF1631" i="1"/>
  <c r="AF1630" i="1"/>
  <c r="AF1629" i="1"/>
  <c r="AF1628" i="1"/>
  <c r="AF1627" i="1"/>
  <c r="AF1626" i="1"/>
  <c r="AF1625" i="1"/>
  <c r="AF1624" i="1"/>
  <c r="AF1623" i="1"/>
  <c r="AF1622" i="1"/>
  <c r="AF1621" i="1"/>
  <c r="AF1620" i="1"/>
  <c r="AF1619" i="1"/>
  <c r="AF1618" i="1"/>
  <c r="AF1617" i="1"/>
  <c r="AF1616" i="1"/>
  <c r="AF1615" i="1"/>
  <c r="AF1614" i="1"/>
  <c r="AF1613" i="1"/>
  <c r="AF1612" i="1"/>
  <c r="AF1611" i="1"/>
  <c r="AF1610" i="1"/>
  <c r="AF1609" i="1"/>
  <c r="AF1608" i="1"/>
  <c r="AF1607" i="1"/>
  <c r="AF1606" i="1"/>
  <c r="AF1605" i="1"/>
  <c r="AF1604" i="1"/>
  <c r="AF1603" i="1"/>
  <c r="AF1602" i="1"/>
  <c r="AF1601" i="1"/>
  <c r="AF1600" i="1"/>
  <c r="AF1599" i="1"/>
  <c r="AF1598" i="1"/>
  <c r="AF1597" i="1"/>
  <c r="AF1596" i="1"/>
  <c r="AF1595" i="1"/>
  <c r="AF1594" i="1"/>
  <c r="AF1593" i="1"/>
  <c r="AF1592" i="1"/>
  <c r="AF1591" i="1"/>
  <c r="AF1590" i="1"/>
  <c r="AF1589" i="1"/>
  <c r="AF1588" i="1"/>
  <c r="AF1587" i="1"/>
  <c r="AF1586" i="1"/>
  <c r="AF1585" i="1"/>
  <c r="AF1584" i="1"/>
  <c r="AF1583" i="1"/>
  <c r="AF1582" i="1"/>
  <c r="AF1581" i="1"/>
  <c r="AF1580" i="1"/>
  <c r="AF1579" i="1"/>
  <c r="AF1578" i="1"/>
  <c r="AF1577" i="1"/>
  <c r="AF1576" i="1"/>
  <c r="AF1575" i="1"/>
  <c r="AF1574" i="1"/>
  <c r="AF1573" i="1"/>
  <c r="AF1572" i="1"/>
  <c r="AF1571" i="1"/>
  <c r="AF1570" i="1"/>
  <c r="AF1569" i="1"/>
  <c r="AF1568" i="1"/>
  <c r="AF1567" i="1"/>
  <c r="AF1566" i="1"/>
  <c r="AF1565" i="1"/>
  <c r="AF1564" i="1"/>
  <c r="AF1563" i="1"/>
  <c r="AF1562" i="1"/>
  <c r="AF1561" i="1"/>
  <c r="AF1560" i="1"/>
  <c r="AF1559" i="1"/>
  <c r="AF1558" i="1"/>
  <c r="AF1557" i="1"/>
  <c r="AF1556" i="1"/>
  <c r="AF1555" i="1"/>
  <c r="AF1554" i="1"/>
  <c r="AF1553" i="1"/>
  <c r="AF1552" i="1"/>
  <c r="AF1551" i="1"/>
  <c r="AF1550" i="1"/>
  <c r="AF1549" i="1"/>
  <c r="AF1548" i="1"/>
  <c r="AF1547" i="1"/>
  <c r="AF1546" i="1"/>
  <c r="AF1545" i="1"/>
  <c r="AF1544" i="1"/>
  <c r="AF1543" i="1"/>
  <c r="AF1542" i="1"/>
  <c r="AF1541" i="1"/>
  <c r="AF1540" i="1"/>
  <c r="AF1539" i="1"/>
  <c r="AF1538" i="1"/>
  <c r="AF1537" i="1"/>
  <c r="AF1536" i="1"/>
  <c r="AF1535" i="1"/>
  <c r="AF1534" i="1"/>
  <c r="AF1533" i="1"/>
  <c r="AF1532" i="1"/>
  <c r="AF1531" i="1"/>
  <c r="AF1530" i="1"/>
  <c r="AF1529" i="1"/>
  <c r="AF1528" i="1"/>
  <c r="AF1527" i="1"/>
  <c r="AF1526" i="1"/>
  <c r="AF1525" i="1"/>
  <c r="AF1524" i="1"/>
  <c r="AF1523" i="1"/>
  <c r="AF1522" i="1"/>
  <c r="AF1521" i="1"/>
  <c r="AF1520" i="1"/>
  <c r="AF1519" i="1"/>
  <c r="AF1518" i="1"/>
  <c r="AF1517" i="1"/>
  <c r="AF1516" i="1"/>
  <c r="AF1515" i="1"/>
  <c r="AF1514" i="1"/>
  <c r="AF1513" i="1"/>
  <c r="AF1512" i="1"/>
  <c r="AF1511" i="1"/>
  <c r="AF1510" i="1"/>
  <c r="AF1509" i="1"/>
  <c r="AF1508" i="1"/>
  <c r="AF1507" i="1"/>
  <c r="AF1506" i="1"/>
  <c r="AF1505" i="1"/>
  <c r="AF1504" i="1"/>
  <c r="AF1503" i="1"/>
  <c r="AF1502" i="1"/>
  <c r="AF1501" i="1"/>
  <c r="AF1500" i="1"/>
  <c r="AF1499" i="1"/>
  <c r="AF1498" i="1"/>
  <c r="AF1497" i="1"/>
  <c r="AF1496" i="1"/>
  <c r="AF1495" i="1"/>
  <c r="AF1494" i="1"/>
  <c r="AF1493" i="1"/>
  <c r="AF1492" i="1"/>
  <c r="AF1491" i="1"/>
  <c r="AF1490" i="1"/>
  <c r="AF1489" i="1"/>
  <c r="AF1488" i="1"/>
  <c r="AF1487" i="1"/>
  <c r="AF1486" i="1"/>
  <c r="AF1485" i="1"/>
  <c r="AF1484" i="1"/>
  <c r="AF1483" i="1"/>
  <c r="AF1482" i="1"/>
  <c r="AF1481" i="1"/>
  <c r="AF1480" i="1"/>
  <c r="AF1479" i="1"/>
  <c r="AF1478" i="1"/>
  <c r="AF1477" i="1"/>
  <c r="AF1476" i="1"/>
  <c r="AF1475" i="1"/>
  <c r="AF1474" i="1"/>
  <c r="AF1473" i="1"/>
  <c r="AF1472" i="1"/>
  <c r="AF1471" i="1"/>
  <c r="AF1470" i="1"/>
  <c r="AF1469" i="1"/>
  <c r="AF1468" i="1"/>
  <c r="AF1467" i="1"/>
  <c r="AF1466" i="1"/>
  <c r="AF1465" i="1"/>
  <c r="AF1464" i="1"/>
  <c r="AF1463" i="1"/>
  <c r="AF1462" i="1"/>
  <c r="AF1461" i="1"/>
  <c r="AF1460" i="1"/>
  <c r="AF1459" i="1"/>
  <c r="AF1458" i="1"/>
  <c r="AF1457" i="1"/>
  <c r="AF1456" i="1"/>
  <c r="AF1455" i="1"/>
  <c r="AF1454" i="1"/>
  <c r="AF1453" i="1"/>
  <c r="AF1452" i="1"/>
  <c r="AF1451" i="1"/>
  <c r="AF1450" i="1"/>
  <c r="AF1449" i="1"/>
  <c r="AF1448" i="1"/>
  <c r="AF1447" i="1"/>
  <c r="AF1446" i="1"/>
  <c r="AF1445" i="1"/>
  <c r="AF1444" i="1"/>
  <c r="AF1443" i="1"/>
  <c r="AF1442" i="1"/>
  <c r="AF1441" i="1"/>
  <c r="AF1440" i="1"/>
  <c r="AF1439" i="1"/>
  <c r="AF1438" i="1"/>
  <c r="AF1437" i="1"/>
  <c r="AF1436" i="1"/>
  <c r="AF1435" i="1"/>
  <c r="AF1434" i="1"/>
  <c r="AF1433" i="1"/>
  <c r="AF1432" i="1"/>
  <c r="AF1431" i="1"/>
  <c r="AF1430" i="1"/>
  <c r="AF1429" i="1"/>
  <c r="AF1428" i="1"/>
  <c r="AF1427" i="1"/>
  <c r="AF1426" i="1"/>
  <c r="AF1425" i="1"/>
  <c r="AF1424" i="1"/>
  <c r="AF1423" i="1"/>
  <c r="AF1422" i="1"/>
  <c r="AF1421" i="1"/>
  <c r="AF1420" i="1"/>
  <c r="AF1419" i="1"/>
  <c r="AF1418" i="1"/>
  <c r="AF1417" i="1"/>
  <c r="AF1416" i="1"/>
  <c r="AF1415" i="1"/>
  <c r="AF1414" i="1"/>
  <c r="AF1413" i="1"/>
  <c r="AF1412" i="1"/>
  <c r="AF1411" i="1"/>
  <c r="AF1410" i="1"/>
  <c r="AF1409" i="1"/>
  <c r="AF1408" i="1"/>
  <c r="AF1407" i="1"/>
  <c r="AF1406" i="1"/>
  <c r="AF1405" i="1"/>
  <c r="AF1404" i="1"/>
  <c r="AF1403" i="1"/>
  <c r="AF1402" i="1"/>
  <c r="AF1401" i="1"/>
  <c r="AF1400" i="1"/>
  <c r="AF1399" i="1"/>
  <c r="AF1398" i="1"/>
  <c r="AF1397" i="1"/>
  <c r="AF1396" i="1"/>
  <c r="AF1395" i="1"/>
  <c r="AF1394" i="1"/>
  <c r="AF1393" i="1"/>
  <c r="AF1392" i="1"/>
  <c r="AF1391" i="1"/>
  <c r="AF1390" i="1"/>
  <c r="AF1389" i="1"/>
  <c r="AF1388" i="1"/>
  <c r="AF1387" i="1"/>
  <c r="AF1386" i="1"/>
  <c r="AF1385" i="1"/>
  <c r="AF1384" i="1"/>
  <c r="AF1383" i="1"/>
  <c r="AF1382" i="1"/>
  <c r="AF1381" i="1"/>
  <c r="AF1380" i="1"/>
  <c r="AF1379" i="1"/>
  <c r="AF1378" i="1"/>
  <c r="AF1377" i="1"/>
  <c r="AF1376" i="1"/>
  <c r="AF1375" i="1"/>
  <c r="AF1374" i="1"/>
  <c r="AF1373" i="1"/>
  <c r="AF1372" i="1"/>
  <c r="AF1371" i="1"/>
  <c r="AF1370" i="1"/>
  <c r="AF1369" i="1"/>
  <c r="AF1368" i="1"/>
  <c r="AF1367" i="1"/>
  <c r="AF1366" i="1"/>
  <c r="AF1365" i="1"/>
  <c r="AF1364" i="1"/>
  <c r="AF1363" i="1"/>
  <c r="AF1362" i="1"/>
  <c r="AF1361" i="1"/>
  <c r="AF1360" i="1"/>
  <c r="AF1359" i="1"/>
  <c r="AF1358" i="1"/>
  <c r="AF1357" i="1"/>
  <c r="AF1356" i="1"/>
  <c r="AF1355" i="1"/>
  <c r="AF1354" i="1"/>
  <c r="AF1353" i="1"/>
  <c r="AF1352" i="1"/>
  <c r="AF1351" i="1"/>
  <c r="AF1350" i="1"/>
  <c r="AF1349" i="1"/>
  <c r="AF1348" i="1"/>
  <c r="AF1347" i="1"/>
  <c r="AF1346" i="1"/>
  <c r="AF1345" i="1"/>
  <c r="AF1344" i="1"/>
  <c r="AF1343" i="1"/>
  <c r="AF1342" i="1"/>
  <c r="AF1341" i="1"/>
  <c r="AF1340" i="1"/>
  <c r="AF1339" i="1"/>
  <c r="AF1338" i="1"/>
  <c r="AF1337" i="1"/>
  <c r="AF1336" i="1"/>
  <c r="AF1335" i="1"/>
  <c r="AF1334" i="1"/>
  <c r="AF1333" i="1"/>
  <c r="AF1332" i="1"/>
  <c r="AF1331" i="1"/>
  <c r="AF1330" i="1"/>
  <c r="AF1329" i="1"/>
  <c r="AF1328" i="1"/>
  <c r="AF1327" i="1"/>
  <c r="AF1326" i="1"/>
  <c r="AF1325" i="1"/>
  <c r="AF1324" i="1"/>
  <c r="AF1323" i="1"/>
  <c r="AF1322" i="1"/>
  <c r="AF1321" i="1"/>
  <c r="AF1320" i="1"/>
  <c r="AF1319" i="1"/>
  <c r="AF1318" i="1"/>
  <c r="AF1317" i="1"/>
  <c r="AF1316" i="1"/>
  <c r="AF1315" i="1"/>
  <c r="AF1314" i="1"/>
  <c r="AF1313" i="1"/>
  <c r="AF1312" i="1"/>
  <c r="AF1311" i="1"/>
  <c r="AF1310" i="1"/>
  <c r="AF1309" i="1"/>
  <c r="AF1308" i="1"/>
  <c r="AF1307" i="1"/>
  <c r="AF1306" i="1"/>
  <c r="AF1305" i="1"/>
  <c r="AF1304" i="1"/>
  <c r="AF1303" i="1"/>
  <c r="AF1302" i="1"/>
  <c r="AF1301" i="1"/>
  <c r="AF1300" i="1"/>
  <c r="AF1299" i="1"/>
  <c r="AF1298" i="1"/>
  <c r="AF1297" i="1"/>
  <c r="AF1296" i="1"/>
  <c r="AF1295" i="1"/>
  <c r="AF1294" i="1"/>
  <c r="AF1293" i="1"/>
  <c r="AF1292" i="1"/>
  <c r="AF1291" i="1"/>
  <c r="AF1290" i="1"/>
  <c r="AF1289" i="1"/>
  <c r="AF1288" i="1"/>
  <c r="AF1287" i="1"/>
  <c r="AF1286" i="1"/>
  <c r="AF1285" i="1"/>
  <c r="AF1284" i="1"/>
  <c r="AF1283" i="1"/>
  <c r="AF1282" i="1"/>
  <c r="AF1281" i="1"/>
  <c r="AF1280" i="1"/>
  <c r="AF1279" i="1"/>
  <c r="AF1278" i="1"/>
  <c r="AF1277" i="1"/>
  <c r="AF1276" i="1"/>
  <c r="AF1275" i="1"/>
  <c r="AF1274" i="1"/>
  <c r="AF1273" i="1"/>
  <c r="AF1272" i="1"/>
  <c r="AF1271" i="1"/>
  <c r="AF1270" i="1"/>
  <c r="AF1269" i="1"/>
  <c r="AF1268" i="1"/>
  <c r="AF1267" i="1"/>
  <c r="AF1266" i="1"/>
  <c r="AF1265" i="1"/>
  <c r="AF1264" i="1"/>
  <c r="AF1263" i="1"/>
  <c r="AF1262" i="1"/>
  <c r="AF1261" i="1"/>
  <c r="AF1260" i="1"/>
  <c r="AF1259" i="1"/>
  <c r="AF1258" i="1"/>
  <c r="AF1257" i="1"/>
  <c r="AF1256" i="1"/>
  <c r="AF1255" i="1"/>
  <c r="AF1254" i="1"/>
  <c r="AF1253" i="1"/>
  <c r="AF1252" i="1"/>
  <c r="AF1251" i="1"/>
  <c r="AF1250" i="1"/>
  <c r="AF1249" i="1"/>
  <c r="AF1248" i="1"/>
  <c r="AF1247" i="1"/>
  <c r="AF1246" i="1"/>
  <c r="AF1245" i="1"/>
  <c r="AF1244" i="1"/>
  <c r="AF1243" i="1"/>
  <c r="AF1242" i="1"/>
  <c r="AF1241" i="1"/>
  <c r="AF1240" i="1"/>
  <c r="AF1239" i="1"/>
  <c r="AF1238" i="1"/>
  <c r="AF1237" i="1"/>
  <c r="AF1236" i="1"/>
  <c r="AF1235" i="1"/>
  <c r="AF1234" i="1"/>
  <c r="AF1233" i="1"/>
  <c r="AF1232" i="1"/>
  <c r="AF1231" i="1"/>
  <c r="AF1230" i="1"/>
  <c r="AF1229" i="1"/>
  <c r="AF1228" i="1"/>
  <c r="AF1227" i="1"/>
  <c r="AF1226" i="1"/>
  <c r="AF1225" i="1"/>
  <c r="AF1224" i="1"/>
  <c r="AF1223" i="1"/>
  <c r="AF1222" i="1"/>
  <c r="AF1221" i="1"/>
  <c r="AF1220" i="1"/>
  <c r="AF1219" i="1"/>
  <c r="AF1218" i="1"/>
  <c r="AF1217" i="1"/>
  <c r="AF1216" i="1"/>
  <c r="AF1215" i="1"/>
  <c r="AF1214" i="1"/>
  <c r="AF1213" i="1"/>
  <c r="AF1212" i="1"/>
  <c r="AF1211" i="1"/>
  <c r="AF1210" i="1"/>
  <c r="AF1209" i="1"/>
  <c r="AF1208" i="1"/>
  <c r="AF1207" i="1"/>
  <c r="AF1206" i="1"/>
  <c r="AF1205" i="1"/>
  <c r="AF1204" i="1"/>
  <c r="AF1203" i="1"/>
  <c r="AF1202" i="1"/>
  <c r="AF1201" i="1"/>
  <c r="AF1200" i="1"/>
  <c r="AF1199" i="1"/>
  <c r="AF1198" i="1"/>
  <c r="AF1197" i="1"/>
  <c r="AF1196" i="1"/>
  <c r="AF1195" i="1"/>
  <c r="AF1194" i="1"/>
  <c r="AF1193" i="1"/>
  <c r="AF1192" i="1"/>
  <c r="AF1191" i="1"/>
  <c r="AF1190" i="1"/>
  <c r="AF1189" i="1"/>
  <c r="AF1188" i="1"/>
  <c r="AF1187" i="1"/>
  <c r="AF1186" i="1"/>
  <c r="AF1185" i="1"/>
  <c r="AF1184" i="1"/>
  <c r="AF1183" i="1"/>
  <c r="AF1182" i="1"/>
  <c r="AF1181" i="1"/>
  <c r="AF1180" i="1"/>
  <c r="AF1179" i="1"/>
  <c r="AF1178" i="1"/>
  <c r="AF1177" i="1"/>
  <c r="AF1176" i="1"/>
  <c r="AF1175" i="1"/>
  <c r="AF1174" i="1"/>
  <c r="AF1173" i="1"/>
  <c r="AF1172" i="1"/>
  <c r="AF1171" i="1"/>
  <c r="AF1170" i="1"/>
  <c r="AF1169" i="1"/>
  <c r="AF1168" i="1"/>
  <c r="AF1167" i="1"/>
  <c r="AF1166" i="1"/>
  <c r="AF1165" i="1"/>
  <c r="AF1164" i="1"/>
  <c r="AF1163" i="1"/>
  <c r="AF1162" i="1"/>
  <c r="AF1161" i="1"/>
  <c r="AF1160" i="1"/>
  <c r="AF1159" i="1"/>
  <c r="AF1158" i="1"/>
  <c r="AF1157" i="1"/>
  <c r="AF1156" i="1"/>
  <c r="AF1155" i="1"/>
  <c r="AF1154" i="1"/>
  <c r="AF1153" i="1"/>
  <c r="AF1152" i="1"/>
  <c r="AF1151" i="1"/>
  <c r="AF1150" i="1"/>
  <c r="AF1149" i="1"/>
  <c r="AF1148" i="1"/>
  <c r="AF1147" i="1"/>
  <c r="AF1146" i="1"/>
  <c r="AF1145" i="1"/>
  <c r="AF1144" i="1"/>
  <c r="AF1143" i="1"/>
  <c r="AF1142" i="1"/>
  <c r="AF1141" i="1"/>
  <c r="AF1140" i="1"/>
  <c r="AF1139" i="1"/>
  <c r="AF1138" i="1"/>
  <c r="AF1137" i="1"/>
  <c r="AF1136" i="1"/>
  <c r="AF1135" i="1"/>
  <c r="AF1134" i="1"/>
  <c r="AF1133" i="1"/>
  <c r="AF1132" i="1"/>
  <c r="AF1131" i="1"/>
  <c r="AF1130" i="1"/>
  <c r="AF1129" i="1"/>
  <c r="AF1128" i="1"/>
  <c r="AF1127" i="1"/>
  <c r="AF1126" i="1"/>
  <c r="AF1125" i="1"/>
  <c r="AF1124" i="1"/>
  <c r="AF1123" i="1"/>
  <c r="AF1122" i="1"/>
  <c r="AF1121" i="1"/>
  <c r="AF1120" i="1"/>
  <c r="AF1119" i="1"/>
  <c r="AF1118" i="1"/>
  <c r="AF1117" i="1"/>
  <c r="AF1116" i="1"/>
  <c r="AF1115" i="1"/>
  <c r="AF1114" i="1"/>
  <c r="AF1113" i="1"/>
  <c r="AF1112" i="1"/>
  <c r="AF1111" i="1"/>
  <c r="AF1110" i="1"/>
  <c r="AF1109" i="1"/>
  <c r="AF1108" i="1"/>
  <c r="AF1107" i="1"/>
  <c r="AF1106" i="1"/>
  <c r="AF1105" i="1"/>
  <c r="AF1104" i="1"/>
  <c r="AF1103" i="1"/>
  <c r="AF1102" i="1"/>
  <c r="AF1101" i="1"/>
  <c r="AF1100" i="1"/>
  <c r="AF1099" i="1"/>
  <c r="AF1098" i="1"/>
  <c r="AF1097" i="1"/>
  <c r="AF1096" i="1"/>
  <c r="AF1095" i="1"/>
  <c r="AF1094" i="1"/>
  <c r="AF1093" i="1"/>
  <c r="AF1092" i="1"/>
  <c r="AF1091" i="1"/>
  <c r="AF1090" i="1"/>
  <c r="AF1089" i="1"/>
  <c r="AF1088" i="1"/>
  <c r="AF1087" i="1"/>
  <c r="AF1086" i="1"/>
  <c r="AF1085" i="1"/>
  <c r="AF1084" i="1"/>
  <c r="AF1083" i="1"/>
  <c r="AF1082" i="1"/>
  <c r="AF1081" i="1"/>
  <c r="AF1080" i="1"/>
  <c r="AF1079" i="1"/>
  <c r="AF1078" i="1"/>
  <c r="AF1077" i="1"/>
  <c r="AF1076" i="1"/>
  <c r="AF1075" i="1"/>
  <c r="AF1074" i="1"/>
  <c r="AF1073" i="1"/>
  <c r="AF1072" i="1"/>
  <c r="AF1071" i="1"/>
  <c r="AF1070" i="1"/>
  <c r="AF1069" i="1"/>
  <c r="AF1068" i="1"/>
  <c r="AF1067" i="1"/>
  <c r="AF1066" i="1"/>
  <c r="AF1065" i="1"/>
  <c r="AF1064" i="1"/>
  <c r="AF1063" i="1"/>
  <c r="AF1062" i="1"/>
  <c r="AF1061" i="1"/>
  <c r="AF1060" i="1"/>
  <c r="AF1059" i="1"/>
  <c r="AF1058" i="1"/>
  <c r="AF1057" i="1"/>
  <c r="AF1056" i="1"/>
  <c r="AF1055" i="1"/>
  <c r="AF1054" i="1"/>
  <c r="AF1053" i="1"/>
  <c r="AF1052" i="1"/>
  <c r="AF1051" i="1"/>
  <c r="AF1050" i="1"/>
  <c r="AF1049" i="1"/>
  <c r="AF1048" i="1"/>
  <c r="AF1047" i="1"/>
  <c r="AF1046" i="1"/>
  <c r="AF1045" i="1"/>
  <c r="AF1044" i="1"/>
  <c r="AF1043" i="1"/>
  <c r="AF1042" i="1"/>
  <c r="AF1041" i="1"/>
  <c r="AF1040" i="1"/>
  <c r="AF1039" i="1"/>
  <c r="AF1038" i="1"/>
  <c r="AF1037" i="1"/>
  <c r="AF1036" i="1"/>
  <c r="AF1035" i="1"/>
  <c r="AF1034" i="1"/>
  <c r="AF1033" i="1"/>
  <c r="AF1032" i="1"/>
  <c r="AF1031" i="1"/>
  <c r="AF1030" i="1"/>
  <c r="AF1029" i="1"/>
  <c r="AF1028" i="1"/>
  <c r="AF1027" i="1"/>
  <c r="AF1026" i="1"/>
  <c r="AF1025" i="1"/>
  <c r="AF1024" i="1"/>
  <c r="AF1023" i="1"/>
  <c r="AF1022" i="1"/>
  <c r="AF1021" i="1"/>
  <c r="AF1020" i="1"/>
  <c r="AF1019" i="1"/>
  <c r="AF1018" i="1"/>
  <c r="AF1017" i="1"/>
  <c r="AF1016" i="1"/>
  <c r="AF1015" i="1"/>
  <c r="AF1014" i="1"/>
  <c r="AF1013" i="1"/>
  <c r="AF1012" i="1"/>
  <c r="AF1011" i="1"/>
  <c r="AF1010" i="1"/>
  <c r="AF1009" i="1"/>
  <c r="AF1008" i="1"/>
  <c r="AF1007" i="1"/>
  <c r="AF1006" i="1"/>
  <c r="AF1005" i="1"/>
  <c r="AF1004" i="1"/>
  <c r="AF1003" i="1"/>
  <c r="AF1002" i="1"/>
  <c r="AF1001" i="1"/>
  <c r="AF1000" i="1"/>
  <c r="AF999" i="1"/>
  <c r="AF998" i="1"/>
  <c r="AF997" i="1"/>
  <c r="AF996" i="1"/>
  <c r="AF995" i="1"/>
  <c r="AF994" i="1"/>
  <c r="AF993" i="1"/>
  <c r="AF992" i="1"/>
  <c r="AF991" i="1"/>
  <c r="AF990" i="1"/>
  <c r="AF989" i="1"/>
  <c r="AF988" i="1"/>
  <c r="AF987" i="1"/>
  <c r="AF986" i="1"/>
  <c r="AF985" i="1"/>
  <c r="AF984" i="1"/>
  <c r="AF983" i="1"/>
  <c r="AF982" i="1"/>
  <c r="AF981" i="1"/>
  <c r="AF980" i="1"/>
  <c r="AF979" i="1"/>
  <c r="AF978" i="1"/>
  <c r="AF977" i="1"/>
  <c r="AF976" i="1"/>
  <c r="AF975" i="1"/>
  <c r="AF974" i="1"/>
  <c r="AF973" i="1"/>
  <c r="AF972" i="1"/>
  <c r="AF971" i="1"/>
  <c r="AF970" i="1"/>
  <c r="AF969" i="1"/>
  <c r="AF968" i="1"/>
  <c r="AF967" i="1"/>
  <c r="AF966" i="1"/>
  <c r="AF965" i="1"/>
  <c r="AF964" i="1"/>
  <c r="AF963" i="1"/>
  <c r="AF962" i="1"/>
  <c r="AF961" i="1"/>
  <c r="AF960" i="1"/>
  <c r="AF959" i="1"/>
  <c r="AF958" i="1"/>
  <c r="AF957" i="1"/>
  <c r="AF956" i="1"/>
  <c r="AF955" i="1"/>
  <c r="AF954" i="1"/>
  <c r="AF953" i="1"/>
  <c r="AF952" i="1"/>
  <c r="AF951" i="1"/>
  <c r="AF950" i="1"/>
  <c r="AF949" i="1"/>
  <c r="AF948" i="1"/>
  <c r="AF947" i="1"/>
  <c r="AF946" i="1"/>
  <c r="AF945" i="1"/>
  <c r="AF944" i="1"/>
  <c r="AF943" i="1"/>
  <c r="AF942" i="1"/>
  <c r="AF941" i="1"/>
  <c r="AF940" i="1"/>
  <c r="AF939" i="1"/>
  <c r="AF938" i="1"/>
  <c r="AF937" i="1"/>
  <c r="AF936" i="1"/>
  <c r="AF935" i="1"/>
  <c r="AF934" i="1"/>
  <c r="AF933" i="1"/>
  <c r="AF932" i="1"/>
  <c r="AF931" i="1"/>
  <c r="AF930" i="1"/>
  <c r="AF929" i="1"/>
  <c r="AF928" i="1"/>
  <c r="AF927" i="1"/>
  <c r="AF926" i="1"/>
  <c r="AF925" i="1"/>
  <c r="AF924" i="1"/>
  <c r="AF923" i="1"/>
  <c r="AF922" i="1"/>
  <c r="AF921" i="1"/>
  <c r="AF920" i="1"/>
  <c r="AF919" i="1"/>
  <c r="AF918" i="1"/>
  <c r="AF917" i="1"/>
  <c r="AF916" i="1"/>
  <c r="AF915" i="1"/>
  <c r="AF914" i="1"/>
  <c r="AF913" i="1"/>
  <c r="AF912" i="1"/>
  <c r="AF911" i="1"/>
  <c r="AF910" i="1"/>
  <c r="AF909" i="1"/>
  <c r="AF908" i="1"/>
  <c r="AF907" i="1"/>
  <c r="AF906" i="1"/>
  <c r="AF905" i="1"/>
  <c r="AF904" i="1"/>
  <c r="AF903" i="1"/>
  <c r="AF902" i="1"/>
  <c r="AF901" i="1"/>
  <c r="AF900" i="1"/>
  <c r="AF899" i="1"/>
  <c r="AF898" i="1"/>
  <c r="AF897" i="1"/>
  <c r="AF896" i="1"/>
  <c r="AF895" i="1"/>
  <c r="AF894" i="1"/>
  <c r="AF893" i="1"/>
  <c r="AF892" i="1"/>
  <c r="AF891" i="1"/>
  <c r="AF890" i="1"/>
  <c r="AF889" i="1"/>
  <c r="AF888" i="1"/>
  <c r="AF887" i="1"/>
  <c r="AF886" i="1"/>
  <c r="AF885" i="1"/>
  <c r="AF884" i="1"/>
  <c r="AF883" i="1"/>
  <c r="AF882" i="1"/>
  <c r="AF881" i="1"/>
  <c r="AF880" i="1"/>
  <c r="AF879" i="1"/>
  <c r="AF878" i="1"/>
  <c r="AF877" i="1"/>
  <c r="AF876" i="1"/>
  <c r="AF875" i="1"/>
  <c r="AF874" i="1"/>
  <c r="AF873" i="1"/>
  <c r="AF872" i="1"/>
  <c r="AF871" i="1"/>
  <c r="AF870" i="1"/>
  <c r="AF869" i="1"/>
  <c r="AF868" i="1"/>
  <c r="AF867" i="1"/>
  <c r="AF866" i="1"/>
  <c r="AF865" i="1"/>
  <c r="AF864" i="1"/>
  <c r="AF863" i="1"/>
  <c r="AF862" i="1"/>
  <c r="AF861" i="1"/>
  <c r="AF860" i="1"/>
  <c r="AF859" i="1"/>
  <c r="AF858" i="1"/>
  <c r="AF857" i="1"/>
  <c r="AF856" i="1"/>
  <c r="AF855" i="1"/>
  <c r="AF854" i="1"/>
  <c r="AF853" i="1"/>
  <c r="AF852" i="1"/>
  <c r="AF851" i="1"/>
  <c r="AF850" i="1"/>
  <c r="AF849" i="1"/>
  <c r="AF848" i="1"/>
  <c r="AF847" i="1"/>
  <c r="AF846" i="1"/>
  <c r="AF845" i="1"/>
  <c r="AF844" i="1"/>
  <c r="AF843" i="1"/>
  <c r="AF842" i="1"/>
  <c r="AF841" i="1"/>
  <c r="AF840" i="1"/>
  <c r="AF839" i="1"/>
  <c r="AF838" i="1"/>
  <c r="AF837" i="1"/>
  <c r="AF836" i="1"/>
  <c r="AF835" i="1"/>
  <c r="AF834" i="1"/>
  <c r="AF833" i="1"/>
  <c r="AF832" i="1"/>
  <c r="AF831" i="1"/>
  <c r="AF830" i="1"/>
  <c r="AF829" i="1"/>
  <c r="AF828" i="1"/>
  <c r="AF827" i="1"/>
  <c r="AF826" i="1"/>
  <c r="AF825" i="1"/>
  <c r="AF824" i="1"/>
  <c r="AF823" i="1"/>
  <c r="AF822" i="1"/>
  <c r="AF821" i="1"/>
  <c r="AF820" i="1"/>
  <c r="AF819" i="1"/>
  <c r="AF818" i="1"/>
  <c r="AF817" i="1"/>
  <c r="AF816" i="1"/>
  <c r="AF815" i="1"/>
  <c r="AF814" i="1"/>
  <c r="AF813" i="1"/>
  <c r="AF812" i="1"/>
  <c r="AF811" i="1"/>
  <c r="AF810" i="1"/>
  <c r="AF809" i="1"/>
  <c r="AF808" i="1"/>
  <c r="AF807" i="1"/>
  <c r="AF806" i="1"/>
  <c r="AF805" i="1"/>
  <c r="AF804" i="1"/>
  <c r="AF803" i="1"/>
  <c r="AF802" i="1"/>
  <c r="AF801" i="1"/>
  <c r="AF800" i="1"/>
  <c r="AF799" i="1"/>
  <c r="AF798" i="1"/>
  <c r="AF797" i="1"/>
  <c r="AF796" i="1"/>
  <c r="AF795" i="1"/>
  <c r="AF794" i="1"/>
  <c r="AF793" i="1"/>
  <c r="AF792" i="1"/>
  <c r="AF791" i="1"/>
  <c r="AF790" i="1"/>
  <c r="AF789" i="1"/>
  <c r="AF788" i="1"/>
  <c r="AF787" i="1"/>
  <c r="AF786" i="1"/>
  <c r="AF785" i="1"/>
  <c r="AF784" i="1"/>
  <c r="AF783" i="1"/>
  <c r="AF782" i="1"/>
  <c r="AF781" i="1"/>
  <c r="AF780" i="1"/>
  <c r="AF779" i="1"/>
  <c r="AF778" i="1"/>
  <c r="AF777" i="1"/>
  <c r="AF776" i="1"/>
  <c r="AF775" i="1"/>
  <c r="AF774" i="1"/>
  <c r="AF773" i="1"/>
  <c r="AF772" i="1"/>
  <c r="AF771" i="1"/>
  <c r="AF770" i="1"/>
  <c r="AF769" i="1"/>
  <c r="AF768" i="1"/>
  <c r="AF767" i="1"/>
  <c r="AF766" i="1"/>
  <c r="AF765" i="1"/>
  <c r="AF764" i="1"/>
  <c r="AF763" i="1"/>
  <c r="AF762" i="1"/>
  <c r="AF761" i="1"/>
  <c r="AF760" i="1"/>
  <c r="AF759" i="1"/>
  <c r="AF758" i="1"/>
  <c r="AF757" i="1"/>
  <c r="AF756" i="1"/>
  <c r="AF755" i="1"/>
  <c r="AF754" i="1"/>
  <c r="AF753" i="1"/>
  <c r="AF752" i="1"/>
  <c r="AF751" i="1"/>
  <c r="AF750" i="1"/>
  <c r="AF749" i="1"/>
  <c r="AF748" i="1"/>
  <c r="AF747" i="1"/>
  <c r="AF746" i="1"/>
  <c r="AF745" i="1"/>
  <c r="AF744" i="1"/>
  <c r="AF743" i="1"/>
  <c r="AF742" i="1"/>
  <c r="AF741" i="1"/>
  <c r="AF740" i="1"/>
  <c r="AF739" i="1"/>
  <c r="AF738" i="1"/>
  <c r="AF737" i="1"/>
  <c r="AF736" i="1"/>
  <c r="AF735" i="1"/>
  <c r="AF734" i="1"/>
  <c r="AF733" i="1"/>
  <c r="AF732" i="1"/>
  <c r="AF731" i="1"/>
  <c r="AF730" i="1"/>
  <c r="AF729" i="1"/>
  <c r="AF728" i="1"/>
  <c r="AF727" i="1"/>
  <c r="AF726" i="1"/>
  <c r="AF725" i="1"/>
  <c r="AF724" i="1"/>
  <c r="AF723" i="1"/>
  <c r="AF722" i="1"/>
  <c r="AF721" i="1"/>
  <c r="AF720" i="1"/>
  <c r="AF719" i="1"/>
  <c r="AF718" i="1"/>
  <c r="AF717" i="1"/>
  <c r="AF716" i="1"/>
  <c r="AF715" i="1"/>
  <c r="AF714" i="1"/>
  <c r="AF713" i="1"/>
  <c r="AF712" i="1"/>
  <c r="AF711" i="1"/>
  <c r="AF710" i="1"/>
  <c r="AF709" i="1"/>
  <c r="AF708" i="1"/>
  <c r="AF707" i="1"/>
  <c r="AF706" i="1"/>
  <c r="AF705" i="1"/>
  <c r="AF704" i="1"/>
  <c r="AF703" i="1"/>
  <c r="AF702" i="1"/>
  <c r="AF701" i="1"/>
  <c r="AF700" i="1"/>
  <c r="AF699" i="1"/>
  <c r="AF698" i="1"/>
  <c r="AF697" i="1"/>
  <c r="AF696" i="1"/>
  <c r="AF695" i="1"/>
  <c r="AF694" i="1"/>
  <c r="AF693" i="1"/>
  <c r="AF692" i="1"/>
  <c r="AF691" i="1"/>
  <c r="AF690" i="1"/>
  <c r="AF689" i="1"/>
  <c r="AF688" i="1"/>
  <c r="AF687" i="1"/>
  <c r="AF686" i="1"/>
  <c r="AF685" i="1"/>
  <c r="AF684" i="1"/>
  <c r="AF683" i="1"/>
  <c r="AF682" i="1"/>
  <c r="AF681" i="1"/>
  <c r="AF680" i="1"/>
  <c r="AF679" i="1"/>
  <c r="AF678" i="1"/>
  <c r="AF677" i="1"/>
  <c r="AF676" i="1"/>
  <c r="AF675" i="1"/>
  <c r="AF674" i="1"/>
  <c r="AF673" i="1"/>
  <c r="AF672" i="1"/>
  <c r="AF671" i="1"/>
  <c r="AF670" i="1"/>
  <c r="AF669" i="1"/>
  <c r="AF668" i="1"/>
  <c r="AF667" i="1"/>
  <c r="AF666" i="1"/>
  <c r="AF665" i="1"/>
  <c r="AF664" i="1"/>
  <c r="AF663" i="1"/>
  <c r="AF662" i="1"/>
  <c r="AF661" i="1"/>
  <c r="AF660" i="1"/>
  <c r="AF659" i="1"/>
  <c r="AF658" i="1"/>
  <c r="AF657" i="1"/>
  <c r="AF656" i="1"/>
  <c r="AF655" i="1"/>
  <c r="AF654" i="1"/>
  <c r="AF653" i="1"/>
  <c r="AF652" i="1"/>
  <c r="AF651" i="1"/>
  <c r="AF650" i="1"/>
  <c r="AF649" i="1"/>
  <c r="AF648" i="1"/>
  <c r="AF647" i="1"/>
  <c r="AF646" i="1"/>
  <c r="AF645" i="1"/>
  <c r="AF644" i="1"/>
  <c r="AF643" i="1"/>
  <c r="AF642" i="1"/>
  <c r="AF641" i="1"/>
  <c r="AF640" i="1"/>
  <c r="AF639" i="1"/>
  <c r="AF638" i="1"/>
  <c r="AF637" i="1"/>
  <c r="AF636" i="1"/>
  <c r="AF635" i="1"/>
  <c r="AF634" i="1"/>
  <c r="AF633" i="1"/>
  <c r="AF632" i="1"/>
  <c r="AF631" i="1"/>
  <c r="AF630" i="1"/>
  <c r="AF629" i="1"/>
  <c r="AF628" i="1"/>
  <c r="AF627" i="1"/>
  <c r="AF626" i="1"/>
  <c r="AF625" i="1"/>
  <c r="AF624" i="1"/>
  <c r="AF623" i="1"/>
  <c r="AF622" i="1"/>
  <c r="AF621" i="1"/>
  <c r="AF620" i="1"/>
  <c r="AF619" i="1"/>
  <c r="AF618" i="1"/>
  <c r="AF617" i="1"/>
  <c r="AF616" i="1"/>
  <c r="AF615" i="1"/>
  <c r="AF614" i="1"/>
  <c r="AF613" i="1"/>
  <c r="AF612" i="1"/>
  <c r="AF611" i="1"/>
  <c r="AF610" i="1"/>
  <c r="AF609" i="1"/>
  <c r="AF608" i="1"/>
  <c r="AF607" i="1"/>
  <c r="AF606" i="1"/>
  <c r="AF605" i="1"/>
  <c r="AF604" i="1"/>
  <c r="AF603" i="1"/>
  <c r="AF602" i="1"/>
  <c r="AF601" i="1"/>
  <c r="AF600" i="1"/>
  <c r="AF599" i="1"/>
  <c r="AF598" i="1"/>
  <c r="AF597" i="1"/>
  <c r="AF596" i="1"/>
  <c r="AF595" i="1"/>
  <c r="AF594" i="1"/>
  <c r="AF593" i="1"/>
  <c r="AF592" i="1"/>
  <c r="AF591" i="1"/>
  <c r="AF590" i="1"/>
  <c r="AF589" i="1"/>
  <c r="AF588" i="1"/>
  <c r="AF587" i="1"/>
  <c r="AF586" i="1"/>
  <c r="AF585" i="1"/>
  <c r="AF584" i="1"/>
  <c r="AF583" i="1"/>
  <c r="AF582" i="1"/>
  <c r="AF581" i="1"/>
  <c r="AF580" i="1"/>
  <c r="AF579" i="1"/>
  <c r="AF578" i="1"/>
  <c r="AF577" i="1"/>
  <c r="AF576" i="1"/>
  <c r="AF575" i="1"/>
  <c r="AF574" i="1"/>
  <c r="AF573" i="1"/>
  <c r="AF572" i="1"/>
  <c r="AF571" i="1"/>
  <c r="AF570" i="1"/>
  <c r="AF569" i="1"/>
  <c r="AF568" i="1"/>
  <c r="AF567" i="1"/>
  <c r="AF566" i="1"/>
  <c r="AF565" i="1"/>
  <c r="AF564" i="1"/>
  <c r="AF563" i="1"/>
  <c r="AF562" i="1"/>
  <c r="AF561" i="1"/>
  <c r="AF560" i="1"/>
  <c r="AF559" i="1"/>
  <c r="AF558" i="1"/>
  <c r="AF557" i="1"/>
  <c r="AF556" i="1"/>
  <c r="AF555" i="1"/>
  <c r="AF554" i="1"/>
  <c r="AF553" i="1"/>
  <c r="AF552" i="1"/>
  <c r="AF551" i="1"/>
  <c r="AF550" i="1"/>
  <c r="AF549" i="1"/>
  <c r="AF548" i="1"/>
  <c r="AF547" i="1"/>
  <c r="AF546" i="1"/>
  <c r="AF545" i="1"/>
  <c r="AF544" i="1"/>
  <c r="AF543" i="1"/>
  <c r="AF542" i="1"/>
  <c r="AF541" i="1"/>
  <c r="AF540" i="1"/>
  <c r="AF539" i="1"/>
  <c r="AF538" i="1"/>
  <c r="AF537" i="1"/>
  <c r="AF536" i="1"/>
  <c r="AF535" i="1"/>
  <c r="AF534" i="1"/>
  <c r="AF533" i="1"/>
  <c r="AF532" i="1"/>
  <c r="AF531" i="1"/>
  <c r="AF530" i="1"/>
  <c r="AF529" i="1"/>
  <c r="AF528" i="1"/>
  <c r="AF527" i="1"/>
  <c r="AF526" i="1"/>
  <c r="AF525" i="1"/>
  <c r="AF524" i="1"/>
  <c r="AF523" i="1"/>
  <c r="AF522" i="1"/>
  <c r="AF521" i="1"/>
  <c r="AF520" i="1"/>
  <c r="AF519" i="1"/>
  <c r="AF518" i="1"/>
  <c r="AF517" i="1"/>
  <c r="AF516" i="1"/>
  <c r="AF515" i="1"/>
  <c r="AF514" i="1"/>
  <c r="AF513" i="1"/>
  <c r="AF512" i="1"/>
  <c r="AF511" i="1"/>
  <c r="AF510" i="1"/>
  <c r="AF509" i="1"/>
  <c r="AF508" i="1"/>
  <c r="AF507" i="1"/>
  <c r="AF506" i="1"/>
  <c r="AF505" i="1"/>
  <c r="AF504" i="1"/>
  <c r="AF503" i="1"/>
  <c r="AF502" i="1"/>
  <c r="AF501" i="1"/>
  <c r="AF500" i="1"/>
  <c r="AF499" i="1"/>
  <c r="AF498" i="1"/>
  <c r="AF497" i="1"/>
  <c r="AF496" i="1"/>
  <c r="AF495" i="1"/>
  <c r="AF494" i="1"/>
  <c r="AF493" i="1"/>
  <c r="AF492" i="1"/>
  <c r="AF491" i="1"/>
  <c r="AF490" i="1"/>
  <c r="AF489" i="1"/>
  <c r="AF488" i="1"/>
  <c r="AF487" i="1"/>
  <c r="AF486" i="1"/>
  <c r="AF485" i="1"/>
  <c r="AF484" i="1"/>
  <c r="AF483" i="1"/>
  <c r="AF482" i="1"/>
  <c r="AF481" i="1"/>
  <c r="AF480" i="1"/>
  <c r="AF479" i="1"/>
  <c r="AF478" i="1"/>
  <c r="AF477" i="1"/>
  <c r="AF476" i="1"/>
  <c r="AF475" i="1"/>
  <c r="AF474" i="1"/>
  <c r="AF473" i="1"/>
  <c r="AF472" i="1"/>
  <c r="AF471" i="1"/>
  <c r="AF470" i="1"/>
  <c r="AF469" i="1"/>
  <c r="AF468" i="1"/>
  <c r="AF467" i="1"/>
  <c r="AF466" i="1"/>
  <c r="AF465" i="1"/>
  <c r="AF464" i="1"/>
  <c r="AF463" i="1"/>
  <c r="AF462" i="1"/>
  <c r="AF461" i="1"/>
  <c r="AF460" i="1"/>
  <c r="AF459" i="1"/>
  <c r="AF458" i="1"/>
  <c r="AF457" i="1"/>
  <c r="AF456" i="1"/>
  <c r="AF455" i="1"/>
  <c r="AF454" i="1"/>
  <c r="AF453" i="1"/>
  <c r="AF452" i="1"/>
  <c r="AF451" i="1"/>
  <c r="AF450" i="1"/>
  <c r="AF449" i="1"/>
  <c r="AF448" i="1"/>
  <c r="AF447" i="1"/>
  <c r="AF446" i="1"/>
  <c r="AF445" i="1"/>
  <c r="AF444" i="1"/>
  <c r="AF443" i="1"/>
  <c r="AF442" i="1"/>
  <c r="AF441" i="1"/>
  <c r="AF440" i="1"/>
  <c r="AF439" i="1"/>
  <c r="AF438" i="1"/>
  <c r="AF437" i="1"/>
  <c r="AF436" i="1"/>
  <c r="AF435" i="1"/>
  <c r="AF434" i="1"/>
  <c r="AF433" i="1"/>
  <c r="AF432" i="1"/>
  <c r="AF431" i="1"/>
  <c r="AF430" i="1"/>
  <c r="AF429" i="1"/>
  <c r="AF428" i="1"/>
  <c r="AF427" i="1"/>
  <c r="AF426" i="1"/>
  <c r="AF425" i="1"/>
  <c r="AF424" i="1"/>
  <c r="AF423" i="1"/>
  <c r="AF422" i="1"/>
  <c r="AF421" i="1"/>
  <c r="AF420" i="1"/>
  <c r="AF419" i="1"/>
  <c r="AF418" i="1"/>
  <c r="AF417" i="1"/>
  <c r="AF416" i="1"/>
  <c r="AF415" i="1"/>
  <c r="AF414" i="1"/>
  <c r="AF413" i="1"/>
  <c r="AF412" i="1"/>
  <c r="AF411" i="1"/>
  <c r="AF410" i="1"/>
  <c r="AF409" i="1"/>
  <c r="AF408" i="1"/>
  <c r="AF407" i="1"/>
  <c r="AF406" i="1"/>
  <c r="AF405" i="1"/>
  <c r="AF404" i="1"/>
  <c r="AF403" i="1"/>
  <c r="AF402" i="1"/>
  <c r="AF401" i="1"/>
  <c r="AF400" i="1"/>
  <c r="AF399" i="1"/>
  <c r="AF398" i="1"/>
  <c r="AF397" i="1"/>
  <c r="AF396" i="1"/>
  <c r="AF395" i="1"/>
  <c r="AF394" i="1"/>
  <c r="AF393" i="1"/>
  <c r="AF392" i="1"/>
  <c r="AF391" i="1"/>
  <c r="AF390" i="1"/>
  <c r="AF389" i="1"/>
  <c r="AF388" i="1"/>
  <c r="AF387" i="1"/>
  <c r="AF386" i="1"/>
  <c r="AF385" i="1"/>
  <c r="AF384" i="1"/>
  <c r="AF383" i="1"/>
  <c r="AF382" i="1"/>
  <c r="AF381" i="1"/>
  <c r="AF380" i="1"/>
  <c r="AF379" i="1"/>
  <c r="AF378" i="1"/>
  <c r="AF377" i="1"/>
  <c r="AF376" i="1"/>
  <c r="AF375" i="1"/>
  <c r="AF374" i="1"/>
  <c r="AF373" i="1"/>
  <c r="AF372" i="1"/>
  <c r="AF371" i="1"/>
  <c r="AF370" i="1"/>
  <c r="AF369" i="1"/>
  <c r="AF368" i="1"/>
  <c r="AF367" i="1"/>
  <c r="AF366" i="1"/>
  <c r="AF365" i="1"/>
  <c r="AF364" i="1"/>
  <c r="AF363" i="1"/>
  <c r="AF362" i="1"/>
  <c r="AF361" i="1"/>
  <c r="AF360" i="1"/>
  <c r="AF359" i="1"/>
  <c r="AF358" i="1"/>
  <c r="AF357" i="1"/>
  <c r="AF356" i="1"/>
  <c r="AF355" i="1"/>
  <c r="AF354" i="1"/>
  <c r="AF353" i="1"/>
  <c r="AF352" i="1"/>
  <c r="AF351" i="1"/>
  <c r="AF350" i="1"/>
  <c r="AF349" i="1"/>
  <c r="AF348" i="1"/>
  <c r="AF347" i="1"/>
  <c r="AF346" i="1"/>
  <c r="AF345" i="1"/>
  <c r="AF344" i="1"/>
  <c r="AF343" i="1"/>
  <c r="AF342" i="1"/>
  <c r="AF341" i="1"/>
  <c r="AF340" i="1"/>
  <c r="AF339" i="1"/>
  <c r="AF338" i="1"/>
  <c r="AF337" i="1"/>
  <c r="AF336" i="1"/>
  <c r="AF335" i="1"/>
  <c r="AF334" i="1"/>
  <c r="AF333" i="1"/>
  <c r="AF332" i="1"/>
  <c r="AF331" i="1"/>
  <c r="AF330" i="1"/>
  <c r="AF329" i="1"/>
  <c r="AF328" i="1"/>
  <c r="AF327" i="1"/>
  <c r="AF326" i="1"/>
  <c r="AF325" i="1"/>
  <c r="AF324" i="1"/>
  <c r="AF323" i="1"/>
  <c r="AF322" i="1"/>
  <c r="AF321" i="1"/>
  <c r="AF320" i="1"/>
  <c r="AF319" i="1"/>
  <c r="AF318" i="1"/>
  <c r="AF317" i="1"/>
  <c r="AF316" i="1"/>
  <c r="AF315" i="1"/>
  <c r="AF314" i="1"/>
  <c r="AF313" i="1"/>
  <c r="AF312" i="1"/>
  <c r="AF311" i="1"/>
  <c r="AF310" i="1"/>
  <c r="AF309" i="1"/>
  <c r="AF308" i="1"/>
  <c r="AF307" i="1"/>
  <c r="AF306" i="1"/>
  <c r="AF305" i="1"/>
  <c r="AF304" i="1"/>
  <c r="AF303" i="1"/>
  <c r="AF302" i="1"/>
  <c r="AF301" i="1"/>
  <c r="AF300" i="1"/>
  <c r="AF299" i="1"/>
  <c r="AF298" i="1"/>
  <c r="AF297" i="1"/>
  <c r="AF296" i="1"/>
  <c r="AF295" i="1"/>
  <c r="AF294" i="1"/>
  <c r="AF293" i="1"/>
  <c r="AF292" i="1"/>
  <c r="AF291" i="1"/>
  <c r="AF290" i="1"/>
  <c r="AF289" i="1"/>
  <c r="AF288" i="1"/>
  <c r="AF287" i="1"/>
  <c r="AF286" i="1"/>
  <c r="AF285" i="1"/>
  <c r="AF284" i="1"/>
  <c r="AF283" i="1"/>
  <c r="AF282" i="1"/>
  <c r="AF281" i="1"/>
  <c r="AF280" i="1"/>
  <c r="AF279" i="1"/>
  <c r="AF278" i="1"/>
  <c r="AF277" i="1"/>
  <c r="AF276" i="1"/>
  <c r="AF275" i="1"/>
  <c r="AF274" i="1"/>
  <c r="AF273" i="1"/>
  <c r="AF272" i="1"/>
  <c r="AF271" i="1"/>
  <c r="AF270" i="1"/>
  <c r="AF269" i="1"/>
  <c r="AF268" i="1"/>
  <c r="AF267" i="1"/>
  <c r="AF266" i="1"/>
  <c r="AF265" i="1"/>
  <c r="AF264" i="1"/>
  <c r="AF263" i="1"/>
  <c r="AF262" i="1"/>
  <c r="AF261" i="1"/>
  <c r="AF260" i="1"/>
  <c r="AF259" i="1"/>
  <c r="AF258" i="1"/>
  <c r="AF257" i="1"/>
  <c r="AF256" i="1"/>
  <c r="AF255" i="1"/>
  <c r="AF254" i="1"/>
  <c r="AF253" i="1"/>
  <c r="AF252" i="1"/>
  <c r="AF251" i="1"/>
  <c r="AF250" i="1"/>
  <c r="AF249" i="1"/>
  <c r="AF248" i="1"/>
  <c r="AF247" i="1"/>
  <c r="AF246" i="1"/>
  <c r="AF245" i="1"/>
  <c r="AF244" i="1"/>
  <c r="AF243" i="1"/>
  <c r="AF242" i="1"/>
  <c r="AF241" i="1"/>
  <c r="AF240" i="1"/>
  <c r="AF239" i="1"/>
  <c r="AF238" i="1"/>
  <c r="AF237" i="1"/>
  <c r="AF236" i="1"/>
  <c r="AF235" i="1"/>
  <c r="AF234" i="1"/>
  <c r="AF233" i="1"/>
  <c r="AF232" i="1"/>
  <c r="AF231" i="1"/>
  <c r="AF230" i="1"/>
  <c r="AF229" i="1"/>
  <c r="AF228" i="1"/>
  <c r="AF227" i="1"/>
  <c r="AF226" i="1"/>
  <c r="AF225" i="1"/>
  <c r="AF224" i="1"/>
  <c r="AF223" i="1"/>
  <c r="AF222" i="1"/>
  <c r="AF221" i="1"/>
  <c r="AF220" i="1"/>
  <c r="AF219" i="1"/>
  <c r="AF218" i="1"/>
  <c r="AF217" i="1"/>
  <c r="AF216" i="1"/>
  <c r="AF215" i="1"/>
  <c r="AF214" i="1"/>
  <c r="AF213" i="1"/>
  <c r="AF212" i="1"/>
  <c r="AF211" i="1"/>
  <c r="AF210" i="1"/>
  <c r="AF209" i="1"/>
  <c r="AF208" i="1"/>
  <c r="AF207" i="1"/>
  <c r="AF206" i="1"/>
  <c r="AF205" i="1"/>
  <c r="AF204" i="1"/>
  <c r="AF203" i="1"/>
  <c r="AF202" i="1"/>
  <c r="AF201" i="1"/>
  <c r="AF200" i="1"/>
  <c r="AF199" i="1"/>
  <c r="AF198" i="1"/>
  <c r="AF197" i="1"/>
  <c r="AF196" i="1"/>
  <c r="AF195" i="1"/>
  <c r="AF194" i="1"/>
  <c r="AF193" i="1"/>
  <c r="AF192" i="1"/>
  <c r="AF191" i="1"/>
  <c r="AF190" i="1"/>
  <c r="AF189" i="1"/>
  <c r="AF188" i="1"/>
  <c r="AF187" i="1"/>
  <c r="AF186" i="1"/>
  <c r="AF185" i="1"/>
  <c r="AF184" i="1"/>
  <c r="AF183" i="1"/>
  <c r="AF182" i="1"/>
  <c r="AF181" i="1"/>
  <c r="AF180" i="1"/>
  <c r="AF179" i="1"/>
  <c r="AF178" i="1"/>
  <c r="AF177" i="1"/>
  <c r="AF176" i="1"/>
  <c r="AF175" i="1"/>
  <c r="AF174" i="1"/>
  <c r="AF173" i="1"/>
  <c r="AF172" i="1"/>
  <c r="AF171" i="1"/>
  <c r="AF170" i="1"/>
  <c r="AF169" i="1"/>
  <c r="AF168" i="1"/>
  <c r="AF167" i="1"/>
  <c r="AF166" i="1"/>
  <c r="AF165" i="1"/>
  <c r="AF164" i="1"/>
  <c r="AF163" i="1"/>
  <c r="AF162" i="1"/>
  <c r="AF161" i="1"/>
  <c r="AF160" i="1"/>
  <c r="AF159" i="1"/>
  <c r="AF158" i="1"/>
  <c r="AF157" i="1"/>
  <c r="AF156" i="1"/>
  <c r="AF155" i="1"/>
  <c r="AF154" i="1"/>
  <c r="AF153" i="1"/>
  <c r="AF152" i="1"/>
  <c r="AF151" i="1"/>
  <c r="AF150" i="1"/>
  <c r="AF149" i="1"/>
  <c r="AF148" i="1"/>
  <c r="AF147" i="1"/>
  <c r="AF146" i="1"/>
  <c r="AF145" i="1"/>
  <c r="AF144" i="1"/>
  <c r="AF143" i="1"/>
  <c r="AF142" i="1"/>
  <c r="AF141" i="1"/>
  <c r="AF140" i="1"/>
  <c r="AF139" i="1"/>
  <c r="AF138" i="1"/>
  <c r="AF137" i="1"/>
  <c r="AF136" i="1"/>
  <c r="AF135" i="1"/>
  <c r="AF134" i="1"/>
  <c r="AF133" i="1"/>
  <c r="AF132" i="1"/>
  <c r="AF131" i="1"/>
  <c r="AF130" i="1"/>
  <c r="AF129" i="1"/>
  <c r="AF128" i="1"/>
  <c r="AF127" i="1"/>
  <c r="AF126" i="1"/>
  <c r="AF125" i="1"/>
  <c r="AF124" i="1"/>
  <c r="AF123" i="1"/>
  <c r="AF122" i="1"/>
  <c r="AF121" i="1"/>
  <c r="AF120" i="1"/>
  <c r="AF119" i="1"/>
  <c r="AF118" i="1"/>
  <c r="AF117" i="1"/>
  <c r="AF116" i="1"/>
  <c r="AF115" i="1"/>
  <c r="AF114" i="1"/>
  <c r="AF113" i="1"/>
  <c r="AF112" i="1"/>
  <c r="AF111" i="1"/>
  <c r="AF110" i="1"/>
  <c r="AF109" i="1"/>
  <c r="AF108" i="1"/>
  <c r="AF107" i="1"/>
  <c r="AF106" i="1"/>
  <c r="AF105" i="1"/>
  <c r="AF104" i="1"/>
  <c r="AF103" i="1"/>
  <c r="AF102" i="1"/>
  <c r="AF101" i="1"/>
  <c r="AF100" i="1"/>
  <c r="AF99" i="1"/>
  <c r="AF98" i="1"/>
  <c r="AF97" i="1"/>
  <c r="AF96" i="1"/>
  <c r="AF95" i="1"/>
  <c r="AF94" i="1"/>
  <c r="AF93" i="1"/>
  <c r="AF92" i="1"/>
  <c r="AF91" i="1"/>
  <c r="AF90" i="1"/>
  <c r="AF89" i="1"/>
  <c r="AF88" i="1"/>
  <c r="AF87" i="1"/>
  <c r="AF86" i="1"/>
  <c r="AF85" i="1"/>
  <c r="AF84" i="1"/>
  <c r="AF83" i="1"/>
  <c r="AF82" i="1"/>
  <c r="AF81" i="1"/>
  <c r="AF80" i="1"/>
  <c r="AF79" i="1"/>
  <c r="AF78" i="1"/>
  <c r="AF77" i="1"/>
  <c r="AF76" i="1"/>
  <c r="AF75" i="1"/>
  <c r="AF74" i="1"/>
  <c r="AF73" i="1"/>
  <c r="AF72" i="1"/>
  <c r="AF71" i="1"/>
  <c r="AF70" i="1"/>
  <c r="AF69" i="1"/>
  <c r="AF68" i="1"/>
  <c r="AF67" i="1"/>
  <c r="AF66" i="1"/>
  <c r="AF65" i="1"/>
  <c r="AF64" i="1"/>
  <c r="AF63" i="1"/>
  <c r="AF62" i="1"/>
  <c r="AF61" i="1"/>
  <c r="AF60" i="1"/>
  <c r="AF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F3" i="1"/>
  <c r="AF1687" i="1"/>
  <c r="AF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C1687"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B1687" i="1"/>
  <c r="AB1686" i="1"/>
  <c r="AB1685" i="1"/>
  <c r="AB1684" i="1"/>
  <c r="AB1683" i="1"/>
  <c r="AB1682" i="1"/>
  <c r="AB1681" i="1"/>
  <c r="AB1680" i="1"/>
  <c r="AB1679" i="1"/>
  <c r="AB1678" i="1"/>
  <c r="AB1677" i="1"/>
  <c r="AB1676" i="1"/>
  <c r="AB1675" i="1"/>
  <c r="AB1674" i="1"/>
  <c r="AB1673" i="1"/>
  <c r="AB1672" i="1"/>
  <c r="AB1671" i="1"/>
  <c r="AB1670" i="1"/>
  <c r="AB1669" i="1"/>
  <c r="AB1668" i="1"/>
  <c r="AB1667" i="1"/>
  <c r="AB1666" i="1"/>
  <c r="AB1665" i="1"/>
  <c r="AB1664" i="1"/>
  <c r="AB1663" i="1"/>
  <c r="AB1662" i="1"/>
  <c r="AB1661" i="1"/>
  <c r="AB1660" i="1"/>
  <c r="AB1659" i="1"/>
  <c r="AB1658" i="1"/>
  <c r="AB1657" i="1"/>
  <c r="AB1656" i="1"/>
  <c r="AB1655" i="1"/>
  <c r="AB1654" i="1"/>
  <c r="AB1653" i="1"/>
  <c r="AB1652" i="1"/>
  <c r="AB1651" i="1"/>
  <c r="AB1650" i="1"/>
  <c r="AB1649" i="1"/>
  <c r="AB1648" i="1"/>
  <c r="AB1647" i="1"/>
  <c r="AB1646" i="1"/>
  <c r="AB1645" i="1"/>
  <c r="AB1644" i="1"/>
  <c r="AB1643" i="1"/>
  <c r="AB1642" i="1"/>
  <c r="AB1641" i="1"/>
  <c r="AB1640" i="1"/>
  <c r="AB1639" i="1"/>
  <c r="AB1638" i="1"/>
  <c r="AB1637" i="1"/>
  <c r="AB1636" i="1"/>
  <c r="AB1635" i="1"/>
  <c r="AB1634" i="1"/>
  <c r="AB1633" i="1"/>
  <c r="AB1632" i="1"/>
  <c r="AB1631" i="1"/>
  <c r="AB1630" i="1"/>
  <c r="AB1629" i="1"/>
  <c r="AB1628" i="1"/>
  <c r="AB1627" i="1"/>
  <c r="AB1626" i="1"/>
  <c r="AB1625" i="1"/>
  <c r="AB1624" i="1"/>
  <c r="AB1623" i="1"/>
  <c r="AB1622" i="1"/>
  <c r="AB1621" i="1"/>
  <c r="AB1620" i="1"/>
  <c r="AB1619" i="1"/>
  <c r="AB1618" i="1"/>
  <c r="AB1617" i="1"/>
  <c r="AB1616" i="1"/>
  <c r="AB1615" i="1"/>
  <c r="AB1614" i="1"/>
  <c r="AB1613" i="1"/>
  <c r="AB1612" i="1"/>
  <c r="AB1611" i="1"/>
  <c r="AB1610" i="1"/>
  <c r="AB1609" i="1"/>
  <c r="AB1608" i="1"/>
  <c r="AB1607" i="1"/>
  <c r="AB1606" i="1"/>
  <c r="AB1605" i="1"/>
  <c r="AB1604" i="1"/>
  <c r="AB1603" i="1"/>
  <c r="AB1602" i="1"/>
  <c r="AB1601" i="1"/>
  <c r="AB1600" i="1"/>
  <c r="AB1599" i="1"/>
  <c r="AB1598" i="1"/>
  <c r="AB1597" i="1"/>
  <c r="AB1596" i="1"/>
  <c r="AB1595" i="1"/>
  <c r="AB1594" i="1"/>
  <c r="AB1593" i="1"/>
  <c r="AB1592" i="1"/>
  <c r="AB1591" i="1"/>
  <c r="AB1590" i="1"/>
  <c r="AB1589" i="1"/>
  <c r="AB1588" i="1"/>
  <c r="AB1587" i="1"/>
  <c r="AB1586" i="1"/>
  <c r="AB1585" i="1"/>
  <c r="AB1584" i="1"/>
  <c r="AB1583" i="1"/>
  <c r="AB1582" i="1"/>
  <c r="AB1581" i="1"/>
  <c r="AB1580" i="1"/>
  <c r="AB1579" i="1"/>
  <c r="AB1578" i="1"/>
  <c r="AB1577" i="1"/>
  <c r="AB1576" i="1"/>
  <c r="AB1575" i="1"/>
  <c r="AB1574" i="1"/>
  <c r="AB1573" i="1"/>
  <c r="AB1572" i="1"/>
  <c r="AB1571" i="1"/>
  <c r="AB1570" i="1"/>
  <c r="AB1569" i="1"/>
  <c r="AB1568" i="1"/>
  <c r="AB1567" i="1"/>
  <c r="AB1566" i="1"/>
  <c r="AB1565" i="1"/>
  <c r="AB1564" i="1"/>
  <c r="AB1563" i="1"/>
  <c r="AB1562" i="1"/>
  <c r="AB1561" i="1"/>
  <c r="AB1560" i="1"/>
  <c r="AB1559" i="1"/>
  <c r="AB1558" i="1"/>
  <c r="AB1557" i="1"/>
  <c r="AB1556" i="1"/>
  <c r="AB1555" i="1"/>
  <c r="AB1554" i="1"/>
  <c r="AB1553" i="1"/>
  <c r="AB1552" i="1"/>
  <c r="AB1551" i="1"/>
  <c r="AB1550" i="1"/>
  <c r="AB1549" i="1"/>
  <c r="AB1548" i="1"/>
  <c r="AB1547" i="1"/>
  <c r="AB1546" i="1"/>
  <c r="AB1545" i="1"/>
  <c r="AB1544" i="1"/>
  <c r="AB1543" i="1"/>
  <c r="AB1542" i="1"/>
  <c r="AB1541" i="1"/>
  <c r="AB1540" i="1"/>
  <c r="AB1539" i="1"/>
  <c r="AB1538" i="1"/>
  <c r="AB1537" i="1"/>
  <c r="AB1536" i="1"/>
  <c r="AB1535" i="1"/>
  <c r="AB1534" i="1"/>
  <c r="AB1533" i="1"/>
  <c r="AB1532" i="1"/>
  <c r="AB1531" i="1"/>
  <c r="AB1530" i="1"/>
  <c r="AB1529" i="1"/>
  <c r="AB1528" i="1"/>
  <c r="AB1527" i="1"/>
  <c r="AB1526" i="1"/>
  <c r="AB1525" i="1"/>
  <c r="AB1524" i="1"/>
  <c r="AB1523" i="1"/>
  <c r="AB1522" i="1"/>
  <c r="AB1521" i="1"/>
  <c r="AB1520" i="1"/>
  <c r="AB1519" i="1"/>
  <c r="AB1518" i="1"/>
  <c r="AB1517" i="1"/>
  <c r="AB1516" i="1"/>
  <c r="AB1515" i="1"/>
  <c r="AB1514" i="1"/>
  <c r="AB1513" i="1"/>
  <c r="AB1512" i="1"/>
  <c r="AB1511" i="1"/>
  <c r="AB1510" i="1"/>
  <c r="AB1509" i="1"/>
  <c r="AB1508" i="1"/>
  <c r="AB1507" i="1"/>
  <c r="AB1506" i="1"/>
  <c r="AB1505" i="1"/>
  <c r="AB1504" i="1"/>
  <c r="AB1503" i="1"/>
  <c r="AB1502" i="1"/>
  <c r="AB1501" i="1"/>
  <c r="AB1500" i="1"/>
  <c r="AB1499" i="1"/>
  <c r="AB1498" i="1"/>
  <c r="AB1497" i="1"/>
  <c r="AB1496" i="1"/>
  <c r="AB1495" i="1"/>
  <c r="AB1494" i="1"/>
  <c r="AB1493" i="1"/>
  <c r="AB1492" i="1"/>
  <c r="AB1491" i="1"/>
  <c r="AB1490" i="1"/>
  <c r="AB1489" i="1"/>
  <c r="AB1488" i="1"/>
  <c r="AB1487" i="1"/>
  <c r="AB1486" i="1"/>
  <c r="AB1485" i="1"/>
  <c r="AB1484" i="1"/>
  <c r="AB1483" i="1"/>
  <c r="AB1482" i="1"/>
  <c r="AB1481" i="1"/>
  <c r="AB1480" i="1"/>
  <c r="AB1479" i="1"/>
  <c r="AB1478" i="1"/>
  <c r="AB1477" i="1"/>
  <c r="AB1476" i="1"/>
  <c r="AB1475" i="1"/>
  <c r="AB1474" i="1"/>
  <c r="AB1473" i="1"/>
  <c r="AB1472" i="1"/>
  <c r="AB1471" i="1"/>
  <c r="AB1470" i="1"/>
  <c r="AB1469" i="1"/>
  <c r="AB1468" i="1"/>
  <c r="AB1467" i="1"/>
  <c r="AB1466" i="1"/>
  <c r="AB1465" i="1"/>
  <c r="AB1464" i="1"/>
  <c r="AB1463" i="1"/>
  <c r="AB1462" i="1"/>
  <c r="AB1461" i="1"/>
  <c r="AB1460" i="1"/>
  <c r="AB1459" i="1"/>
  <c r="AB1458" i="1"/>
  <c r="AB1457" i="1"/>
  <c r="AB1456" i="1"/>
  <c r="AB1455" i="1"/>
  <c r="AB1454" i="1"/>
  <c r="AB1453" i="1"/>
  <c r="AB1452" i="1"/>
  <c r="AB1451" i="1"/>
  <c r="AB1450" i="1"/>
  <c r="AB1449" i="1"/>
  <c r="AB1448" i="1"/>
  <c r="AB1447" i="1"/>
  <c r="AB1446" i="1"/>
  <c r="AB1445" i="1"/>
  <c r="AB1444" i="1"/>
  <c r="AB1443" i="1"/>
  <c r="AB1442" i="1"/>
  <c r="AB1441" i="1"/>
  <c r="AB1440" i="1"/>
  <c r="AB1439" i="1"/>
  <c r="AB1438" i="1"/>
  <c r="AB1437" i="1"/>
  <c r="AB1436" i="1"/>
  <c r="AB1435" i="1"/>
  <c r="AB1434" i="1"/>
  <c r="AB1433" i="1"/>
  <c r="AB1432" i="1"/>
  <c r="AB1431" i="1"/>
  <c r="AB1430" i="1"/>
  <c r="AB1429" i="1"/>
  <c r="AB1428" i="1"/>
  <c r="AB1427" i="1"/>
  <c r="AB1426" i="1"/>
  <c r="AB1425" i="1"/>
  <c r="AB1424" i="1"/>
  <c r="AB1423" i="1"/>
  <c r="AB1422" i="1"/>
  <c r="AB1421" i="1"/>
  <c r="AB1420" i="1"/>
  <c r="AB1419" i="1"/>
  <c r="AB1418" i="1"/>
  <c r="AB1417" i="1"/>
  <c r="AB1416" i="1"/>
  <c r="AB1415" i="1"/>
  <c r="AB1414" i="1"/>
  <c r="AB1413" i="1"/>
  <c r="AB1412" i="1"/>
  <c r="AB1411" i="1"/>
  <c r="AB1410" i="1"/>
  <c r="AB1409" i="1"/>
  <c r="AB1408" i="1"/>
  <c r="AB1407" i="1"/>
  <c r="AB1406" i="1"/>
  <c r="AB1405" i="1"/>
  <c r="AB1404" i="1"/>
  <c r="AB1403" i="1"/>
  <c r="AB1402" i="1"/>
  <c r="AB1401" i="1"/>
  <c r="AB1400" i="1"/>
  <c r="AB1399" i="1"/>
  <c r="AB1398" i="1"/>
  <c r="AB1397" i="1"/>
  <c r="AB1396" i="1"/>
  <c r="AB1395" i="1"/>
  <c r="AB1394" i="1"/>
  <c r="AB1393" i="1"/>
  <c r="AB1392" i="1"/>
  <c r="AB1391" i="1"/>
  <c r="AB1390" i="1"/>
  <c r="AB1389" i="1"/>
  <c r="AB1388" i="1"/>
  <c r="AB1387" i="1"/>
  <c r="AB1386" i="1"/>
  <c r="AB1385" i="1"/>
  <c r="AB1384" i="1"/>
  <c r="AB1383" i="1"/>
  <c r="AB1382" i="1"/>
  <c r="AB1381" i="1"/>
  <c r="AB1380" i="1"/>
  <c r="AB1379" i="1"/>
  <c r="AB1378" i="1"/>
  <c r="AB1377" i="1"/>
  <c r="AB1376" i="1"/>
  <c r="AB1375" i="1"/>
  <c r="AB1374" i="1"/>
  <c r="AB1373" i="1"/>
  <c r="AB1372" i="1"/>
  <c r="AB1371" i="1"/>
  <c r="AB1370" i="1"/>
  <c r="AB1369" i="1"/>
  <c r="AB1368" i="1"/>
  <c r="AB1367" i="1"/>
  <c r="AB1366" i="1"/>
  <c r="AB1365" i="1"/>
  <c r="AB1364" i="1"/>
  <c r="AB1363" i="1"/>
  <c r="AB1362" i="1"/>
  <c r="AB1361" i="1"/>
  <c r="AB1360" i="1"/>
  <c r="AB1359" i="1"/>
  <c r="AB1358" i="1"/>
  <c r="AB1357" i="1"/>
  <c r="AB1356" i="1"/>
  <c r="AB1355" i="1"/>
  <c r="AB1354" i="1"/>
  <c r="AB1353" i="1"/>
  <c r="AB1352" i="1"/>
  <c r="AB1351" i="1"/>
  <c r="AB1350" i="1"/>
  <c r="AB1349" i="1"/>
  <c r="AB1348" i="1"/>
  <c r="AB1347" i="1"/>
  <c r="AB1346" i="1"/>
  <c r="AB1345" i="1"/>
  <c r="AB1344" i="1"/>
  <c r="AB1343" i="1"/>
  <c r="AB1342" i="1"/>
  <c r="AB1341" i="1"/>
  <c r="AB1340" i="1"/>
  <c r="AB1339" i="1"/>
  <c r="AB1338" i="1"/>
  <c r="AB1337" i="1"/>
  <c r="AB1336" i="1"/>
  <c r="AB1335" i="1"/>
  <c r="AB1334" i="1"/>
  <c r="AB1333" i="1"/>
  <c r="AB1332" i="1"/>
  <c r="AB1331" i="1"/>
  <c r="AB1330" i="1"/>
  <c r="AB1329" i="1"/>
  <c r="AB1328" i="1"/>
  <c r="AB1327" i="1"/>
  <c r="AB1326" i="1"/>
  <c r="AB1325" i="1"/>
  <c r="AB1324" i="1"/>
  <c r="AB1323" i="1"/>
  <c r="AB1322" i="1"/>
  <c r="AB1321" i="1"/>
  <c r="AB1320" i="1"/>
  <c r="AB1319" i="1"/>
  <c r="AB1318" i="1"/>
  <c r="AB1317" i="1"/>
  <c r="AB1316" i="1"/>
  <c r="AB1315" i="1"/>
  <c r="AB1314" i="1"/>
  <c r="AB1313" i="1"/>
  <c r="AB1312" i="1"/>
  <c r="AB1311" i="1"/>
  <c r="AB1310" i="1"/>
  <c r="AB1309" i="1"/>
  <c r="AB1308" i="1"/>
  <c r="AB1307" i="1"/>
  <c r="AB1306" i="1"/>
  <c r="AB1305" i="1"/>
  <c r="AB1304" i="1"/>
  <c r="AB1303" i="1"/>
  <c r="AB1302" i="1"/>
  <c r="AB1301" i="1"/>
  <c r="AB1300" i="1"/>
  <c r="AB1299" i="1"/>
  <c r="AB1298" i="1"/>
  <c r="AB1297" i="1"/>
  <c r="AB1296" i="1"/>
  <c r="AB1295" i="1"/>
  <c r="AB1294" i="1"/>
  <c r="AB1293" i="1"/>
  <c r="AB1292" i="1"/>
  <c r="AB1291" i="1"/>
  <c r="AB1290" i="1"/>
  <c r="AB1289" i="1"/>
  <c r="AB1288" i="1"/>
  <c r="AB1287" i="1"/>
  <c r="AB1286" i="1"/>
  <c r="AB1285" i="1"/>
  <c r="AB1284" i="1"/>
  <c r="AB1283" i="1"/>
  <c r="AB1282" i="1"/>
  <c r="AB1281" i="1"/>
  <c r="AB1280" i="1"/>
  <c r="AB1279" i="1"/>
  <c r="AB1278" i="1"/>
  <c r="AB1277" i="1"/>
  <c r="AB1276" i="1"/>
  <c r="AB1275" i="1"/>
  <c r="AB1274" i="1"/>
  <c r="AB1273" i="1"/>
  <c r="AB1272" i="1"/>
  <c r="AB1271" i="1"/>
  <c r="AB1270" i="1"/>
  <c r="AB1269" i="1"/>
  <c r="AB1268" i="1"/>
  <c r="AB1267" i="1"/>
  <c r="AB1266" i="1"/>
  <c r="AB1265" i="1"/>
  <c r="AB1264" i="1"/>
  <c r="AB1263" i="1"/>
  <c r="AB1262" i="1"/>
  <c r="AB1261" i="1"/>
  <c r="AB1260" i="1"/>
  <c r="AB1259" i="1"/>
  <c r="AB1258" i="1"/>
  <c r="AB1257" i="1"/>
  <c r="AB1256" i="1"/>
  <c r="AB1255" i="1"/>
  <c r="AB1254" i="1"/>
  <c r="AB1253" i="1"/>
  <c r="AB1252" i="1"/>
  <c r="AB1251" i="1"/>
  <c r="AB1250" i="1"/>
  <c r="AB1249" i="1"/>
  <c r="AB1248" i="1"/>
  <c r="AB1247" i="1"/>
  <c r="AB1246" i="1"/>
  <c r="AB1245" i="1"/>
  <c r="AB1244" i="1"/>
  <c r="AB1243" i="1"/>
  <c r="AB1242" i="1"/>
  <c r="AB1241" i="1"/>
  <c r="AB1240" i="1"/>
  <c r="AB1239" i="1"/>
  <c r="AB1238" i="1"/>
  <c r="AB1237" i="1"/>
  <c r="AB1236" i="1"/>
  <c r="AB1235" i="1"/>
  <c r="AB1234" i="1"/>
  <c r="AB1233" i="1"/>
  <c r="AB1232" i="1"/>
  <c r="AB1231" i="1"/>
  <c r="AB1230" i="1"/>
  <c r="AB1229" i="1"/>
  <c r="AB1228" i="1"/>
  <c r="AB1227" i="1"/>
  <c r="AB1226" i="1"/>
  <c r="AB1225" i="1"/>
  <c r="AB1224" i="1"/>
  <c r="AB1223" i="1"/>
  <c r="AB1222" i="1"/>
  <c r="AB1221" i="1"/>
  <c r="AB1220" i="1"/>
  <c r="AB1219" i="1"/>
  <c r="AB1218" i="1"/>
  <c r="AB1217" i="1"/>
  <c r="AB1216" i="1"/>
  <c r="AB1215" i="1"/>
  <c r="AB1214" i="1"/>
  <c r="AB1213" i="1"/>
  <c r="AB1212" i="1"/>
  <c r="AB1211" i="1"/>
  <c r="AB1210" i="1"/>
  <c r="AB1209" i="1"/>
  <c r="AB1208" i="1"/>
  <c r="AB1207" i="1"/>
  <c r="AB1206" i="1"/>
  <c r="AB1205" i="1"/>
  <c r="AB1204" i="1"/>
  <c r="AB1203" i="1"/>
  <c r="AB1202" i="1"/>
  <c r="AB1201" i="1"/>
  <c r="AB1200" i="1"/>
  <c r="AB1199" i="1"/>
  <c r="AB1198" i="1"/>
  <c r="AB1197" i="1"/>
  <c r="AB1196" i="1"/>
  <c r="AB1195" i="1"/>
  <c r="AB1194" i="1"/>
  <c r="AB1193" i="1"/>
  <c r="AB1192" i="1"/>
  <c r="AB1191" i="1"/>
  <c r="AB1190" i="1"/>
  <c r="AB1189" i="1"/>
  <c r="AB1188" i="1"/>
  <c r="AB1187" i="1"/>
  <c r="AB1186" i="1"/>
  <c r="AB1185" i="1"/>
  <c r="AB1184" i="1"/>
  <c r="AB1183" i="1"/>
  <c r="AB1182" i="1"/>
  <c r="AB1181" i="1"/>
  <c r="AB1180" i="1"/>
  <c r="AB1179" i="1"/>
  <c r="AB1178" i="1"/>
  <c r="AB1177" i="1"/>
  <c r="AB1176" i="1"/>
  <c r="AB1175" i="1"/>
  <c r="AB1174" i="1"/>
  <c r="AB1173" i="1"/>
  <c r="AB1172" i="1"/>
  <c r="AB1171" i="1"/>
  <c r="AB1170" i="1"/>
  <c r="AB1169" i="1"/>
  <c r="AB1168" i="1"/>
  <c r="AB1167" i="1"/>
  <c r="AB1166" i="1"/>
  <c r="AB1165" i="1"/>
  <c r="AB1164" i="1"/>
  <c r="AB1163" i="1"/>
  <c r="AB1162" i="1"/>
  <c r="AB1161" i="1"/>
  <c r="AB1160" i="1"/>
  <c r="AB1159" i="1"/>
  <c r="AB1158" i="1"/>
  <c r="AB1157" i="1"/>
  <c r="AB1156" i="1"/>
  <c r="AB1155" i="1"/>
  <c r="AB1154" i="1"/>
  <c r="AB1153" i="1"/>
  <c r="AB1152" i="1"/>
  <c r="AB1151" i="1"/>
  <c r="AB1150" i="1"/>
  <c r="AB1149" i="1"/>
  <c r="AB1148" i="1"/>
  <c r="AB1147" i="1"/>
  <c r="AB1146" i="1"/>
  <c r="AB1145" i="1"/>
  <c r="AB1144" i="1"/>
  <c r="AB1143" i="1"/>
  <c r="AB1142" i="1"/>
  <c r="AB1141" i="1"/>
  <c r="AB1140" i="1"/>
  <c r="AB1139" i="1"/>
  <c r="AB1138" i="1"/>
  <c r="AB1137" i="1"/>
  <c r="AB1136" i="1"/>
  <c r="AB1135" i="1"/>
  <c r="AB1134" i="1"/>
  <c r="AB1133" i="1"/>
  <c r="AB1132" i="1"/>
  <c r="AB1131" i="1"/>
  <c r="AB1130" i="1"/>
  <c r="AB1129" i="1"/>
  <c r="AB1128" i="1"/>
  <c r="AB1127" i="1"/>
  <c r="AB1126" i="1"/>
  <c r="AB1125" i="1"/>
  <c r="AB1124" i="1"/>
  <c r="AB1123" i="1"/>
  <c r="AB1122" i="1"/>
  <c r="AB1121" i="1"/>
  <c r="AB1120" i="1"/>
  <c r="AB1119" i="1"/>
  <c r="AB1118" i="1"/>
  <c r="AB1117" i="1"/>
  <c r="AB1116" i="1"/>
  <c r="AB1115" i="1"/>
  <c r="AB1114" i="1"/>
  <c r="AB1113" i="1"/>
  <c r="AB1112" i="1"/>
  <c r="AB1111" i="1"/>
  <c r="AB1110" i="1"/>
  <c r="AB1109" i="1"/>
  <c r="AB1108" i="1"/>
  <c r="AB1107" i="1"/>
  <c r="AB1106" i="1"/>
  <c r="AB1105" i="1"/>
  <c r="AB1104" i="1"/>
  <c r="AB1103" i="1"/>
  <c r="AB1102" i="1"/>
  <c r="AB1101" i="1"/>
  <c r="AB1100" i="1"/>
  <c r="AB1099" i="1"/>
  <c r="AB1098" i="1"/>
  <c r="AB1097" i="1"/>
  <c r="AB1096" i="1"/>
  <c r="AB1095" i="1"/>
  <c r="AB1094" i="1"/>
  <c r="AB1093" i="1"/>
  <c r="AB1092" i="1"/>
  <c r="AB1091" i="1"/>
  <c r="AB1090" i="1"/>
  <c r="AB1089" i="1"/>
  <c r="AB1088" i="1"/>
  <c r="AB1087" i="1"/>
  <c r="AB1086" i="1"/>
  <c r="AB1085" i="1"/>
  <c r="AB1084" i="1"/>
  <c r="AB1083" i="1"/>
  <c r="AB1082" i="1"/>
  <c r="AB1081" i="1"/>
  <c r="AB1080" i="1"/>
  <c r="AB1079" i="1"/>
  <c r="AB1078" i="1"/>
  <c r="AB1077" i="1"/>
  <c r="AB1076" i="1"/>
  <c r="AB1075" i="1"/>
  <c r="AB1074" i="1"/>
  <c r="AB1073" i="1"/>
  <c r="AB1072" i="1"/>
  <c r="AB1071" i="1"/>
  <c r="AB1070" i="1"/>
  <c r="AB1069" i="1"/>
  <c r="AB1068" i="1"/>
  <c r="AB1067" i="1"/>
  <c r="AB1066" i="1"/>
  <c r="AB1065" i="1"/>
  <c r="AB1064" i="1"/>
  <c r="AB1063" i="1"/>
  <c r="AB1062" i="1"/>
  <c r="AB1061" i="1"/>
  <c r="AB1060" i="1"/>
  <c r="AB1059" i="1"/>
  <c r="AB1058" i="1"/>
  <c r="AB1057" i="1"/>
  <c r="AB1056" i="1"/>
  <c r="AB1055" i="1"/>
  <c r="AB1054" i="1"/>
  <c r="AB1053" i="1"/>
  <c r="AB1052" i="1"/>
  <c r="AB1051" i="1"/>
  <c r="AB1050" i="1"/>
  <c r="AB1049" i="1"/>
  <c r="AB1048" i="1"/>
  <c r="AB1047" i="1"/>
  <c r="AB1046" i="1"/>
  <c r="AB1045" i="1"/>
  <c r="AB1044" i="1"/>
  <c r="AB1043" i="1"/>
  <c r="AB1042" i="1"/>
  <c r="AB1041" i="1"/>
  <c r="AB1040" i="1"/>
  <c r="AB1039" i="1"/>
  <c r="AB1038" i="1"/>
  <c r="AB1037" i="1"/>
  <c r="AB1036" i="1"/>
  <c r="AB1035" i="1"/>
  <c r="AB1034" i="1"/>
  <c r="AB1033" i="1"/>
  <c r="AB1032" i="1"/>
  <c r="AB1031" i="1"/>
  <c r="AB1030" i="1"/>
  <c r="AB1029" i="1"/>
  <c r="AB1028" i="1"/>
  <c r="AB1027" i="1"/>
  <c r="AB1026" i="1"/>
  <c r="AB1025" i="1"/>
  <c r="AB1024" i="1"/>
  <c r="AB1023" i="1"/>
  <c r="AB1022" i="1"/>
  <c r="AB1021" i="1"/>
  <c r="AB1020" i="1"/>
  <c r="AB1019" i="1"/>
  <c r="AB1018" i="1"/>
  <c r="AB1017" i="1"/>
  <c r="AB1016" i="1"/>
  <c r="AB1015" i="1"/>
  <c r="AB1014" i="1"/>
  <c r="AB1013" i="1"/>
  <c r="AB1012" i="1"/>
  <c r="AB1011" i="1"/>
  <c r="AB1010" i="1"/>
  <c r="AB1009" i="1"/>
  <c r="AB1008" i="1"/>
  <c r="AB1007" i="1"/>
  <c r="AB1006" i="1"/>
  <c r="AB1005" i="1"/>
  <c r="AB1004" i="1"/>
  <c r="AB1003" i="1"/>
  <c r="AB1002" i="1"/>
  <c r="AB1001" i="1"/>
  <c r="AB1000" i="1"/>
  <c r="AB999" i="1"/>
  <c r="AB998" i="1"/>
  <c r="AB997" i="1"/>
  <c r="AB996" i="1"/>
  <c r="AB995" i="1"/>
  <c r="AB994" i="1"/>
  <c r="AB993" i="1"/>
  <c r="AB992" i="1"/>
  <c r="AB991" i="1"/>
  <c r="AB990" i="1"/>
  <c r="AB989" i="1"/>
  <c r="AB988" i="1"/>
  <c r="AB987" i="1"/>
  <c r="AB986" i="1"/>
  <c r="AB985" i="1"/>
  <c r="AB984" i="1"/>
  <c r="AB983" i="1"/>
  <c r="AB982" i="1"/>
  <c r="AB981" i="1"/>
  <c r="AB980" i="1"/>
  <c r="AB979" i="1"/>
  <c r="AB978" i="1"/>
  <c r="AB977" i="1"/>
  <c r="AB976" i="1"/>
  <c r="AB975" i="1"/>
  <c r="AB974" i="1"/>
  <c r="AB973" i="1"/>
  <c r="AB972" i="1"/>
  <c r="AB971" i="1"/>
  <c r="AB970" i="1"/>
  <c r="AB969" i="1"/>
  <c r="AB968" i="1"/>
  <c r="AB967" i="1"/>
  <c r="AB966" i="1"/>
  <c r="AB965" i="1"/>
  <c r="AB964" i="1"/>
  <c r="AB963" i="1"/>
  <c r="AB962" i="1"/>
  <c r="AB961" i="1"/>
  <c r="AB960" i="1"/>
  <c r="AB959" i="1"/>
  <c r="AB958" i="1"/>
  <c r="AB957" i="1"/>
  <c r="AB956" i="1"/>
  <c r="AB955" i="1"/>
  <c r="AB954" i="1"/>
  <c r="AB953" i="1"/>
  <c r="AB952" i="1"/>
  <c r="AB951" i="1"/>
  <c r="AB950" i="1"/>
  <c r="AB949" i="1"/>
  <c r="AB948" i="1"/>
  <c r="AB947" i="1"/>
  <c r="AB946" i="1"/>
  <c r="AB945" i="1"/>
  <c r="AB944" i="1"/>
  <c r="AB943" i="1"/>
  <c r="AB942" i="1"/>
  <c r="AB941" i="1"/>
  <c r="AB940" i="1"/>
  <c r="AB939" i="1"/>
  <c r="AB938" i="1"/>
  <c r="AB937" i="1"/>
  <c r="AB936" i="1"/>
  <c r="AB935" i="1"/>
  <c r="AB934" i="1"/>
  <c r="AB933" i="1"/>
  <c r="AB932" i="1"/>
  <c r="AB931" i="1"/>
  <c r="AB930" i="1"/>
  <c r="AB929" i="1"/>
  <c r="AB928" i="1"/>
  <c r="AB927" i="1"/>
  <c r="AB926" i="1"/>
  <c r="AB925" i="1"/>
  <c r="AB924" i="1"/>
  <c r="AB923" i="1"/>
  <c r="AB922" i="1"/>
  <c r="AB921" i="1"/>
  <c r="AB920" i="1"/>
  <c r="AB919" i="1"/>
  <c r="AB918" i="1"/>
  <c r="AB917" i="1"/>
  <c r="AB916" i="1"/>
  <c r="AB915" i="1"/>
  <c r="AB914" i="1"/>
  <c r="AB913" i="1"/>
  <c r="AB912" i="1"/>
  <c r="AB911" i="1"/>
  <c r="AB910" i="1"/>
  <c r="AB909" i="1"/>
  <c r="AB908" i="1"/>
  <c r="AB907" i="1"/>
  <c r="AB906" i="1"/>
  <c r="AB905" i="1"/>
  <c r="AB904" i="1"/>
  <c r="AB903" i="1"/>
  <c r="AB902" i="1"/>
  <c r="AB901" i="1"/>
  <c r="AB900" i="1"/>
  <c r="AB899" i="1"/>
  <c r="AB898" i="1"/>
  <c r="AB897" i="1"/>
  <c r="AB896" i="1"/>
  <c r="AB895" i="1"/>
  <c r="AB894" i="1"/>
  <c r="AB893" i="1"/>
  <c r="AB892" i="1"/>
  <c r="AB891" i="1"/>
  <c r="AB890" i="1"/>
  <c r="AB889" i="1"/>
  <c r="AB888" i="1"/>
  <c r="AB887" i="1"/>
  <c r="AB886" i="1"/>
  <c r="AB885" i="1"/>
  <c r="AB884" i="1"/>
  <c r="AB883" i="1"/>
  <c r="AB882" i="1"/>
  <c r="AB881" i="1"/>
  <c r="AB880" i="1"/>
  <c r="AB879" i="1"/>
  <c r="AB878" i="1"/>
  <c r="AB877" i="1"/>
  <c r="AB876" i="1"/>
  <c r="AB875" i="1"/>
  <c r="AB874" i="1"/>
  <c r="AB873" i="1"/>
  <c r="AB872" i="1"/>
  <c r="AB871" i="1"/>
  <c r="AB870" i="1"/>
  <c r="AB869" i="1"/>
  <c r="AB868" i="1"/>
  <c r="AB867" i="1"/>
  <c r="AB866" i="1"/>
  <c r="AB865" i="1"/>
  <c r="AB864" i="1"/>
  <c r="AB863" i="1"/>
  <c r="AB862" i="1"/>
  <c r="AB861" i="1"/>
  <c r="AB860" i="1"/>
  <c r="AB859" i="1"/>
  <c r="AB858" i="1"/>
  <c r="AB857" i="1"/>
  <c r="AB856" i="1"/>
  <c r="AB855" i="1"/>
  <c r="AB854" i="1"/>
  <c r="AB853" i="1"/>
  <c r="AB852" i="1"/>
  <c r="AB851" i="1"/>
  <c r="AB850" i="1"/>
  <c r="AB849" i="1"/>
  <c r="AB848" i="1"/>
  <c r="AB847" i="1"/>
  <c r="AB846" i="1"/>
  <c r="AB845" i="1"/>
  <c r="AB844" i="1"/>
  <c r="AB843" i="1"/>
  <c r="AB842" i="1"/>
  <c r="AB841" i="1"/>
  <c r="AB840" i="1"/>
  <c r="AB839" i="1"/>
  <c r="AB838" i="1"/>
  <c r="AB837" i="1"/>
  <c r="AB836" i="1"/>
  <c r="AB835" i="1"/>
  <c r="AB834" i="1"/>
  <c r="AB833" i="1"/>
  <c r="AB832" i="1"/>
  <c r="AB831" i="1"/>
  <c r="AB830" i="1"/>
  <c r="AB829" i="1"/>
  <c r="AB828" i="1"/>
  <c r="AB827" i="1"/>
  <c r="AB826" i="1"/>
  <c r="AB825" i="1"/>
  <c r="AB824" i="1"/>
  <c r="AB823" i="1"/>
  <c r="AB822" i="1"/>
  <c r="AB821" i="1"/>
  <c r="AB820" i="1"/>
  <c r="AB819" i="1"/>
  <c r="AB818" i="1"/>
  <c r="AB817" i="1"/>
  <c r="AB816" i="1"/>
  <c r="AB815" i="1"/>
  <c r="AB814" i="1"/>
  <c r="AB813" i="1"/>
  <c r="AB812" i="1"/>
  <c r="AB811" i="1"/>
  <c r="AB810" i="1"/>
  <c r="AB809" i="1"/>
  <c r="AB808" i="1"/>
  <c r="AB807" i="1"/>
  <c r="AB806" i="1"/>
  <c r="AB805" i="1"/>
  <c r="AB804" i="1"/>
  <c r="AB803" i="1"/>
  <c r="AB802" i="1"/>
  <c r="AB801" i="1"/>
  <c r="AB800" i="1"/>
  <c r="AB799" i="1"/>
  <c r="AB798" i="1"/>
  <c r="AB797" i="1"/>
  <c r="AB796" i="1"/>
  <c r="AB795" i="1"/>
  <c r="AB794" i="1"/>
  <c r="AB793" i="1"/>
  <c r="AB792" i="1"/>
  <c r="AB791" i="1"/>
  <c r="AB790" i="1"/>
  <c r="AB789" i="1"/>
  <c r="AB788" i="1"/>
  <c r="AB787" i="1"/>
  <c r="AB786" i="1"/>
  <c r="AB785" i="1"/>
  <c r="AB784" i="1"/>
  <c r="AB783" i="1"/>
  <c r="AB782" i="1"/>
  <c r="AB781" i="1"/>
  <c r="AB780" i="1"/>
  <c r="AB779" i="1"/>
  <c r="AB778" i="1"/>
  <c r="AB777" i="1"/>
  <c r="AB776" i="1"/>
  <c r="AB775" i="1"/>
  <c r="AB774" i="1"/>
  <c r="AB773" i="1"/>
  <c r="AB772" i="1"/>
  <c r="AB771" i="1"/>
  <c r="AB770" i="1"/>
  <c r="AB769" i="1"/>
  <c r="AB768" i="1"/>
  <c r="AB767" i="1"/>
  <c r="AB766" i="1"/>
  <c r="AB765" i="1"/>
  <c r="AB764" i="1"/>
  <c r="AB763" i="1"/>
  <c r="AB762" i="1"/>
  <c r="AB761" i="1"/>
  <c r="AB760" i="1"/>
  <c r="AB759" i="1"/>
  <c r="AB758" i="1"/>
  <c r="AB757" i="1"/>
  <c r="AB756" i="1"/>
  <c r="AB755" i="1"/>
  <c r="AB754" i="1"/>
  <c r="AB753" i="1"/>
  <c r="AB752" i="1"/>
  <c r="AB751" i="1"/>
  <c r="AB750" i="1"/>
  <c r="AB749" i="1"/>
  <c r="AB748" i="1"/>
  <c r="AB747" i="1"/>
  <c r="AB746" i="1"/>
  <c r="AB745" i="1"/>
  <c r="AB744" i="1"/>
  <c r="AB743" i="1"/>
  <c r="AB742" i="1"/>
  <c r="AB741" i="1"/>
  <c r="AB740" i="1"/>
  <c r="AB739" i="1"/>
  <c r="AB738" i="1"/>
  <c r="AB737" i="1"/>
  <c r="AB736" i="1"/>
  <c r="AB735" i="1"/>
  <c r="AB734" i="1"/>
  <c r="AB733" i="1"/>
  <c r="AB732" i="1"/>
  <c r="AB731" i="1"/>
  <c r="AB730" i="1"/>
  <c r="AB729" i="1"/>
  <c r="AB728" i="1"/>
  <c r="AB727" i="1"/>
  <c r="AB726" i="1"/>
  <c r="AB725" i="1"/>
  <c r="AB724" i="1"/>
  <c r="AB723" i="1"/>
  <c r="AB722" i="1"/>
  <c r="AB721" i="1"/>
  <c r="AB720" i="1"/>
  <c r="AB719" i="1"/>
  <c r="AB718" i="1"/>
  <c r="AB717" i="1"/>
  <c r="AB716" i="1"/>
  <c r="AB715" i="1"/>
  <c r="AB714" i="1"/>
  <c r="AB713" i="1"/>
  <c r="AB712" i="1"/>
  <c r="AB711" i="1"/>
  <c r="AB710" i="1"/>
  <c r="AB709" i="1"/>
  <c r="AB708" i="1"/>
  <c r="AB707" i="1"/>
  <c r="AB706" i="1"/>
  <c r="AB705" i="1"/>
  <c r="AB704" i="1"/>
  <c r="AB703" i="1"/>
  <c r="AB702" i="1"/>
  <c r="AB701" i="1"/>
  <c r="AB700" i="1"/>
  <c r="AB699" i="1"/>
  <c r="AB698" i="1"/>
  <c r="AB697" i="1"/>
  <c r="AB696" i="1"/>
  <c r="AB695" i="1"/>
  <c r="AB694" i="1"/>
  <c r="AB693" i="1"/>
  <c r="AB692" i="1"/>
  <c r="AB691" i="1"/>
  <c r="AB690" i="1"/>
  <c r="AB689" i="1"/>
  <c r="AB688" i="1"/>
  <c r="AB687" i="1"/>
  <c r="AB686" i="1"/>
  <c r="AB685" i="1"/>
  <c r="AB684" i="1"/>
  <c r="AB683" i="1"/>
  <c r="AB682" i="1"/>
  <c r="AB681" i="1"/>
  <c r="AB680" i="1"/>
  <c r="AB679" i="1"/>
  <c r="AB678" i="1"/>
  <c r="AB677" i="1"/>
  <c r="AB676" i="1"/>
  <c r="AB675" i="1"/>
  <c r="AB674" i="1"/>
  <c r="AB673" i="1"/>
  <c r="AB672" i="1"/>
  <c r="AB671" i="1"/>
  <c r="AB670" i="1"/>
  <c r="AB669" i="1"/>
  <c r="AB668" i="1"/>
  <c r="AB667" i="1"/>
  <c r="AB666" i="1"/>
  <c r="AB665" i="1"/>
  <c r="AB664" i="1"/>
  <c r="AB663" i="1"/>
  <c r="AB662" i="1"/>
  <c r="AB661" i="1"/>
  <c r="AB660" i="1"/>
  <c r="AB659" i="1"/>
  <c r="AB658" i="1"/>
  <c r="AB657" i="1"/>
  <c r="AB656" i="1"/>
  <c r="AB655" i="1"/>
  <c r="AB654" i="1"/>
  <c r="AB653" i="1"/>
  <c r="AB652" i="1"/>
  <c r="AB651" i="1"/>
  <c r="AB650" i="1"/>
  <c r="AB649" i="1"/>
  <c r="AB648" i="1"/>
  <c r="AB647" i="1"/>
  <c r="AB646" i="1"/>
  <c r="AB645" i="1"/>
  <c r="AB644" i="1"/>
  <c r="AB643" i="1"/>
  <c r="AB642" i="1"/>
  <c r="AB641" i="1"/>
  <c r="AB640" i="1"/>
  <c r="AB639" i="1"/>
  <c r="AB638" i="1"/>
  <c r="AB637" i="1"/>
  <c r="AB636" i="1"/>
  <c r="AB635" i="1"/>
  <c r="AB634" i="1"/>
  <c r="AB633" i="1"/>
  <c r="AB632" i="1"/>
  <c r="AB631" i="1"/>
  <c r="AB630" i="1"/>
  <c r="AB629" i="1"/>
  <c r="AB628" i="1"/>
  <c r="AB627" i="1"/>
  <c r="AB626" i="1"/>
  <c r="AB625" i="1"/>
  <c r="AB624" i="1"/>
  <c r="AB623" i="1"/>
  <c r="AB622" i="1"/>
  <c r="AB621" i="1"/>
  <c r="AB620" i="1"/>
  <c r="AB619" i="1"/>
  <c r="AB618" i="1"/>
  <c r="AB617" i="1"/>
  <c r="AB616" i="1"/>
  <c r="AB615" i="1"/>
  <c r="AB614" i="1"/>
  <c r="AB613" i="1"/>
  <c r="AB612" i="1"/>
  <c r="AB611" i="1"/>
  <c r="AB610" i="1"/>
  <c r="AB609" i="1"/>
  <c r="AB608" i="1"/>
  <c r="AB607" i="1"/>
  <c r="AB606" i="1"/>
  <c r="AB605" i="1"/>
  <c r="AB604" i="1"/>
  <c r="AB603" i="1"/>
  <c r="AB602" i="1"/>
  <c r="AB601" i="1"/>
  <c r="AB600" i="1"/>
  <c r="AB599" i="1"/>
  <c r="AB598" i="1"/>
  <c r="AB597" i="1"/>
  <c r="AB596" i="1"/>
  <c r="AB595" i="1"/>
  <c r="AB594" i="1"/>
  <c r="AB593" i="1"/>
  <c r="AB592" i="1"/>
  <c r="AB591" i="1"/>
  <c r="AB590" i="1"/>
  <c r="AB589" i="1"/>
  <c r="AB588" i="1"/>
  <c r="AB587" i="1"/>
  <c r="AB586" i="1"/>
  <c r="AB585" i="1"/>
  <c r="AB584" i="1"/>
  <c r="AB583" i="1"/>
  <c r="AB582" i="1"/>
  <c r="AB581" i="1"/>
  <c r="AB580" i="1"/>
  <c r="AB579" i="1"/>
  <c r="AB578" i="1"/>
  <c r="AB577" i="1"/>
  <c r="AB576" i="1"/>
  <c r="AB575" i="1"/>
  <c r="AB574" i="1"/>
  <c r="AB573" i="1"/>
  <c r="AB572" i="1"/>
  <c r="AB571" i="1"/>
  <c r="AB570" i="1"/>
  <c r="AB569" i="1"/>
  <c r="AB568" i="1"/>
  <c r="AB567" i="1"/>
  <c r="AB566" i="1"/>
  <c r="AB565" i="1"/>
  <c r="AB564" i="1"/>
  <c r="AB563" i="1"/>
  <c r="AB562" i="1"/>
  <c r="AB561" i="1"/>
  <c r="AB560" i="1"/>
  <c r="AB559" i="1"/>
  <c r="AB558" i="1"/>
  <c r="AB557" i="1"/>
  <c r="AB556" i="1"/>
  <c r="AB555" i="1"/>
  <c r="AB554" i="1"/>
  <c r="AB553" i="1"/>
  <c r="AB552" i="1"/>
  <c r="AB551" i="1"/>
  <c r="AB550" i="1"/>
  <c r="AB549" i="1"/>
  <c r="AB548" i="1"/>
  <c r="AB547" i="1"/>
  <c r="AB546" i="1"/>
  <c r="AB545" i="1"/>
  <c r="AB544" i="1"/>
  <c r="AB543" i="1"/>
  <c r="AB542" i="1"/>
  <c r="AB541" i="1"/>
  <c r="AB540" i="1"/>
  <c r="AB539" i="1"/>
  <c r="AB538" i="1"/>
  <c r="AB537" i="1"/>
  <c r="AB536" i="1"/>
  <c r="AB535" i="1"/>
  <c r="AB534" i="1"/>
  <c r="AB533" i="1"/>
  <c r="AB532" i="1"/>
  <c r="AB531" i="1"/>
  <c r="AB530" i="1"/>
  <c r="AB529" i="1"/>
  <c r="AB528" i="1"/>
  <c r="AB527" i="1"/>
  <c r="AB526" i="1"/>
  <c r="AB525" i="1"/>
  <c r="AB524" i="1"/>
  <c r="AB523" i="1"/>
  <c r="AB522" i="1"/>
  <c r="AB521" i="1"/>
  <c r="AB520" i="1"/>
  <c r="AB519" i="1"/>
  <c r="AB518" i="1"/>
  <c r="AB517" i="1"/>
  <c r="AB516" i="1"/>
  <c r="AB515" i="1"/>
  <c r="AB514" i="1"/>
  <c r="AB513" i="1"/>
  <c r="AB512" i="1"/>
  <c r="AB511" i="1"/>
  <c r="AB510" i="1"/>
  <c r="AB509" i="1"/>
  <c r="AB508" i="1"/>
  <c r="AB507" i="1"/>
  <c r="AB506" i="1"/>
  <c r="AB505" i="1"/>
  <c r="AB504" i="1"/>
  <c r="AB503" i="1"/>
  <c r="AB502" i="1"/>
  <c r="AB501" i="1"/>
  <c r="AB500" i="1"/>
  <c r="AB499" i="1"/>
  <c r="AB498" i="1"/>
  <c r="AB497" i="1"/>
  <c r="AB496" i="1"/>
  <c r="AB495" i="1"/>
  <c r="AB494" i="1"/>
  <c r="AB493" i="1"/>
  <c r="AB492" i="1"/>
  <c r="AB491" i="1"/>
  <c r="AB490" i="1"/>
  <c r="AB489" i="1"/>
  <c r="AB488" i="1"/>
  <c r="AB487" i="1"/>
  <c r="AB486" i="1"/>
  <c r="AB485" i="1"/>
  <c r="AB484" i="1"/>
  <c r="AB483" i="1"/>
  <c r="AB482" i="1"/>
  <c r="AB481" i="1"/>
  <c r="AB480" i="1"/>
  <c r="AB479" i="1"/>
  <c r="AB478" i="1"/>
  <c r="AB477" i="1"/>
  <c r="AB476" i="1"/>
  <c r="AB475" i="1"/>
  <c r="AB474" i="1"/>
  <c r="AB473" i="1"/>
  <c r="AB472" i="1"/>
  <c r="AB471" i="1"/>
  <c r="AB470" i="1"/>
  <c r="AB469" i="1"/>
  <c r="AB468" i="1"/>
  <c r="AB467" i="1"/>
  <c r="AB466" i="1"/>
  <c r="AB465" i="1"/>
  <c r="AB464" i="1"/>
  <c r="AB463" i="1"/>
  <c r="AB462" i="1"/>
  <c r="AB461" i="1"/>
  <c r="AB460" i="1"/>
  <c r="AB459" i="1"/>
  <c r="AB458" i="1"/>
  <c r="AB457" i="1"/>
  <c r="AB456" i="1"/>
  <c r="AB455" i="1"/>
  <c r="AB454" i="1"/>
  <c r="AB453" i="1"/>
  <c r="AB452" i="1"/>
  <c r="AB451" i="1"/>
  <c r="AB450" i="1"/>
  <c r="AB449" i="1"/>
  <c r="AB448" i="1"/>
  <c r="AB447" i="1"/>
  <c r="AB446" i="1"/>
  <c r="AB445" i="1"/>
  <c r="AB444" i="1"/>
  <c r="AB443" i="1"/>
  <c r="AB442" i="1"/>
  <c r="AB441" i="1"/>
  <c r="AB440" i="1"/>
  <c r="AB439" i="1"/>
  <c r="AB438" i="1"/>
  <c r="AB437" i="1"/>
  <c r="AB436" i="1"/>
  <c r="AB435" i="1"/>
  <c r="AB434" i="1"/>
  <c r="AB433" i="1"/>
  <c r="AB432" i="1"/>
  <c r="AB431" i="1"/>
  <c r="AB430" i="1"/>
  <c r="AB429" i="1"/>
  <c r="AB428" i="1"/>
  <c r="AB427" i="1"/>
  <c r="AB426" i="1"/>
  <c r="AB425" i="1"/>
  <c r="AB424" i="1"/>
  <c r="AB423" i="1"/>
  <c r="AB422" i="1"/>
  <c r="AB421" i="1"/>
  <c r="AB420" i="1"/>
  <c r="AB419" i="1"/>
  <c r="AB418" i="1"/>
  <c r="AB417" i="1"/>
  <c r="AB416" i="1"/>
  <c r="AB415" i="1"/>
  <c r="AB414" i="1"/>
  <c r="AB413" i="1"/>
  <c r="AB412" i="1"/>
  <c r="AB411" i="1"/>
  <c r="AB410" i="1"/>
  <c r="AB409" i="1"/>
  <c r="AB408" i="1"/>
  <c r="AB407" i="1"/>
  <c r="AB406" i="1"/>
  <c r="AB405" i="1"/>
  <c r="AB404" i="1"/>
  <c r="AB403" i="1"/>
  <c r="AB402" i="1"/>
  <c r="AB401" i="1"/>
  <c r="AB400" i="1"/>
  <c r="AB399" i="1"/>
  <c r="AB398" i="1"/>
  <c r="AB397" i="1"/>
  <c r="AB396" i="1"/>
  <c r="AB395" i="1"/>
  <c r="AB394" i="1"/>
  <c r="AB393" i="1"/>
  <c r="AB392" i="1"/>
  <c r="AB391" i="1"/>
  <c r="AB390" i="1"/>
  <c r="AB389" i="1"/>
  <c r="AB388" i="1"/>
  <c r="AB387" i="1"/>
  <c r="AB386" i="1"/>
  <c r="AB385" i="1"/>
  <c r="AB384" i="1"/>
  <c r="AB383" i="1"/>
  <c r="AB382" i="1"/>
  <c r="AB381" i="1"/>
  <c r="AB380" i="1"/>
  <c r="AB379" i="1"/>
  <c r="AB378" i="1"/>
  <c r="AB377" i="1"/>
  <c r="AB376" i="1"/>
  <c r="AB375" i="1"/>
  <c r="AB374" i="1"/>
  <c r="AB373" i="1"/>
  <c r="AB372" i="1"/>
  <c r="AB371" i="1"/>
  <c r="AB370" i="1"/>
  <c r="AB369" i="1"/>
  <c r="AB368" i="1"/>
  <c r="AB367" i="1"/>
  <c r="AB366" i="1"/>
  <c r="AB365" i="1"/>
  <c r="AB364" i="1"/>
  <c r="AB363" i="1"/>
  <c r="AB362" i="1"/>
  <c r="AB361" i="1"/>
  <c r="AB360" i="1"/>
  <c r="AB359" i="1"/>
  <c r="AB358" i="1"/>
  <c r="AB357" i="1"/>
  <c r="AB356" i="1"/>
  <c r="AB355" i="1"/>
  <c r="AB354" i="1"/>
  <c r="AB353" i="1"/>
  <c r="AB352" i="1"/>
  <c r="AB351" i="1"/>
  <c r="AB350" i="1"/>
  <c r="AB349" i="1"/>
  <c r="AB348" i="1"/>
  <c r="AB347" i="1"/>
  <c r="AB346" i="1"/>
  <c r="AB345" i="1"/>
  <c r="AB344" i="1"/>
  <c r="AB343" i="1"/>
  <c r="AB342" i="1"/>
  <c r="AB341" i="1"/>
  <c r="AB340" i="1"/>
  <c r="AB339" i="1"/>
  <c r="AB338" i="1"/>
  <c r="AB337" i="1"/>
  <c r="AB336" i="1"/>
  <c r="AB335" i="1"/>
  <c r="AB334" i="1"/>
  <c r="AB333" i="1"/>
  <c r="AB332" i="1"/>
  <c r="AB331" i="1"/>
  <c r="AB330" i="1"/>
  <c r="AB329" i="1"/>
  <c r="AB328" i="1"/>
  <c r="AB327" i="1"/>
  <c r="AB326" i="1"/>
  <c r="AB325" i="1"/>
  <c r="AB324" i="1"/>
  <c r="AB323" i="1"/>
  <c r="AB322" i="1"/>
  <c r="AB321" i="1"/>
  <c r="AB320" i="1"/>
  <c r="AB319" i="1"/>
  <c r="AB318" i="1"/>
  <c r="AB317" i="1"/>
  <c r="AB316" i="1"/>
  <c r="AB315" i="1"/>
  <c r="AB314" i="1"/>
  <c r="AB313" i="1"/>
  <c r="AB312" i="1"/>
  <c r="AB311" i="1"/>
  <c r="AB310" i="1"/>
  <c r="AB309" i="1"/>
  <c r="AB308" i="1"/>
  <c r="AB307" i="1"/>
  <c r="AB306" i="1"/>
  <c r="AB305" i="1"/>
  <c r="AB304" i="1"/>
  <c r="AB303" i="1"/>
  <c r="AB302" i="1"/>
  <c r="AB301" i="1"/>
  <c r="AB300" i="1"/>
  <c r="AB299" i="1"/>
  <c r="AB298" i="1"/>
  <c r="AB297" i="1"/>
  <c r="AB296" i="1"/>
  <c r="AB295" i="1"/>
  <c r="AB294" i="1"/>
  <c r="AB293" i="1"/>
  <c r="AB292" i="1"/>
  <c r="AB291" i="1"/>
  <c r="AB290" i="1"/>
  <c r="AB289" i="1"/>
  <c r="AB288" i="1"/>
  <c r="AB287" i="1"/>
  <c r="AB286" i="1"/>
  <c r="AB285" i="1"/>
  <c r="AB284" i="1"/>
  <c r="AB283" i="1"/>
  <c r="AB282" i="1"/>
  <c r="AB281" i="1"/>
  <c r="AB280" i="1"/>
  <c r="AB279" i="1"/>
  <c r="AB278" i="1"/>
  <c r="AB277" i="1"/>
  <c r="AB276" i="1"/>
  <c r="AB275" i="1"/>
  <c r="AB274" i="1"/>
  <c r="AB273" i="1"/>
  <c r="AB272" i="1"/>
  <c r="AB271" i="1"/>
  <c r="AB270" i="1"/>
  <c r="AB269" i="1"/>
  <c r="AB268" i="1"/>
  <c r="AB267" i="1"/>
  <c r="AB266" i="1"/>
  <c r="AB265" i="1"/>
  <c r="AB264" i="1"/>
  <c r="AB263" i="1"/>
  <c r="AB262" i="1"/>
  <c r="AB261" i="1"/>
  <c r="AB260" i="1"/>
  <c r="AB259" i="1"/>
  <c r="AB258" i="1"/>
  <c r="AB257" i="1"/>
  <c r="AB256" i="1"/>
  <c r="AB255" i="1"/>
  <c r="AB254" i="1"/>
  <c r="AB253" i="1"/>
  <c r="AB252" i="1"/>
  <c r="AB251" i="1"/>
  <c r="AB250" i="1"/>
  <c r="AB249" i="1"/>
  <c r="AB248" i="1"/>
  <c r="AB247" i="1"/>
  <c r="AB246" i="1"/>
  <c r="AB245" i="1"/>
  <c r="AB244" i="1"/>
  <c r="AB243" i="1"/>
  <c r="AB242" i="1"/>
  <c r="AB241" i="1"/>
  <c r="AB240" i="1"/>
  <c r="AB239" i="1"/>
  <c r="AB238" i="1"/>
  <c r="AB237" i="1"/>
  <c r="AB236" i="1"/>
  <c r="AB235" i="1"/>
  <c r="AB234" i="1"/>
  <c r="AB233" i="1"/>
  <c r="AB232" i="1"/>
  <c r="AB231" i="1"/>
  <c r="AB230" i="1"/>
  <c r="AB229" i="1"/>
  <c r="AB228" i="1"/>
  <c r="AB227" i="1"/>
  <c r="AB226" i="1"/>
  <c r="AB225" i="1"/>
  <c r="AB224" i="1"/>
  <c r="AB223" i="1"/>
  <c r="AB222" i="1"/>
  <c r="AB221" i="1"/>
  <c r="AB220" i="1"/>
  <c r="AB219" i="1"/>
  <c r="AB218" i="1"/>
  <c r="AB217" i="1"/>
  <c r="AB216" i="1"/>
  <c r="AB215" i="1"/>
  <c r="AB214" i="1"/>
  <c r="AB213" i="1"/>
  <c r="AB212" i="1"/>
  <c r="AB211" i="1"/>
  <c r="AB210" i="1"/>
  <c r="AB209" i="1"/>
  <c r="AB208" i="1"/>
  <c r="AB207" i="1"/>
  <c r="AB206" i="1"/>
  <c r="AB205" i="1"/>
  <c r="AB204" i="1"/>
  <c r="AB203" i="1"/>
  <c r="AB202" i="1"/>
  <c r="AB201" i="1"/>
  <c r="AB200" i="1"/>
  <c r="AB199" i="1"/>
  <c r="AB198" i="1"/>
  <c r="AB197" i="1"/>
  <c r="AB196" i="1"/>
  <c r="AB195" i="1"/>
  <c r="AB194" i="1"/>
  <c r="AB193" i="1"/>
  <c r="AB192" i="1"/>
  <c r="AB191" i="1"/>
  <c r="AB190" i="1"/>
  <c r="AB189" i="1"/>
  <c r="AB188" i="1"/>
  <c r="AB187" i="1"/>
  <c r="AB186" i="1"/>
  <c r="AB185" i="1"/>
  <c r="AB184" i="1"/>
  <c r="AB183" i="1"/>
  <c r="AB182" i="1"/>
  <c r="AB181" i="1"/>
  <c r="AB180" i="1"/>
  <c r="AB179" i="1"/>
  <c r="AB178" i="1"/>
  <c r="AB177" i="1"/>
  <c r="AB176" i="1"/>
  <c r="AB175" i="1"/>
  <c r="AB174" i="1"/>
  <c r="AB173" i="1"/>
  <c r="AB172" i="1"/>
  <c r="AB171" i="1"/>
  <c r="AB170" i="1"/>
  <c r="AB169" i="1"/>
  <c r="AB168" i="1"/>
  <c r="AB167" i="1"/>
  <c r="AB166" i="1"/>
  <c r="AB165" i="1"/>
  <c r="AB164" i="1"/>
  <c r="AB163" i="1"/>
  <c r="AB162" i="1"/>
  <c r="AB161" i="1"/>
  <c r="AB160" i="1"/>
  <c r="AB159" i="1"/>
  <c r="AB158" i="1"/>
  <c r="AB157" i="1"/>
  <c r="AB156" i="1"/>
  <c r="AB155" i="1"/>
  <c r="AB154" i="1"/>
  <c r="AB153" i="1"/>
  <c r="AB152" i="1"/>
  <c r="AB151" i="1"/>
  <c r="AB150" i="1"/>
  <c r="AB149" i="1"/>
  <c r="AB148" i="1"/>
  <c r="AB147" i="1"/>
  <c r="AB146" i="1"/>
  <c r="AB145" i="1"/>
  <c r="AB144" i="1"/>
  <c r="AB143" i="1"/>
  <c r="AB142" i="1"/>
  <c r="AB141" i="1"/>
  <c r="AB140" i="1"/>
  <c r="AB139" i="1"/>
  <c r="AB138" i="1"/>
  <c r="AB137" i="1"/>
  <c r="AB136" i="1"/>
  <c r="AB135" i="1"/>
  <c r="AB134" i="1"/>
  <c r="AB133" i="1"/>
  <c r="AB132" i="1"/>
  <c r="AB131" i="1"/>
  <c r="AB130" i="1"/>
  <c r="AB129" i="1"/>
  <c r="AB128" i="1"/>
  <c r="AB127" i="1"/>
  <c r="AB126" i="1"/>
  <c r="AB125" i="1"/>
  <c r="AB124" i="1"/>
  <c r="AB123" i="1"/>
  <c r="AB122" i="1"/>
  <c r="AB121" i="1"/>
  <c r="AB120" i="1"/>
  <c r="AB119" i="1"/>
  <c r="AB118" i="1"/>
  <c r="AB117" i="1"/>
  <c r="AB116" i="1"/>
  <c r="AB115" i="1"/>
  <c r="AB114" i="1"/>
  <c r="AB113" i="1"/>
  <c r="AB112" i="1"/>
  <c r="AB111" i="1"/>
  <c r="AB1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80" i="1"/>
  <c r="AB79" i="1"/>
  <c r="AB78" i="1"/>
  <c r="AB77"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AB3"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E2" i="1"/>
  <c r="AD2" i="1"/>
  <c r="AC2" i="1"/>
  <c r="AB2" i="1"/>
  <c r="AA2" i="1"/>
  <c r="D25" i="2" a="1"/>
  <c r="D25" i="2" s="1"/>
  <c r="C25" i="2" a="1"/>
  <c r="C25" i="2" s="1"/>
  <c r="D23" i="2" a="1"/>
  <c r="D23" i="2" s="1"/>
  <c r="C23" i="2" a="1"/>
  <c r="C23" i="2" s="1"/>
  <c r="B23" i="2" a="1"/>
  <c r="B23" i="2" s="1"/>
  <c r="D21" i="2" a="1"/>
  <c r="D21" i="2" s="1"/>
  <c r="C21" i="2" a="1"/>
  <c r="C21" i="2" s="1"/>
  <c r="B21" i="2" a="1"/>
  <c r="B21" i="2" s="1"/>
  <c r="D19" i="2" a="1"/>
  <c r="D19" i="2" s="1"/>
  <c r="C19" i="2" a="1"/>
  <c r="C19" i="2" s="1"/>
  <c r="B19" i="2" a="1"/>
  <c r="B19" i="2" s="1"/>
  <c r="B17" i="2" a="1"/>
  <c r="B17" i="2" s="1"/>
  <c r="D24" i="2"/>
  <c r="C24" i="2"/>
  <c r="B24" i="2"/>
  <c r="D22" i="2"/>
  <c r="C22" i="2"/>
  <c r="B22" i="2"/>
  <c r="D20" i="2"/>
  <c r="C20" i="2"/>
  <c r="B20" i="2"/>
  <c r="B18" i="2"/>
  <c r="D18" i="2"/>
  <c r="C18" i="2"/>
  <c r="B16" i="2"/>
  <c r="D17" i="2" a="1"/>
  <c r="D17" i="2" s="1"/>
  <c r="C17" i="2" a="1"/>
  <c r="C17" i="2" s="1"/>
  <c r="B15" i="2" a="1"/>
  <c r="B15" i="2" s="1"/>
  <c r="D16" i="2"/>
  <c r="C16" i="2"/>
  <c r="Z1687" i="1"/>
  <c r="Y1687" i="1"/>
  <c r="X1687" i="1"/>
  <c r="W1687" i="1"/>
  <c r="V1687" i="1"/>
  <c r="Z1686" i="1"/>
  <c r="Y1686" i="1"/>
  <c r="X1686" i="1"/>
  <c r="W1686" i="1"/>
  <c r="V1686" i="1"/>
  <c r="Z1685" i="1"/>
  <c r="Y1685" i="1"/>
  <c r="X1685" i="1"/>
  <c r="W1685" i="1"/>
  <c r="V1685" i="1"/>
  <c r="Z1684" i="1"/>
  <c r="Y1684" i="1"/>
  <c r="X1684" i="1"/>
  <c r="W1684" i="1"/>
  <c r="V1684" i="1"/>
  <c r="Z1683" i="1"/>
  <c r="Y1683" i="1"/>
  <c r="X1683" i="1"/>
  <c r="W1683" i="1"/>
  <c r="V1683" i="1"/>
  <c r="Z1682" i="1"/>
  <c r="Y1682" i="1"/>
  <c r="X1682" i="1"/>
  <c r="W1682" i="1"/>
  <c r="V1682" i="1"/>
  <c r="Z1681" i="1"/>
  <c r="Y1681" i="1"/>
  <c r="X1681" i="1"/>
  <c r="W1681" i="1"/>
  <c r="V1681" i="1"/>
  <c r="Z1680" i="1"/>
  <c r="Y1680" i="1"/>
  <c r="X1680" i="1"/>
  <c r="W1680" i="1"/>
  <c r="V1680" i="1"/>
  <c r="Z1679" i="1"/>
  <c r="Y1679" i="1"/>
  <c r="X1679" i="1"/>
  <c r="W1679" i="1"/>
  <c r="V1679" i="1"/>
  <c r="Z1678" i="1"/>
  <c r="Y1678" i="1"/>
  <c r="X1678" i="1"/>
  <c r="W1678" i="1"/>
  <c r="V1678" i="1"/>
  <c r="Z1677" i="1"/>
  <c r="Y1677" i="1"/>
  <c r="X1677" i="1"/>
  <c r="W1677" i="1"/>
  <c r="V1677" i="1"/>
  <c r="Z1676" i="1"/>
  <c r="Y1676" i="1"/>
  <c r="X1676" i="1"/>
  <c r="W1676" i="1"/>
  <c r="V1676" i="1"/>
  <c r="Z1675" i="1"/>
  <c r="Y1675" i="1"/>
  <c r="X1675" i="1"/>
  <c r="W1675" i="1"/>
  <c r="V1675" i="1"/>
  <c r="Z1674" i="1"/>
  <c r="Y1674" i="1"/>
  <c r="X1674" i="1"/>
  <c r="W1674" i="1"/>
  <c r="V1674" i="1"/>
  <c r="Z1673" i="1"/>
  <c r="Y1673" i="1"/>
  <c r="X1673" i="1"/>
  <c r="W1673" i="1"/>
  <c r="V1673" i="1"/>
  <c r="Z1672" i="1"/>
  <c r="Y1672" i="1"/>
  <c r="X1672" i="1"/>
  <c r="W1672" i="1"/>
  <c r="V1672" i="1"/>
  <c r="Z1671" i="1"/>
  <c r="Y1671" i="1"/>
  <c r="X1671" i="1"/>
  <c r="W1671" i="1"/>
  <c r="V1671" i="1"/>
  <c r="Z1670" i="1"/>
  <c r="Y1670" i="1"/>
  <c r="X1670" i="1"/>
  <c r="W1670" i="1"/>
  <c r="V1670" i="1"/>
  <c r="Z1669" i="1"/>
  <c r="Y1669" i="1"/>
  <c r="X1669" i="1"/>
  <c r="W1669" i="1"/>
  <c r="V1669" i="1"/>
  <c r="Z1668" i="1"/>
  <c r="Y1668" i="1"/>
  <c r="X1668" i="1"/>
  <c r="W1668" i="1"/>
  <c r="V1668" i="1"/>
  <c r="Z1667" i="1"/>
  <c r="Y1667" i="1"/>
  <c r="X1667" i="1"/>
  <c r="W1667" i="1"/>
  <c r="V1667" i="1"/>
  <c r="Z1666" i="1"/>
  <c r="Y1666" i="1"/>
  <c r="X1666" i="1"/>
  <c r="W1666" i="1"/>
  <c r="V1666" i="1"/>
  <c r="Z1665" i="1"/>
  <c r="Y1665" i="1"/>
  <c r="X1665" i="1"/>
  <c r="W1665" i="1"/>
  <c r="V1665" i="1"/>
  <c r="Z1664" i="1"/>
  <c r="Y1664" i="1"/>
  <c r="X1664" i="1"/>
  <c r="W1664" i="1"/>
  <c r="V1664" i="1"/>
  <c r="Z1663" i="1"/>
  <c r="Y1663" i="1"/>
  <c r="X1663" i="1"/>
  <c r="W1663" i="1"/>
  <c r="V1663" i="1"/>
  <c r="Z1662" i="1"/>
  <c r="Y1662" i="1"/>
  <c r="X1662" i="1"/>
  <c r="W1662" i="1"/>
  <c r="V1662" i="1"/>
  <c r="Z1661" i="1"/>
  <c r="Y1661" i="1"/>
  <c r="X1661" i="1"/>
  <c r="W1661" i="1"/>
  <c r="V1661" i="1"/>
  <c r="Z1660" i="1"/>
  <c r="Y1660" i="1"/>
  <c r="X1660" i="1"/>
  <c r="W1660" i="1"/>
  <c r="V1660" i="1"/>
  <c r="Z1659" i="1"/>
  <c r="Y1659" i="1"/>
  <c r="X1659" i="1"/>
  <c r="W1659" i="1"/>
  <c r="V1659" i="1"/>
  <c r="Z1658" i="1"/>
  <c r="Y1658" i="1"/>
  <c r="X1658" i="1"/>
  <c r="W1658" i="1"/>
  <c r="V1658" i="1"/>
  <c r="Z1657" i="1"/>
  <c r="Y1657" i="1"/>
  <c r="X1657" i="1"/>
  <c r="W1657" i="1"/>
  <c r="V1657" i="1"/>
  <c r="Z1656" i="1"/>
  <c r="Y1656" i="1"/>
  <c r="X1656" i="1"/>
  <c r="W1656" i="1"/>
  <c r="V1656" i="1"/>
  <c r="Z1655" i="1"/>
  <c r="Y1655" i="1"/>
  <c r="X1655" i="1"/>
  <c r="W1655" i="1"/>
  <c r="V1655" i="1"/>
  <c r="Z1654" i="1"/>
  <c r="Y1654" i="1"/>
  <c r="X1654" i="1"/>
  <c r="W1654" i="1"/>
  <c r="V1654" i="1"/>
  <c r="Z1653" i="1"/>
  <c r="Y1653" i="1"/>
  <c r="X1653" i="1"/>
  <c r="W1653" i="1"/>
  <c r="V1653" i="1"/>
  <c r="Z1652" i="1"/>
  <c r="Y1652" i="1"/>
  <c r="X1652" i="1"/>
  <c r="W1652" i="1"/>
  <c r="V1652" i="1"/>
  <c r="Z1651" i="1"/>
  <c r="Y1651" i="1"/>
  <c r="X1651" i="1"/>
  <c r="W1651" i="1"/>
  <c r="V1651" i="1"/>
  <c r="Z1650" i="1"/>
  <c r="Y1650" i="1"/>
  <c r="X1650" i="1"/>
  <c r="W1650" i="1"/>
  <c r="V1650" i="1"/>
  <c r="Z1649" i="1"/>
  <c r="Y1649" i="1"/>
  <c r="X1649" i="1"/>
  <c r="W1649" i="1"/>
  <c r="V1649" i="1"/>
  <c r="Z1648" i="1"/>
  <c r="Y1648" i="1"/>
  <c r="X1648" i="1"/>
  <c r="W1648" i="1"/>
  <c r="V1648" i="1"/>
  <c r="Z1647" i="1"/>
  <c r="Y1647" i="1"/>
  <c r="X1647" i="1"/>
  <c r="W1647" i="1"/>
  <c r="V1647" i="1"/>
  <c r="Z1646" i="1"/>
  <c r="Y1646" i="1"/>
  <c r="X1646" i="1"/>
  <c r="W1646" i="1"/>
  <c r="V1646" i="1"/>
  <c r="Z1645" i="1"/>
  <c r="Y1645" i="1"/>
  <c r="X1645" i="1"/>
  <c r="W1645" i="1"/>
  <c r="V1645" i="1"/>
  <c r="Z1644" i="1"/>
  <c r="Y1644" i="1"/>
  <c r="X1644" i="1"/>
  <c r="W1644" i="1"/>
  <c r="V1644" i="1"/>
  <c r="Z1643" i="1"/>
  <c r="Y1643" i="1"/>
  <c r="X1643" i="1"/>
  <c r="W1643" i="1"/>
  <c r="V1643" i="1"/>
  <c r="Z1642" i="1"/>
  <c r="Y1642" i="1"/>
  <c r="X1642" i="1"/>
  <c r="W1642" i="1"/>
  <c r="V1642" i="1"/>
  <c r="Z1641" i="1"/>
  <c r="Y1641" i="1"/>
  <c r="X1641" i="1"/>
  <c r="W1641" i="1"/>
  <c r="V1641" i="1"/>
  <c r="Z1640" i="1"/>
  <c r="Y1640" i="1"/>
  <c r="X1640" i="1"/>
  <c r="W1640" i="1"/>
  <c r="V1640" i="1"/>
  <c r="Z1639" i="1"/>
  <c r="Y1639" i="1"/>
  <c r="X1639" i="1"/>
  <c r="W1639" i="1"/>
  <c r="V1639" i="1"/>
  <c r="Z1638" i="1"/>
  <c r="Y1638" i="1"/>
  <c r="X1638" i="1"/>
  <c r="W1638" i="1"/>
  <c r="V1638" i="1"/>
  <c r="Z1637" i="1"/>
  <c r="Y1637" i="1"/>
  <c r="X1637" i="1"/>
  <c r="W1637" i="1"/>
  <c r="V1637" i="1"/>
  <c r="Z1636" i="1"/>
  <c r="Y1636" i="1"/>
  <c r="X1636" i="1"/>
  <c r="W1636" i="1"/>
  <c r="V1636" i="1"/>
  <c r="Z1635" i="1"/>
  <c r="Y1635" i="1"/>
  <c r="X1635" i="1"/>
  <c r="W1635" i="1"/>
  <c r="V1635" i="1"/>
  <c r="Z1634" i="1"/>
  <c r="Y1634" i="1"/>
  <c r="X1634" i="1"/>
  <c r="W1634" i="1"/>
  <c r="V1634" i="1"/>
  <c r="Z1633" i="1"/>
  <c r="Y1633" i="1"/>
  <c r="X1633" i="1"/>
  <c r="W1633" i="1"/>
  <c r="V1633" i="1"/>
  <c r="Z1632" i="1"/>
  <c r="Y1632" i="1"/>
  <c r="X1632" i="1"/>
  <c r="W1632" i="1"/>
  <c r="V1632" i="1"/>
  <c r="Z1631" i="1"/>
  <c r="Y1631" i="1"/>
  <c r="X1631" i="1"/>
  <c r="W1631" i="1"/>
  <c r="V1631" i="1"/>
  <c r="Z1630" i="1"/>
  <c r="Y1630" i="1"/>
  <c r="X1630" i="1"/>
  <c r="W1630" i="1"/>
  <c r="V1630" i="1"/>
  <c r="Z1629" i="1"/>
  <c r="Y1629" i="1"/>
  <c r="X1629" i="1"/>
  <c r="W1629" i="1"/>
  <c r="V1629" i="1"/>
  <c r="Z1628" i="1"/>
  <c r="Y1628" i="1"/>
  <c r="X1628" i="1"/>
  <c r="W1628" i="1"/>
  <c r="V1628" i="1"/>
  <c r="Z1627" i="1"/>
  <c r="Y1627" i="1"/>
  <c r="X1627" i="1"/>
  <c r="W1627" i="1"/>
  <c r="V1627" i="1"/>
  <c r="Z1626" i="1"/>
  <c r="Y1626" i="1"/>
  <c r="X1626" i="1"/>
  <c r="W1626" i="1"/>
  <c r="V1626" i="1"/>
  <c r="Z1625" i="1"/>
  <c r="Y1625" i="1"/>
  <c r="X1625" i="1"/>
  <c r="W1625" i="1"/>
  <c r="V1625" i="1"/>
  <c r="Z1624" i="1"/>
  <c r="Y1624" i="1"/>
  <c r="X1624" i="1"/>
  <c r="W1624" i="1"/>
  <c r="V1624" i="1"/>
  <c r="Z1623" i="1"/>
  <c r="Y1623" i="1"/>
  <c r="X1623" i="1"/>
  <c r="W1623" i="1"/>
  <c r="V1623" i="1"/>
  <c r="Z1622" i="1"/>
  <c r="Y1622" i="1"/>
  <c r="X1622" i="1"/>
  <c r="W1622" i="1"/>
  <c r="V1622" i="1"/>
  <c r="Z1621" i="1"/>
  <c r="Y1621" i="1"/>
  <c r="X1621" i="1"/>
  <c r="W1621" i="1"/>
  <c r="V1621" i="1"/>
  <c r="Z1620" i="1"/>
  <c r="Y1620" i="1"/>
  <c r="X1620" i="1"/>
  <c r="W1620" i="1"/>
  <c r="V1620" i="1"/>
  <c r="Z1619" i="1"/>
  <c r="Y1619" i="1"/>
  <c r="X1619" i="1"/>
  <c r="W1619" i="1"/>
  <c r="V1619" i="1"/>
  <c r="Z1618" i="1"/>
  <c r="Y1618" i="1"/>
  <c r="X1618" i="1"/>
  <c r="W1618" i="1"/>
  <c r="V1618" i="1"/>
  <c r="Z1617" i="1"/>
  <c r="Y1617" i="1"/>
  <c r="X1617" i="1"/>
  <c r="W1617" i="1"/>
  <c r="V1617" i="1"/>
  <c r="Z1616" i="1"/>
  <c r="Y1616" i="1"/>
  <c r="X1616" i="1"/>
  <c r="W1616" i="1"/>
  <c r="V1616" i="1"/>
  <c r="Z1615" i="1"/>
  <c r="Y1615" i="1"/>
  <c r="X1615" i="1"/>
  <c r="W1615" i="1"/>
  <c r="V1615" i="1"/>
  <c r="Z1614" i="1"/>
  <c r="Y1614" i="1"/>
  <c r="X1614" i="1"/>
  <c r="W1614" i="1"/>
  <c r="V1614" i="1"/>
  <c r="Z1613" i="1"/>
  <c r="Y1613" i="1"/>
  <c r="X1613" i="1"/>
  <c r="W1613" i="1"/>
  <c r="V1613" i="1"/>
  <c r="Z1612" i="1"/>
  <c r="Y1612" i="1"/>
  <c r="X1612" i="1"/>
  <c r="W1612" i="1"/>
  <c r="V1612" i="1"/>
  <c r="Z1611" i="1"/>
  <c r="Y1611" i="1"/>
  <c r="X1611" i="1"/>
  <c r="W1611" i="1"/>
  <c r="V1611" i="1"/>
  <c r="Z1610" i="1"/>
  <c r="Y1610" i="1"/>
  <c r="X1610" i="1"/>
  <c r="W1610" i="1"/>
  <c r="V1610" i="1"/>
  <c r="Z1609" i="1"/>
  <c r="Y1609" i="1"/>
  <c r="X1609" i="1"/>
  <c r="W1609" i="1"/>
  <c r="V1609" i="1"/>
  <c r="Z1608" i="1"/>
  <c r="Y1608" i="1"/>
  <c r="X1608" i="1"/>
  <c r="W1608" i="1"/>
  <c r="V1608" i="1"/>
  <c r="Z1607" i="1"/>
  <c r="Y1607" i="1"/>
  <c r="X1607" i="1"/>
  <c r="W1607" i="1"/>
  <c r="V1607" i="1"/>
  <c r="Z1606" i="1"/>
  <c r="Y1606" i="1"/>
  <c r="X1606" i="1"/>
  <c r="W1606" i="1"/>
  <c r="V1606" i="1"/>
  <c r="Z1605" i="1"/>
  <c r="Y1605" i="1"/>
  <c r="X1605" i="1"/>
  <c r="W1605" i="1"/>
  <c r="V1605" i="1"/>
  <c r="Z1604" i="1"/>
  <c r="Y1604" i="1"/>
  <c r="X1604" i="1"/>
  <c r="W1604" i="1"/>
  <c r="V1604" i="1"/>
  <c r="Z1603" i="1"/>
  <c r="Y1603" i="1"/>
  <c r="X1603" i="1"/>
  <c r="W1603" i="1"/>
  <c r="V1603" i="1"/>
  <c r="Z1602" i="1"/>
  <c r="Y1602" i="1"/>
  <c r="X1602" i="1"/>
  <c r="W1602" i="1"/>
  <c r="V1602" i="1"/>
  <c r="Z1601" i="1"/>
  <c r="Y1601" i="1"/>
  <c r="X1601" i="1"/>
  <c r="W1601" i="1"/>
  <c r="V1601" i="1"/>
  <c r="Z1600" i="1"/>
  <c r="Y1600" i="1"/>
  <c r="X1600" i="1"/>
  <c r="W1600" i="1"/>
  <c r="V1600" i="1"/>
  <c r="Z1599" i="1"/>
  <c r="Y1599" i="1"/>
  <c r="X1599" i="1"/>
  <c r="W1599" i="1"/>
  <c r="V1599" i="1"/>
  <c r="Z1598" i="1"/>
  <c r="Y1598" i="1"/>
  <c r="X1598" i="1"/>
  <c r="W1598" i="1"/>
  <c r="V1598" i="1"/>
  <c r="Z1597" i="1"/>
  <c r="Y1597" i="1"/>
  <c r="X1597" i="1"/>
  <c r="W1597" i="1"/>
  <c r="V1597" i="1"/>
  <c r="Z1596" i="1"/>
  <c r="Y1596" i="1"/>
  <c r="X1596" i="1"/>
  <c r="W1596" i="1"/>
  <c r="V1596" i="1"/>
  <c r="Z1595" i="1"/>
  <c r="Y1595" i="1"/>
  <c r="X1595" i="1"/>
  <c r="W1595" i="1"/>
  <c r="V1595" i="1"/>
  <c r="Z1594" i="1"/>
  <c r="Y1594" i="1"/>
  <c r="X1594" i="1"/>
  <c r="W1594" i="1"/>
  <c r="V1594" i="1"/>
  <c r="Z1593" i="1"/>
  <c r="Y1593" i="1"/>
  <c r="X1593" i="1"/>
  <c r="W1593" i="1"/>
  <c r="V1593" i="1"/>
  <c r="Z1592" i="1"/>
  <c r="Y1592" i="1"/>
  <c r="X1592" i="1"/>
  <c r="W1592" i="1"/>
  <c r="V1592" i="1"/>
  <c r="Z1591" i="1"/>
  <c r="Y1591" i="1"/>
  <c r="X1591" i="1"/>
  <c r="W1591" i="1"/>
  <c r="V1591" i="1"/>
  <c r="Z1590" i="1"/>
  <c r="Y1590" i="1"/>
  <c r="X1590" i="1"/>
  <c r="W1590" i="1"/>
  <c r="V1590" i="1"/>
  <c r="Z1589" i="1"/>
  <c r="Y1589" i="1"/>
  <c r="X1589" i="1"/>
  <c r="W1589" i="1"/>
  <c r="V1589" i="1"/>
  <c r="Z1588" i="1"/>
  <c r="Y1588" i="1"/>
  <c r="X1588" i="1"/>
  <c r="W1588" i="1"/>
  <c r="V1588" i="1"/>
  <c r="Z1587" i="1"/>
  <c r="Y1587" i="1"/>
  <c r="X1587" i="1"/>
  <c r="W1587" i="1"/>
  <c r="V1587" i="1"/>
  <c r="Z1586" i="1"/>
  <c r="Y1586" i="1"/>
  <c r="X1586" i="1"/>
  <c r="W1586" i="1"/>
  <c r="V1586" i="1"/>
  <c r="Z1585" i="1"/>
  <c r="Y1585" i="1"/>
  <c r="X1585" i="1"/>
  <c r="W1585" i="1"/>
  <c r="V1585" i="1"/>
  <c r="Z1584" i="1"/>
  <c r="Y1584" i="1"/>
  <c r="X1584" i="1"/>
  <c r="W1584" i="1"/>
  <c r="V1584" i="1"/>
  <c r="Z1583" i="1"/>
  <c r="Y1583" i="1"/>
  <c r="X1583" i="1"/>
  <c r="W1583" i="1"/>
  <c r="V1583" i="1"/>
  <c r="Z1582" i="1"/>
  <c r="Y1582" i="1"/>
  <c r="X1582" i="1"/>
  <c r="W1582" i="1"/>
  <c r="V1582" i="1"/>
  <c r="Z1581" i="1"/>
  <c r="Y1581" i="1"/>
  <c r="X1581" i="1"/>
  <c r="W1581" i="1"/>
  <c r="V1581" i="1"/>
  <c r="Z1580" i="1"/>
  <c r="Y1580" i="1"/>
  <c r="X1580" i="1"/>
  <c r="W1580" i="1"/>
  <c r="V1580" i="1"/>
  <c r="Z1579" i="1"/>
  <c r="Y1579" i="1"/>
  <c r="X1579" i="1"/>
  <c r="W1579" i="1"/>
  <c r="V1579" i="1"/>
  <c r="Z1578" i="1"/>
  <c r="Y1578" i="1"/>
  <c r="X1578" i="1"/>
  <c r="W1578" i="1"/>
  <c r="V1578" i="1"/>
  <c r="Z1577" i="1"/>
  <c r="Y1577" i="1"/>
  <c r="X1577" i="1"/>
  <c r="W1577" i="1"/>
  <c r="V1577" i="1"/>
  <c r="Z1576" i="1"/>
  <c r="Y1576" i="1"/>
  <c r="X1576" i="1"/>
  <c r="W1576" i="1"/>
  <c r="V1576" i="1"/>
  <c r="Z1575" i="1"/>
  <c r="Y1575" i="1"/>
  <c r="X1575" i="1"/>
  <c r="W1575" i="1"/>
  <c r="V1575" i="1"/>
  <c r="Z1574" i="1"/>
  <c r="Y1574" i="1"/>
  <c r="X1574" i="1"/>
  <c r="W1574" i="1"/>
  <c r="V1574" i="1"/>
  <c r="Z1573" i="1"/>
  <c r="Y1573" i="1"/>
  <c r="X1573" i="1"/>
  <c r="W1573" i="1"/>
  <c r="V1573" i="1"/>
  <c r="Z1572" i="1"/>
  <c r="Y1572" i="1"/>
  <c r="X1572" i="1"/>
  <c r="W1572" i="1"/>
  <c r="V1572" i="1"/>
  <c r="Z1571" i="1"/>
  <c r="Y1571" i="1"/>
  <c r="X1571" i="1"/>
  <c r="W1571" i="1"/>
  <c r="V1571" i="1"/>
  <c r="Z1570" i="1"/>
  <c r="Y1570" i="1"/>
  <c r="X1570" i="1"/>
  <c r="W1570" i="1"/>
  <c r="V1570" i="1"/>
  <c r="Z1569" i="1"/>
  <c r="Y1569" i="1"/>
  <c r="X1569" i="1"/>
  <c r="W1569" i="1"/>
  <c r="V1569" i="1"/>
  <c r="Z1568" i="1"/>
  <c r="Y1568" i="1"/>
  <c r="X1568" i="1"/>
  <c r="W1568" i="1"/>
  <c r="V1568" i="1"/>
  <c r="Z1567" i="1"/>
  <c r="Y1567" i="1"/>
  <c r="X1567" i="1"/>
  <c r="W1567" i="1"/>
  <c r="V1567" i="1"/>
  <c r="Z1566" i="1"/>
  <c r="Y1566" i="1"/>
  <c r="X1566" i="1"/>
  <c r="W1566" i="1"/>
  <c r="V1566" i="1"/>
  <c r="Z1565" i="1"/>
  <c r="Y1565" i="1"/>
  <c r="X1565" i="1"/>
  <c r="W1565" i="1"/>
  <c r="V1565" i="1"/>
  <c r="Z1564" i="1"/>
  <c r="Y1564" i="1"/>
  <c r="X1564" i="1"/>
  <c r="W1564" i="1"/>
  <c r="V1564" i="1"/>
  <c r="Z1563" i="1"/>
  <c r="Y1563" i="1"/>
  <c r="X1563" i="1"/>
  <c r="W1563" i="1"/>
  <c r="V1563" i="1"/>
  <c r="Z1562" i="1"/>
  <c r="Y1562" i="1"/>
  <c r="X1562" i="1"/>
  <c r="W1562" i="1"/>
  <c r="V1562" i="1"/>
  <c r="Z1561" i="1"/>
  <c r="Y1561" i="1"/>
  <c r="X1561" i="1"/>
  <c r="W1561" i="1"/>
  <c r="V1561" i="1"/>
  <c r="Z1560" i="1"/>
  <c r="Y1560" i="1"/>
  <c r="X1560" i="1"/>
  <c r="W1560" i="1"/>
  <c r="V1560" i="1"/>
  <c r="Z1559" i="1"/>
  <c r="Y1559" i="1"/>
  <c r="X1559" i="1"/>
  <c r="W1559" i="1"/>
  <c r="V1559" i="1"/>
  <c r="Z1558" i="1"/>
  <c r="Y1558" i="1"/>
  <c r="X1558" i="1"/>
  <c r="W1558" i="1"/>
  <c r="V1558" i="1"/>
  <c r="Z1557" i="1"/>
  <c r="Y1557" i="1"/>
  <c r="X1557" i="1"/>
  <c r="W1557" i="1"/>
  <c r="V1557" i="1"/>
  <c r="Z1556" i="1"/>
  <c r="Y1556" i="1"/>
  <c r="X1556" i="1"/>
  <c r="W1556" i="1"/>
  <c r="V1556" i="1"/>
  <c r="Z1555" i="1"/>
  <c r="Y1555" i="1"/>
  <c r="X1555" i="1"/>
  <c r="W1555" i="1"/>
  <c r="V1555" i="1"/>
  <c r="Z1554" i="1"/>
  <c r="Y1554" i="1"/>
  <c r="X1554" i="1"/>
  <c r="W1554" i="1"/>
  <c r="V1554" i="1"/>
  <c r="Z1553" i="1"/>
  <c r="Y1553" i="1"/>
  <c r="X1553" i="1"/>
  <c r="W1553" i="1"/>
  <c r="V1553" i="1"/>
  <c r="Z1552" i="1"/>
  <c r="Y1552" i="1"/>
  <c r="X1552" i="1"/>
  <c r="W1552" i="1"/>
  <c r="V1552" i="1"/>
  <c r="Z1551" i="1"/>
  <c r="Y1551" i="1"/>
  <c r="X1551" i="1"/>
  <c r="W1551" i="1"/>
  <c r="V1551" i="1"/>
  <c r="Z1550" i="1"/>
  <c r="Y1550" i="1"/>
  <c r="X1550" i="1"/>
  <c r="W1550" i="1"/>
  <c r="V1550" i="1"/>
  <c r="Z1549" i="1"/>
  <c r="Y1549" i="1"/>
  <c r="X1549" i="1"/>
  <c r="W1549" i="1"/>
  <c r="V1549" i="1"/>
  <c r="Z1548" i="1"/>
  <c r="Y1548" i="1"/>
  <c r="X1548" i="1"/>
  <c r="W1548" i="1"/>
  <c r="V1548" i="1"/>
  <c r="Z1547" i="1"/>
  <c r="Y1547" i="1"/>
  <c r="X1547" i="1"/>
  <c r="W1547" i="1"/>
  <c r="V1547" i="1"/>
  <c r="Z1546" i="1"/>
  <c r="Y1546" i="1"/>
  <c r="X1546" i="1"/>
  <c r="W1546" i="1"/>
  <c r="V1546" i="1"/>
  <c r="Z1545" i="1"/>
  <c r="Y1545" i="1"/>
  <c r="X1545" i="1"/>
  <c r="W1545" i="1"/>
  <c r="V1545" i="1"/>
  <c r="Z1544" i="1"/>
  <c r="Y1544" i="1"/>
  <c r="X1544" i="1"/>
  <c r="W1544" i="1"/>
  <c r="V1544" i="1"/>
  <c r="Z1543" i="1"/>
  <c r="Y1543" i="1"/>
  <c r="X1543" i="1"/>
  <c r="W1543" i="1"/>
  <c r="V1543" i="1"/>
  <c r="Z1542" i="1"/>
  <c r="Y1542" i="1"/>
  <c r="X1542" i="1"/>
  <c r="W1542" i="1"/>
  <c r="V1542" i="1"/>
  <c r="Z1541" i="1"/>
  <c r="Y1541" i="1"/>
  <c r="X1541" i="1"/>
  <c r="W1541" i="1"/>
  <c r="V1541" i="1"/>
  <c r="Z1540" i="1"/>
  <c r="Y1540" i="1"/>
  <c r="X1540" i="1"/>
  <c r="W1540" i="1"/>
  <c r="V1540" i="1"/>
  <c r="Z1539" i="1"/>
  <c r="Y1539" i="1"/>
  <c r="X1539" i="1"/>
  <c r="W1539" i="1"/>
  <c r="V1539" i="1"/>
  <c r="Z1538" i="1"/>
  <c r="Y1538" i="1"/>
  <c r="X1538" i="1"/>
  <c r="W1538" i="1"/>
  <c r="V1538" i="1"/>
  <c r="Z1537" i="1"/>
  <c r="Y1537" i="1"/>
  <c r="X1537" i="1"/>
  <c r="W1537" i="1"/>
  <c r="V1537" i="1"/>
  <c r="Z1536" i="1"/>
  <c r="Y1536" i="1"/>
  <c r="X1536" i="1"/>
  <c r="W1536" i="1"/>
  <c r="V1536" i="1"/>
  <c r="Z1535" i="1"/>
  <c r="Y1535" i="1"/>
  <c r="X1535" i="1"/>
  <c r="W1535" i="1"/>
  <c r="V1535" i="1"/>
  <c r="Z1534" i="1"/>
  <c r="Y1534" i="1"/>
  <c r="X1534" i="1"/>
  <c r="W1534" i="1"/>
  <c r="V1534" i="1"/>
  <c r="Z1533" i="1"/>
  <c r="Y1533" i="1"/>
  <c r="X1533" i="1"/>
  <c r="W1533" i="1"/>
  <c r="V1533" i="1"/>
  <c r="Z1532" i="1"/>
  <c r="Y1532" i="1"/>
  <c r="X1532" i="1"/>
  <c r="W1532" i="1"/>
  <c r="V1532" i="1"/>
  <c r="Z1531" i="1"/>
  <c r="Y1531" i="1"/>
  <c r="X1531" i="1"/>
  <c r="W1531" i="1"/>
  <c r="V1531" i="1"/>
  <c r="Z1530" i="1"/>
  <c r="Y1530" i="1"/>
  <c r="X1530" i="1"/>
  <c r="W1530" i="1"/>
  <c r="V1530" i="1"/>
  <c r="Z1529" i="1"/>
  <c r="Y1529" i="1"/>
  <c r="X1529" i="1"/>
  <c r="W1529" i="1"/>
  <c r="V1529" i="1"/>
  <c r="Z1528" i="1"/>
  <c r="Y1528" i="1"/>
  <c r="X1528" i="1"/>
  <c r="W1528" i="1"/>
  <c r="V1528" i="1"/>
  <c r="Z1527" i="1"/>
  <c r="Y1527" i="1"/>
  <c r="X1527" i="1"/>
  <c r="W1527" i="1"/>
  <c r="V1527" i="1"/>
  <c r="Z1526" i="1"/>
  <c r="Y1526" i="1"/>
  <c r="X1526" i="1"/>
  <c r="W1526" i="1"/>
  <c r="V1526" i="1"/>
  <c r="Z1525" i="1"/>
  <c r="Y1525" i="1"/>
  <c r="X1525" i="1"/>
  <c r="W1525" i="1"/>
  <c r="V1525" i="1"/>
  <c r="Z1524" i="1"/>
  <c r="Y1524" i="1"/>
  <c r="X1524" i="1"/>
  <c r="W1524" i="1"/>
  <c r="V1524" i="1"/>
  <c r="Z1523" i="1"/>
  <c r="Y1523" i="1"/>
  <c r="X1523" i="1"/>
  <c r="W1523" i="1"/>
  <c r="V1523" i="1"/>
  <c r="Z1522" i="1"/>
  <c r="Y1522" i="1"/>
  <c r="X1522" i="1"/>
  <c r="W1522" i="1"/>
  <c r="V1522" i="1"/>
  <c r="Z1521" i="1"/>
  <c r="Y1521" i="1"/>
  <c r="X1521" i="1"/>
  <c r="W1521" i="1"/>
  <c r="V1521" i="1"/>
  <c r="Z1520" i="1"/>
  <c r="Y1520" i="1"/>
  <c r="X1520" i="1"/>
  <c r="W1520" i="1"/>
  <c r="V1520" i="1"/>
  <c r="Z1519" i="1"/>
  <c r="Y1519" i="1"/>
  <c r="X1519" i="1"/>
  <c r="W1519" i="1"/>
  <c r="V1519" i="1"/>
  <c r="Z1518" i="1"/>
  <c r="Y1518" i="1"/>
  <c r="X1518" i="1"/>
  <c r="W1518" i="1"/>
  <c r="V1518" i="1"/>
  <c r="Z1517" i="1"/>
  <c r="Y1517" i="1"/>
  <c r="X1517" i="1"/>
  <c r="W1517" i="1"/>
  <c r="V1517" i="1"/>
  <c r="Z1516" i="1"/>
  <c r="Y1516" i="1"/>
  <c r="X1516" i="1"/>
  <c r="W1516" i="1"/>
  <c r="V1516" i="1"/>
  <c r="Z1515" i="1"/>
  <c r="Y1515" i="1"/>
  <c r="X1515" i="1"/>
  <c r="W1515" i="1"/>
  <c r="V1515" i="1"/>
  <c r="Z1514" i="1"/>
  <c r="Y1514" i="1"/>
  <c r="X1514" i="1"/>
  <c r="W1514" i="1"/>
  <c r="V1514" i="1"/>
  <c r="Z1513" i="1"/>
  <c r="Y1513" i="1"/>
  <c r="X1513" i="1"/>
  <c r="W1513" i="1"/>
  <c r="V1513" i="1"/>
  <c r="Z1512" i="1"/>
  <c r="Y1512" i="1"/>
  <c r="X1512" i="1"/>
  <c r="W1512" i="1"/>
  <c r="V1512" i="1"/>
  <c r="Z1511" i="1"/>
  <c r="Y1511" i="1"/>
  <c r="X1511" i="1"/>
  <c r="W1511" i="1"/>
  <c r="V1511" i="1"/>
  <c r="Z1510" i="1"/>
  <c r="Y1510" i="1"/>
  <c r="X1510" i="1"/>
  <c r="W1510" i="1"/>
  <c r="V1510" i="1"/>
  <c r="Z1509" i="1"/>
  <c r="Y1509" i="1"/>
  <c r="X1509" i="1"/>
  <c r="W1509" i="1"/>
  <c r="V1509" i="1"/>
  <c r="Z1508" i="1"/>
  <c r="Y1508" i="1"/>
  <c r="X1508" i="1"/>
  <c r="W1508" i="1"/>
  <c r="V1508" i="1"/>
  <c r="Z1507" i="1"/>
  <c r="Y1507" i="1"/>
  <c r="X1507" i="1"/>
  <c r="W1507" i="1"/>
  <c r="V1507" i="1"/>
  <c r="Z1506" i="1"/>
  <c r="Y1506" i="1"/>
  <c r="X1506" i="1"/>
  <c r="W1506" i="1"/>
  <c r="V1506" i="1"/>
  <c r="Z1505" i="1"/>
  <c r="Y1505" i="1"/>
  <c r="X1505" i="1"/>
  <c r="W1505" i="1"/>
  <c r="V1505" i="1"/>
  <c r="Z1504" i="1"/>
  <c r="Y1504" i="1"/>
  <c r="X1504" i="1"/>
  <c r="W1504" i="1"/>
  <c r="V1504" i="1"/>
  <c r="Z1503" i="1"/>
  <c r="Y1503" i="1"/>
  <c r="X1503" i="1"/>
  <c r="W1503" i="1"/>
  <c r="V1503" i="1"/>
  <c r="Z1502" i="1"/>
  <c r="Y1502" i="1"/>
  <c r="X1502" i="1"/>
  <c r="W1502" i="1"/>
  <c r="V1502" i="1"/>
  <c r="Z1501" i="1"/>
  <c r="Y1501" i="1"/>
  <c r="X1501" i="1"/>
  <c r="W1501" i="1"/>
  <c r="V1501" i="1"/>
  <c r="Z1500" i="1"/>
  <c r="Y1500" i="1"/>
  <c r="X1500" i="1"/>
  <c r="W1500" i="1"/>
  <c r="V1500" i="1"/>
  <c r="Z1499" i="1"/>
  <c r="Y1499" i="1"/>
  <c r="X1499" i="1"/>
  <c r="W1499" i="1"/>
  <c r="V1499" i="1"/>
  <c r="Z1498" i="1"/>
  <c r="Y1498" i="1"/>
  <c r="X1498" i="1"/>
  <c r="W1498" i="1"/>
  <c r="V1498" i="1"/>
  <c r="Z1497" i="1"/>
  <c r="Y1497" i="1"/>
  <c r="X1497" i="1"/>
  <c r="W1497" i="1"/>
  <c r="V1497" i="1"/>
  <c r="Z1496" i="1"/>
  <c r="Y1496" i="1"/>
  <c r="X1496" i="1"/>
  <c r="W1496" i="1"/>
  <c r="V1496" i="1"/>
  <c r="Z1495" i="1"/>
  <c r="Y1495" i="1"/>
  <c r="X1495" i="1"/>
  <c r="W1495" i="1"/>
  <c r="V1495" i="1"/>
  <c r="Z1494" i="1"/>
  <c r="Y1494" i="1"/>
  <c r="X1494" i="1"/>
  <c r="W1494" i="1"/>
  <c r="V1494" i="1"/>
  <c r="Z1493" i="1"/>
  <c r="Y1493" i="1"/>
  <c r="X1493" i="1"/>
  <c r="W1493" i="1"/>
  <c r="V1493" i="1"/>
  <c r="Z1492" i="1"/>
  <c r="Y1492" i="1"/>
  <c r="X1492" i="1"/>
  <c r="W1492" i="1"/>
  <c r="V1492" i="1"/>
  <c r="Z1491" i="1"/>
  <c r="Y1491" i="1"/>
  <c r="X1491" i="1"/>
  <c r="W1491" i="1"/>
  <c r="V1491" i="1"/>
  <c r="Z1490" i="1"/>
  <c r="Y1490" i="1"/>
  <c r="X1490" i="1"/>
  <c r="W1490" i="1"/>
  <c r="V1490" i="1"/>
  <c r="Z1489" i="1"/>
  <c r="Y1489" i="1"/>
  <c r="X1489" i="1"/>
  <c r="W1489" i="1"/>
  <c r="V1489" i="1"/>
  <c r="Z1488" i="1"/>
  <c r="Y1488" i="1"/>
  <c r="X1488" i="1"/>
  <c r="W1488" i="1"/>
  <c r="V1488" i="1"/>
  <c r="Z1487" i="1"/>
  <c r="Y1487" i="1"/>
  <c r="X1487" i="1"/>
  <c r="W1487" i="1"/>
  <c r="V1487" i="1"/>
  <c r="Z1486" i="1"/>
  <c r="Y1486" i="1"/>
  <c r="X1486" i="1"/>
  <c r="W1486" i="1"/>
  <c r="V1486" i="1"/>
  <c r="Z1485" i="1"/>
  <c r="Y1485" i="1"/>
  <c r="X1485" i="1"/>
  <c r="W1485" i="1"/>
  <c r="V1485" i="1"/>
  <c r="Z1484" i="1"/>
  <c r="Y1484" i="1"/>
  <c r="X1484" i="1"/>
  <c r="W1484" i="1"/>
  <c r="V1484" i="1"/>
  <c r="Z1483" i="1"/>
  <c r="Y1483" i="1"/>
  <c r="X1483" i="1"/>
  <c r="W1483" i="1"/>
  <c r="V1483" i="1"/>
  <c r="Z1482" i="1"/>
  <c r="Y1482" i="1"/>
  <c r="X1482" i="1"/>
  <c r="W1482" i="1"/>
  <c r="V1482" i="1"/>
  <c r="Z1481" i="1"/>
  <c r="Y1481" i="1"/>
  <c r="X1481" i="1"/>
  <c r="W1481" i="1"/>
  <c r="V1481" i="1"/>
  <c r="Z1480" i="1"/>
  <c r="Y1480" i="1"/>
  <c r="X1480" i="1"/>
  <c r="W1480" i="1"/>
  <c r="V1480" i="1"/>
  <c r="Z1479" i="1"/>
  <c r="Y1479" i="1"/>
  <c r="X1479" i="1"/>
  <c r="W1479" i="1"/>
  <c r="V1479" i="1"/>
  <c r="Z1478" i="1"/>
  <c r="Y1478" i="1"/>
  <c r="X1478" i="1"/>
  <c r="W1478" i="1"/>
  <c r="V1478" i="1"/>
  <c r="Z1477" i="1"/>
  <c r="Y1477" i="1"/>
  <c r="X1477" i="1"/>
  <c r="W1477" i="1"/>
  <c r="V1477" i="1"/>
  <c r="Z1476" i="1"/>
  <c r="Y1476" i="1"/>
  <c r="X1476" i="1"/>
  <c r="W1476" i="1"/>
  <c r="V1476" i="1"/>
  <c r="Z1475" i="1"/>
  <c r="Y1475" i="1"/>
  <c r="X1475" i="1"/>
  <c r="W1475" i="1"/>
  <c r="V1475" i="1"/>
  <c r="Z1474" i="1"/>
  <c r="Y1474" i="1"/>
  <c r="X1474" i="1"/>
  <c r="W1474" i="1"/>
  <c r="V1474" i="1"/>
  <c r="Z1473" i="1"/>
  <c r="Y1473" i="1"/>
  <c r="X1473" i="1"/>
  <c r="W1473" i="1"/>
  <c r="V1473" i="1"/>
  <c r="Z1472" i="1"/>
  <c r="Y1472" i="1"/>
  <c r="X1472" i="1"/>
  <c r="W1472" i="1"/>
  <c r="V1472" i="1"/>
  <c r="Z1471" i="1"/>
  <c r="Y1471" i="1"/>
  <c r="X1471" i="1"/>
  <c r="W1471" i="1"/>
  <c r="V1471" i="1"/>
  <c r="Z1470" i="1"/>
  <c r="Y1470" i="1"/>
  <c r="X1470" i="1"/>
  <c r="W1470" i="1"/>
  <c r="V1470" i="1"/>
  <c r="Z1469" i="1"/>
  <c r="Y1469" i="1"/>
  <c r="X1469" i="1"/>
  <c r="W1469" i="1"/>
  <c r="V1469" i="1"/>
  <c r="Z1468" i="1"/>
  <c r="Y1468" i="1"/>
  <c r="X1468" i="1"/>
  <c r="W1468" i="1"/>
  <c r="V1468" i="1"/>
  <c r="Z1467" i="1"/>
  <c r="Y1467" i="1"/>
  <c r="X1467" i="1"/>
  <c r="W1467" i="1"/>
  <c r="V1467" i="1"/>
  <c r="Z1466" i="1"/>
  <c r="Y1466" i="1"/>
  <c r="X1466" i="1"/>
  <c r="W1466" i="1"/>
  <c r="V1466" i="1"/>
  <c r="Z1465" i="1"/>
  <c r="Y1465" i="1"/>
  <c r="X1465" i="1"/>
  <c r="W1465" i="1"/>
  <c r="V1465" i="1"/>
  <c r="Z1464" i="1"/>
  <c r="Y1464" i="1"/>
  <c r="X1464" i="1"/>
  <c r="W1464" i="1"/>
  <c r="V1464" i="1"/>
  <c r="Z1463" i="1"/>
  <c r="Y1463" i="1"/>
  <c r="X1463" i="1"/>
  <c r="W1463" i="1"/>
  <c r="V1463" i="1"/>
  <c r="Z1462" i="1"/>
  <c r="Y1462" i="1"/>
  <c r="X1462" i="1"/>
  <c r="W1462" i="1"/>
  <c r="V1462" i="1"/>
  <c r="Z1461" i="1"/>
  <c r="Y1461" i="1"/>
  <c r="X1461" i="1"/>
  <c r="W1461" i="1"/>
  <c r="V1461" i="1"/>
  <c r="Z1460" i="1"/>
  <c r="Y1460" i="1"/>
  <c r="X1460" i="1"/>
  <c r="W1460" i="1"/>
  <c r="V1460" i="1"/>
  <c r="Z1459" i="1"/>
  <c r="Y1459" i="1"/>
  <c r="X1459" i="1"/>
  <c r="W1459" i="1"/>
  <c r="V1459" i="1"/>
  <c r="Z1458" i="1"/>
  <c r="Y1458" i="1"/>
  <c r="X1458" i="1"/>
  <c r="W1458" i="1"/>
  <c r="V1458" i="1"/>
  <c r="Z1457" i="1"/>
  <c r="Y1457" i="1"/>
  <c r="X1457" i="1"/>
  <c r="W1457" i="1"/>
  <c r="V1457" i="1"/>
  <c r="Z1456" i="1"/>
  <c r="Y1456" i="1"/>
  <c r="X1456" i="1"/>
  <c r="W1456" i="1"/>
  <c r="V1456" i="1"/>
  <c r="Z1455" i="1"/>
  <c r="Y1455" i="1"/>
  <c r="X1455" i="1"/>
  <c r="W1455" i="1"/>
  <c r="V1455" i="1"/>
  <c r="Z1454" i="1"/>
  <c r="Y1454" i="1"/>
  <c r="X1454" i="1"/>
  <c r="W1454" i="1"/>
  <c r="V1454" i="1"/>
  <c r="Z1453" i="1"/>
  <c r="Y1453" i="1"/>
  <c r="X1453" i="1"/>
  <c r="W1453" i="1"/>
  <c r="V1453" i="1"/>
  <c r="Z1452" i="1"/>
  <c r="Y1452" i="1"/>
  <c r="X1452" i="1"/>
  <c r="W1452" i="1"/>
  <c r="V1452" i="1"/>
  <c r="Z1451" i="1"/>
  <c r="Y1451" i="1"/>
  <c r="X1451" i="1"/>
  <c r="W1451" i="1"/>
  <c r="V1451" i="1"/>
  <c r="Z1450" i="1"/>
  <c r="Y1450" i="1"/>
  <c r="X1450" i="1"/>
  <c r="W1450" i="1"/>
  <c r="V1450" i="1"/>
  <c r="Z1449" i="1"/>
  <c r="Y1449" i="1"/>
  <c r="X1449" i="1"/>
  <c r="W1449" i="1"/>
  <c r="V1449" i="1"/>
  <c r="Z1448" i="1"/>
  <c r="Y1448" i="1"/>
  <c r="X1448" i="1"/>
  <c r="W1448" i="1"/>
  <c r="V1448" i="1"/>
  <c r="Z1447" i="1"/>
  <c r="Y1447" i="1"/>
  <c r="X1447" i="1"/>
  <c r="W1447" i="1"/>
  <c r="V1447" i="1"/>
  <c r="Z1446" i="1"/>
  <c r="Y1446" i="1"/>
  <c r="X1446" i="1"/>
  <c r="W1446" i="1"/>
  <c r="V1446" i="1"/>
  <c r="Z1445" i="1"/>
  <c r="Y1445" i="1"/>
  <c r="X1445" i="1"/>
  <c r="W1445" i="1"/>
  <c r="V1445" i="1"/>
  <c r="Z1444" i="1"/>
  <c r="Y1444" i="1"/>
  <c r="X1444" i="1"/>
  <c r="W1444" i="1"/>
  <c r="V1444" i="1"/>
  <c r="Z1443" i="1"/>
  <c r="Y1443" i="1"/>
  <c r="X1443" i="1"/>
  <c r="W1443" i="1"/>
  <c r="V1443" i="1"/>
  <c r="Z1442" i="1"/>
  <c r="Y1442" i="1"/>
  <c r="X1442" i="1"/>
  <c r="W1442" i="1"/>
  <c r="V1442" i="1"/>
  <c r="Z1441" i="1"/>
  <c r="Y1441" i="1"/>
  <c r="X1441" i="1"/>
  <c r="W1441" i="1"/>
  <c r="V1441" i="1"/>
  <c r="Z1440" i="1"/>
  <c r="Y1440" i="1"/>
  <c r="X1440" i="1"/>
  <c r="W1440" i="1"/>
  <c r="V1440" i="1"/>
  <c r="Z1439" i="1"/>
  <c r="Y1439" i="1"/>
  <c r="X1439" i="1"/>
  <c r="W1439" i="1"/>
  <c r="V1439" i="1"/>
  <c r="Z1438" i="1"/>
  <c r="Y1438" i="1"/>
  <c r="X1438" i="1"/>
  <c r="W1438" i="1"/>
  <c r="V1438" i="1"/>
  <c r="Z1437" i="1"/>
  <c r="Y1437" i="1"/>
  <c r="X1437" i="1"/>
  <c r="W1437" i="1"/>
  <c r="V1437" i="1"/>
  <c r="Z1436" i="1"/>
  <c r="Y1436" i="1"/>
  <c r="X1436" i="1"/>
  <c r="W1436" i="1"/>
  <c r="V1436" i="1"/>
  <c r="Z1435" i="1"/>
  <c r="Y1435" i="1"/>
  <c r="X1435" i="1"/>
  <c r="W1435" i="1"/>
  <c r="V1435" i="1"/>
  <c r="Z1434" i="1"/>
  <c r="Y1434" i="1"/>
  <c r="X1434" i="1"/>
  <c r="W1434" i="1"/>
  <c r="V1434" i="1"/>
  <c r="Z1433" i="1"/>
  <c r="Y1433" i="1"/>
  <c r="X1433" i="1"/>
  <c r="W1433" i="1"/>
  <c r="V1433" i="1"/>
  <c r="Z1432" i="1"/>
  <c r="Y1432" i="1"/>
  <c r="X1432" i="1"/>
  <c r="W1432" i="1"/>
  <c r="V1432" i="1"/>
  <c r="Z1431" i="1"/>
  <c r="Y1431" i="1"/>
  <c r="X1431" i="1"/>
  <c r="W1431" i="1"/>
  <c r="V1431" i="1"/>
  <c r="Z1430" i="1"/>
  <c r="Y1430" i="1"/>
  <c r="X1430" i="1"/>
  <c r="W1430" i="1"/>
  <c r="V1430" i="1"/>
  <c r="Z1429" i="1"/>
  <c r="Y1429" i="1"/>
  <c r="X1429" i="1"/>
  <c r="W1429" i="1"/>
  <c r="V1429" i="1"/>
  <c r="Z1428" i="1"/>
  <c r="Y1428" i="1"/>
  <c r="X1428" i="1"/>
  <c r="W1428" i="1"/>
  <c r="V1428" i="1"/>
  <c r="Z1427" i="1"/>
  <c r="Y1427" i="1"/>
  <c r="X1427" i="1"/>
  <c r="W1427" i="1"/>
  <c r="V1427" i="1"/>
  <c r="Z1426" i="1"/>
  <c r="Y1426" i="1"/>
  <c r="X1426" i="1"/>
  <c r="W1426" i="1"/>
  <c r="V1426" i="1"/>
  <c r="Z1425" i="1"/>
  <c r="Y1425" i="1"/>
  <c r="X1425" i="1"/>
  <c r="W1425" i="1"/>
  <c r="V1425" i="1"/>
  <c r="Z1424" i="1"/>
  <c r="Y1424" i="1"/>
  <c r="X1424" i="1"/>
  <c r="W1424" i="1"/>
  <c r="V1424" i="1"/>
  <c r="Z1423" i="1"/>
  <c r="Y1423" i="1"/>
  <c r="X1423" i="1"/>
  <c r="W1423" i="1"/>
  <c r="V1423" i="1"/>
  <c r="Z1422" i="1"/>
  <c r="Y1422" i="1"/>
  <c r="X1422" i="1"/>
  <c r="W1422" i="1"/>
  <c r="V1422" i="1"/>
  <c r="Z1421" i="1"/>
  <c r="Y1421" i="1"/>
  <c r="X1421" i="1"/>
  <c r="W1421" i="1"/>
  <c r="V1421" i="1"/>
  <c r="Z1420" i="1"/>
  <c r="Y1420" i="1"/>
  <c r="X1420" i="1"/>
  <c r="W1420" i="1"/>
  <c r="V1420" i="1"/>
  <c r="Z1419" i="1"/>
  <c r="Y1419" i="1"/>
  <c r="X1419" i="1"/>
  <c r="W1419" i="1"/>
  <c r="V1419" i="1"/>
  <c r="Z1418" i="1"/>
  <c r="Y1418" i="1"/>
  <c r="X1418" i="1"/>
  <c r="W1418" i="1"/>
  <c r="V1418" i="1"/>
  <c r="Z1417" i="1"/>
  <c r="Y1417" i="1"/>
  <c r="X1417" i="1"/>
  <c r="W1417" i="1"/>
  <c r="V1417" i="1"/>
  <c r="Z1416" i="1"/>
  <c r="Y1416" i="1"/>
  <c r="X1416" i="1"/>
  <c r="W1416" i="1"/>
  <c r="V1416" i="1"/>
  <c r="Z1415" i="1"/>
  <c r="Y1415" i="1"/>
  <c r="X1415" i="1"/>
  <c r="W1415" i="1"/>
  <c r="V1415" i="1"/>
  <c r="Z1414" i="1"/>
  <c r="Y1414" i="1"/>
  <c r="X1414" i="1"/>
  <c r="W1414" i="1"/>
  <c r="V1414" i="1"/>
  <c r="Z1413" i="1"/>
  <c r="Y1413" i="1"/>
  <c r="X1413" i="1"/>
  <c r="W1413" i="1"/>
  <c r="V1413" i="1"/>
  <c r="Z1412" i="1"/>
  <c r="Y1412" i="1"/>
  <c r="X1412" i="1"/>
  <c r="W1412" i="1"/>
  <c r="V1412" i="1"/>
  <c r="Z1411" i="1"/>
  <c r="Y1411" i="1"/>
  <c r="X1411" i="1"/>
  <c r="W1411" i="1"/>
  <c r="V1411" i="1"/>
  <c r="Z1410" i="1"/>
  <c r="Y1410" i="1"/>
  <c r="X1410" i="1"/>
  <c r="W1410" i="1"/>
  <c r="V1410" i="1"/>
  <c r="Z1409" i="1"/>
  <c r="Y1409" i="1"/>
  <c r="X1409" i="1"/>
  <c r="W1409" i="1"/>
  <c r="V1409" i="1"/>
  <c r="Z1408" i="1"/>
  <c r="Y1408" i="1"/>
  <c r="X1408" i="1"/>
  <c r="W1408" i="1"/>
  <c r="V1408" i="1"/>
  <c r="Z1407" i="1"/>
  <c r="Y1407" i="1"/>
  <c r="X1407" i="1"/>
  <c r="W1407" i="1"/>
  <c r="V1407" i="1"/>
  <c r="Z1406" i="1"/>
  <c r="Y1406" i="1"/>
  <c r="X1406" i="1"/>
  <c r="W1406" i="1"/>
  <c r="V1406" i="1"/>
  <c r="Z1405" i="1"/>
  <c r="Y1405" i="1"/>
  <c r="X1405" i="1"/>
  <c r="W1405" i="1"/>
  <c r="V1405" i="1"/>
  <c r="Z1404" i="1"/>
  <c r="Y1404" i="1"/>
  <c r="X1404" i="1"/>
  <c r="W1404" i="1"/>
  <c r="V1404" i="1"/>
  <c r="Z1403" i="1"/>
  <c r="Y1403" i="1"/>
  <c r="X1403" i="1"/>
  <c r="W1403" i="1"/>
  <c r="V1403" i="1"/>
  <c r="Z1402" i="1"/>
  <c r="Y1402" i="1"/>
  <c r="X1402" i="1"/>
  <c r="W1402" i="1"/>
  <c r="V1402" i="1"/>
  <c r="Z1401" i="1"/>
  <c r="Y1401" i="1"/>
  <c r="X1401" i="1"/>
  <c r="W1401" i="1"/>
  <c r="V1401" i="1"/>
  <c r="Z1400" i="1"/>
  <c r="Y1400" i="1"/>
  <c r="X1400" i="1"/>
  <c r="W1400" i="1"/>
  <c r="V1400" i="1"/>
  <c r="Z1399" i="1"/>
  <c r="Y1399" i="1"/>
  <c r="X1399" i="1"/>
  <c r="W1399" i="1"/>
  <c r="V1399" i="1"/>
  <c r="Z1398" i="1"/>
  <c r="Y1398" i="1"/>
  <c r="X1398" i="1"/>
  <c r="W1398" i="1"/>
  <c r="V1398" i="1"/>
  <c r="Z1397" i="1"/>
  <c r="Y1397" i="1"/>
  <c r="X1397" i="1"/>
  <c r="W1397" i="1"/>
  <c r="V1397" i="1"/>
  <c r="Z1396" i="1"/>
  <c r="Y1396" i="1"/>
  <c r="X1396" i="1"/>
  <c r="W1396" i="1"/>
  <c r="V1396" i="1"/>
  <c r="Z1395" i="1"/>
  <c r="Y1395" i="1"/>
  <c r="X1395" i="1"/>
  <c r="W1395" i="1"/>
  <c r="V1395" i="1"/>
  <c r="Z1394" i="1"/>
  <c r="Y1394" i="1"/>
  <c r="X1394" i="1"/>
  <c r="W1394" i="1"/>
  <c r="V1394" i="1"/>
  <c r="Z1393" i="1"/>
  <c r="Y1393" i="1"/>
  <c r="X1393" i="1"/>
  <c r="W1393" i="1"/>
  <c r="V1393" i="1"/>
  <c r="Z1392" i="1"/>
  <c r="Y1392" i="1"/>
  <c r="X1392" i="1"/>
  <c r="W1392" i="1"/>
  <c r="V1392" i="1"/>
  <c r="Z1391" i="1"/>
  <c r="Y1391" i="1"/>
  <c r="X1391" i="1"/>
  <c r="W1391" i="1"/>
  <c r="V1391" i="1"/>
  <c r="Z1390" i="1"/>
  <c r="Y1390" i="1"/>
  <c r="X1390" i="1"/>
  <c r="W1390" i="1"/>
  <c r="V1390" i="1"/>
  <c r="Z1389" i="1"/>
  <c r="Y1389" i="1"/>
  <c r="X1389" i="1"/>
  <c r="W1389" i="1"/>
  <c r="V1389" i="1"/>
  <c r="Z1388" i="1"/>
  <c r="Y1388" i="1"/>
  <c r="X1388" i="1"/>
  <c r="W1388" i="1"/>
  <c r="V1388" i="1"/>
  <c r="Z1387" i="1"/>
  <c r="Y1387" i="1"/>
  <c r="X1387" i="1"/>
  <c r="W1387" i="1"/>
  <c r="V1387" i="1"/>
  <c r="Z1386" i="1"/>
  <c r="Y1386" i="1"/>
  <c r="X1386" i="1"/>
  <c r="W1386" i="1"/>
  <c r="V1386" i="1"/>
  <c r="Z1385" i="1"/>
  <c r="Y1385" i="1"/>
  <c r="X1385" i="1"/>
  <c r="W1385" i="1"/>
  <c r="V1385" i="1"/>
  <c r="Z1384" i="1"/>
  <c r="Y1384" i="1"/>
  <c r="X1384" i="1"/>
  <c r="W1384" i="1"/>
  <c r="V1384" i="1"/>
  <c r="Z1383" i="1"/>
  <c r="Y1383" i="1"/>
  <c r="X1383" i="1"/>
  <c r="W1383" i="1"/>
  <c r="V1383" i="1"/>
  <c r="Z1382" i="1"/>
  <c r="Y1382" i="1"/>
  <c r="X1382" i="1"/>
  <c r="W1382" i="1"/>
  <c r="V1382" i="1"/>
  <c r="Z1381" i="1"/>
  <c r="Y1381" i="1"/>
  <c r="X1381" i="1"/>
  <c r="W1381" i="1"/>
  <c r="V1381" i="1"/>
  <c r="Z1380" i="1"/>
  <c r="Y1380" i="1"/>
  <c r="X1380" i="1"/>
  <c r="W1380" i="1"/>
  <c r="V1380" i="1"/>
  <c r="Z1379" i="1"/>
  <c r="Y1379" i="1"/>
  <c r="X1379" i="1"/>
  <c r="W1379" i="1"/>
  <c r="V1379" i="1"/>
  <c r="Z1378" i="1"/>
  <c r="Y1378" i="1"/>
  <c r="X1378" i="1"/>
  <c r="W1378" i="1"/>
  <c r="V1378" i="1"/>
  <c r="Z1377" i="1"/>
  <c r="Y1377" i="1"/>
  <c r="X1377" i="1"/>
  <c r="W1377" i="1"/>
  <c r="V1377" i="1"/>
  <c r="Z1376" i="1"/>
  <c r="Y1376" i="1"/>
  <c r="X1376" i="1"/>
  <c r="W1376" i="1"/>
  <c r="V1376" i="1"/>
  <c r="Z1375" i="1"/>
  <c r="Y1375" i="1"/>
  <c r="X1375" i="1"/>
  <c r="W1375" i="1"/>
  <c r="V1375" i="1"/>
  <c r="Z1374" i="1"/>
  <c r="Y1374" i="1"/>
  <c r="X1374" i="1"/>
  <c r="W1374" i="1"/>
  <c r="V1374" i="1"/>
  <c r="Z1373" i="1"/>
  <c r="Y1373" i="1"/>
  <c r="X1373" i="1"/>
  <c r="W1373" i="1"/>
  <c r="V1373" i="1"/>
  <c r="Z1372" i="1"/>
  <c r="Y1372" i="1"/>
  <c r="X1372" i="1"/>
  <c r="W1372" i="1"/>
  <c r="V1372" i="1"/>
  <c r="Z1371" i="1"/>
  <c r="Y1371" i="1"/>
  <c r="X1371" i="1"/>
  <c r="W1371" i="1"/>
  <c r="V1371" i="1"/>
  <c r="Z1370" i="1"/>
  <c r="Y1370" i="1"/>
  <c r="X1370" i="1"/>
  <c r="W1370" i="1"/>
  <c r="V1370" i="1"/>
  <c r="Z1369" i="1"/>
  <c r="Y1369" i="1"/>
  <c r="X1369" i="1"/>
  <c r="W1369" i="1"/>
  <c r="V1369" i="1"/>
  <c r="Z1368" i="1"/>
  <c r="Y1368" i="1"/>
  <c r="X1368" i="1"/>
  <c r="W1368" i="1"/>
  <c r="V1368" i="1"/>
  <c r="Z1367" i="1"/>
  <c r="Y1367" i="1"/>
  <c r="X1367" i="1"/>
  <c r="W1367" i="1"/>
  <c r="V1367" i="1"/>
  <c r="Z1366" i="1"/>
  <c r="Y1366" i="1"/>
  <c r="X1366" i="1"/>
  <c r="W1366" i="1"/>
  <c r="V1366" i="1"/>
  <c r="Z1365" i="1"/>
  <c r="Y1365" i="1"/>
  <c r="X1365" i="1"/>
  <c r="W1365" i="1"/>
  <c r="V1365" i="1"/>
  <c r="Z1364" i="1"/>
  <c r="Y1364" i="1"/>
  <c r="X1364" i="1"/>
  <c r="W1364" i="1"/>
  <c r="V1364" i="1"/>
  <c r="Z1363" i="1"/>
  <c r="Y1363" i="1"/>
  <c r="X1363" i="1"/>
  <c r="W1363" i="1"/>
  <c r="V1363" i="1"/>
  <c r="Z1362" i="1"/>
  <c r="Y1362" i="1"/>
  <c r="X1362" i="1"/>
  <c r="W1362" i="1"/>
  <c r="V1362" i="1"/>
  <c r="Z1361" i="1"/>
  <c r="Y1361" i="1"/>
  <c r="X1361" i="1"/>
  <c r="W1361" i="1"/>
  <c r="V1361" i="1"/>
  <c r="Z1360" i="1"/>
  <c r="Y1360" i="1"/>
  <c r="X1360" i="1"/>
  <c r="W1360" i="1"/>
  <c r="V1360" i="1"/>
  <c r="Z1359" i="1"/>
  <c r="Y1359" i="1"/>
  <c r="X1359" i="1"/>
  <c r="W1359" i="1"/>
  <c r="V1359" i="1"/>
  <c r="Z1358" i="1"/>
  <c r="Y1358" i="1"/>
  <c r="X1358" i="1"/>
  <c r="W1358" i="1"/>
  <c r="V1358" i="1"/>
  <c r="Z1357" i="1"/>
  <c r="Y1357" i="1"/>
  <c r="X1357" i="1"/>
  <c r="W1357" i="1"/>
  <c r="V1357" i="1"/>
  <c r="Z1356" i="1"/>
  <c r="Y1356" i="1"/>
  <c r="X1356" i="1"/>
  <c r="W1356" i="1"/>
  <c r="V1356" i="1"/>
  <c r="Z1355" i="1"/>
  <c r="Y1355" i="1"/>
  <c r="X1355" i="1"/>
  <c r="W1355" i="1"/>
  <c r="V1355" i="1"/>
  <c r="Z1354" i="1"/>
  <c r="Y1354" i="1"/>
  <c r="X1354" i="1"/>
  <c r="W1354" i="1"/>
  <c r="V1354" i="1"/>
  <c r="Z1353" i="1"/>
  <c r="Y1353" i="1"/>
  <c r="X1353" i="1"/>
  <c r="W1353" i="1"/>
  <c r="V1353" i="1"/>
  <c r="Z1352" i="1"/>
  <c r="Y1352" i="1"/>
  <c r="X1352" i="1"/>
  <c r="W1352" i="1"/>
  <c r="V1352" i="1"/>
  <c r="Z1351" i="1"/>
  <c r="Y1351" i="1"/>
  <c r="X1351" i="1"/>
  <c r="W1351" i="1"/>
  <c r="V1351" i="1"/>
  <c r="Z1350" i="1"/>
  <c r="Y1350" i="1"/>
  <c r="X1350" i="1"/>
  <c r="W1350" i="1"/>
  <c r="V1350" i="1"/>
  <c r="Z1349" i="1"/>
  <c r="Y1349" i="1"/>
  <c r="X1349" i="1"/>
  <c r="W1349" i="1"/>
  <c r="V1349" i="1"/>
  <c r="Z1348" i="1"/>
  <c r="Y1348" i="1"/>
  <c r="X1348" i="1"/>
  <c r="W1348" i="1"/>
  <c r="V1348" i="1"/>
  <c r="Z1347" i="1"/>
  <c r="Y1347" i="1"/>
  <c r="X1347" i="1"/>
  <c r="W1347" i="1"/>
  <c r="V1347" i="1"/>
  <c r="Z1346" i="1"/>
  <c r="Y1346" i="1"/>
  <c r="X1346" i="1"/>
  <c r="W1346" i="1"/>
  <c r="V1346" i="1"/>
  <c r="Z1345" i="1"/>
  <c r="Y1345" i="1"/>
  <c r="X1345" i="1"/>
  <c r="W1345" i="1"/>
  <c r="V1345" i="1"/>
  <c r="Z1344" i="1"/>
  <c r="Y1344" i="1"/>
  <c r="X1344" i="1"/>
  <c r="W1344" i="1"/>
  <c r="V1344" i="1"/>
  <c r="Z1343" i="1"/>
  <c r="Y1343" i="1"/>
  <c r="X1343" i="1"/>
  <c r="W1343" i="1"/>
  <c r="V1343" i="1"/>
  <c r="Z1342" i="1"/>
  <c r="Y1342" i="1"/>
  <c r="X1342" i="1"/>
  <c r="W1342" i="1"/>
  <c r="V1342" i="1"/>
  <c r="Z1341" i="1"/>
  <c r="Y1341" i="1"/>
  <c r="X1341" i="1"/>
  <c r="W1341" i="1"/>
  <c r="V1341" i="1"/>
  <c r="Z1340" i="1"/>
  <c r="Y1340" i="1"/>
  <c r="X1340" i="1"/>
  <c r="W1340" i="1"/>
  <c r="V1340" i="1"/>
  <c r="Z1339" i="1"/>
  <c r="Y1339" i="1"/>
  <c r="X1339" i="1"/>
  <c r="W1339" i="1"/>
  <c r="V1339" i="1"/>
  <c r="Z1338" i="1"/>
  <c r="Y1338" i="1"/>
  <c r="X1338" i="1"/>
  <c r="W1338" i="1"/>
  <c r="V1338" i="1"/>
  <c r="Z1337" i="1"/>
  <c r="Y1337" i="1"/>
  <c r="X1337" i="1"/>
  <c r="W1337" i="1"/>
  <c r="V1337" i="1"/>
  <c r="Z1336" i="1"/>
  <c r="Y1336" i="1"/>
  <c r="X1336" i="1"/>
  <c r="W1336" i="1"/>
  <c r="V1336" i="1"/>
  <c r="Z1335" i="1"/>
  <c r="Y1335" i="1"/>
  <c r="X1335" i="1"/>
  <c r="W1335" i="1"/>
  <c r="V1335" i="1"/>
  <c r="Z1334" i="1"/>
  <c r="Y1334" i="1"/>
  <c r="X1334" i="1"/>
  <c r="W1334" i="1"/>
  <c r="V1334" i="1"/>
  <c r="Z1333" i="1"/>
  <c r="Y1333" i="1"/>
  <c r="X1333" i="1"/>
  <c r="W1333" i="1"/>
  <c r="V1333" i="1"/>
  <c r="Z1332" i="1"/>
  <c r="Y1332" i="1"/>
  <c r="X1332" i="1"/>
  <c r="W1332" i="1"/>
  <c r="V1332" i="1"/>
  <c r="Z1331" i="1"/>
  <c r="Y1331" i="1"/>
  <c r="X1331" i="1"/>
  <c r="W1331" i="1"/>
  <c r="V1331" i="1"/>
  <c r="Z1330" i="1"/>
  <c r="Y1330" i="1"/>
  <c r="X1330" i="1"/>
  <c r="W1330" i="1"/>
  <c r="V1330" i="1"/>
  <c r="Z1329" i="1"/>
  <c r="Y1329" i="1"/>
  <c r="X1329" i="1"/>
  <c r="W1329" i="1"/>
  <c r="V1329" i="1"/>
  <c r="Z1328" i="1"/>
  <c r="Y1328" i="1"/>
  <c r="X1328" i="1"/>
  <c r="W1328" i="1"/>
  <c r="V1328" i="1"/>
  <c r="Z1327" i="1"/>
  <c r="Y1327" i="1"/>
  <c r="X1327" i="1"/>
  <c r="W1327" i="1"/>
  <c r="V1327" i="1"/>
  <c r="Z1326" i="1"/>
  <c r="Y1326" i="1"/>
  <c r="X1326" i="1"/>
  <c r="W1326" i="1"/>
  <c r="V1326" i="1"/>
  <c r="Z1325" i="1"/>
  <c r="Y1325" i="1"/>
  <c r="X1325" i="1"/>
  <c r="W1325" i="1"/>
  <c r="V1325" i="1"/>
  <c r="Z1324" i="1"/>
  <c r="Y1324" i="1"/>
  <c r="X1324" i="1"/>
  <c r="W1324" i="1"/>
  <c r="V1324" i="1"/>
  <c r="Z1323" i="1"/>
  <c r="Y1323" i="1"/>
  <c r="X1323" i="1"/>
  <c r="W1323" i="1"/>
  <c r="V1323" i="1"/>
  <c r="Z1322" i="1"/>
  <c r="Y1322" i="1"/>
  <c r="X1322" i="1"/>
  <c r="W1322" i="1"/>
  <c r="V1322" i="1"/>
  <c r="Z1321" i="1"/>
  <c r="Y1321" i="1"/>
  <c r="X1321" i="1"/>
  <c r="W1321" i="1"/>
  <c r="V1321" i="1"/>
  <c r="Z1320" i="1"/>
  <c r="Y1320" i="1"/>
  <c r="X1320" i="1"/>
  <c r="W1320" i="1"/>
  <c r="V1320" i="1"/>
  <c r="Z1319" i="1"/>
  <c r="Y1319" i="1"/>
  <c r="X1319" i="1"/>
  <c r="W1319" i="1"/>
  <c r="V1319" i="1"/>
  <c r="Z1318" i="1"/>
  <c r="Y1318" i="1"/>
  <c r="X1318" i="1"/>
  <c r="W1318" i="1"/>
  <c r="V1318" i="1"/>
  <c r="Z1317" i="1"/>
  <c r="Y1317" i="1"/>
  <c r="X1317" i="1"/>
  <c r="W1317" i="1"/>
  <c r="V1317" i="1"/>
  <c r="Z1316" i="1"/>
  <c r="Y1316" i="1"/>
  <c r="X1316" i="1"/>
  <c r="W1316" i="1"/>
  <c r="V1316" i="1"/>
  <c r="Z1315" i="1"/>
  <c r="Y1315" i="1"/>
  <c r="X1315" i="1"/>
  <c r="W1315" i="1"/>
  <c r="V1315" i="1"/>
  <c r="Z1314" i="1"/>
  <c r="Y1314" i="1"/>
  <c r="X1314" i="1"/>
  <c r="W1314" i="1"/>
  <c r="V1314" i="1"/>
  <c r="Z1313" i="1"/>
  <c r="Y1313" i="1"/>
  <c r="X1313" i="1"/>
  <c r="W1313" i="1"/>
  <c r="V1313" i="1"/>
  <c r="Z1312" i="1"/>
  <c r="Y1312" i="1"/>
  <c r="X1312" i="1"/>
  <c r="W1312" i="1"/>
  <c r="V1312" i="1"/>
  <c r="Z1311" i="1"/>
  <c r="Y1311" i="1"/>
  <c r="X1311" i="1"/>
  <c r="W1311" i="1"/>
  <c r="V1311" i="1"/>
  <c r="Z1310" i="1"/>
  <c r="Y1310" i="1"/>
  <c r="X1310" i="1"/>
  <c r="W1310" i="1"/>
  <c r="V1310" i="1"/>
  <c r="Z1309" i="1"/>
  <c r="Y1309" i="1"/>
  <c r="X1309" i="1"/>
  <c r="W1309" i="1"/>
  <c r="V1309" i="1"/>
  <c r="Z1308" i="1"/>
  <c r="Y1308" i="1"/>
  <c r="X1308" i="1"/>
  <c r="W1308" i="1"/>
  <c r="V1308" i="1"/>
  <c r="Z1307" i="1"/>
  <c r="Y1307" i="1"/>
  <c r="X1307" i="1"/>
  <c r="W1307" i="1"/>
  <c r="V1307" i="1"/>
  <c r="Z1306" i="1"/>
  <c r="Y1306" i="1"/>
  <c r="X1306" i="1"/>
  <c r="W1306" i="1"/>
  <c r="V1306" i="1"/>
  <c r="Z1305" i="1"/>
  <c r="Y1305" i="1"/>
  <c r="X1305" i="1"/>
  <c r="W1305" i="1"/>
  <c r="V1305" i="1"/>
  <c r="Z1304" i="1"/>
  <c r="Y1304" i="1"/>
  <c r="X1304" i="1"/>
  <c r="W1304" i="1"/>
  <c r="V1304" i="1"/>
  <c r="Z1303" i="1"/>
  <c r="Y1303" i="1"/>
  <c r="X1303" i="1"/>
  <c r="W1303" i="1"/>
  <c r="V1303" i="1"/>
  <c r="Z1302" i="1"/>
  <c r="Y1302" i="1"/>
  <c r="X1302" i="1"/>
  <c r="W1302" i="1"/>
  <c r="V1302" i="1"/>
  <c r="Z1301" i="1"/>
  <c r="Y1301" i="1"/>
  <c r="X1301" i="1"/>
  <c r="W1301" i="1"/>
  <c r="V1301" i="1"/>
  <c r="Z1300" i="1"/>
  <c r="Y1300" i="1"/>
  <c r="X1300" i="1"/>
  <c r="W1300" i="1"/>
  <c r="V1300" i="1"/>
  <c r="Z1299" i="1"/>
  <c r="Y1299" i="1"/>
  <c r="X1299" i="1"/>
  <c r="W1299" i="1"/>
  <c r="V1299" i="1"/>
  <c r="Z1298" i="1"/>
  <c r="Y1298" i="1"/>
  <c r="X1298" i="1"/>
  <c r="W1298" i="1"/>
  <c r="V1298" i="1"/>
  <c r="Z1297" i="1"/>
  <c r="Y1297" i="1"/>
  <c r="X1297" i="1"/>
  <c r="W1297" i="1"/>
  <c r="V1297" i="1"/>
  <c r="Z1296" i="1"/>
  <c r="Y1296" i="1"/>
  <c r="X1296" i="1"/>
  <c r="W1296" i="1"/>
  <c r="V1296" i="1"/>
  <c r="Z1295" i="1"/>
  <c r="Y1295" i="1"/>
  <c r="X1295" i="1"/>
  <c r="W1295" i="1"/>
  <c r="V1295" i="1"/>
  <c r="Z1294" i="1"/>
  <c r="Y1294" i="1"/>
  <c r="X1294" i="1"/>
  <c r="W1294" i="1"/>
  <c r="V1294" i="1"/>
  <c r="Z1293" i="1"/>
  <c r="Y1293" i="1"/>
  <c r="X1293" i="1"/>
  <c r="W1293" i="1"/>
  <c r="V1293" i="1"/>
  <c r="Z1292" i="1"/>
  <c r="Y1292" i="1"/>
  <c r="X1292" i="1"/>
  <c r="W1292" i="1"/>
  <c r="V1292" i="1"/>
  <c r="Z1291" i="1"/>
  <c r="Y1291" i="1"/>
  <c r="X1291" i="1"/>
  <c r="W1291" i="1"/>
  <c r="V1291" i="1"/>
  <c r="Z1290" i="1"/>
  <c r="Y1290" i="1"/>
  <c r="X1290" i="1"/>
  <c r="W1290" i="1"/>
  <c r="V1290" i="1"/>
  <c r="Z1289" i="1"/>
  <c r="Y1289" i="1"/>
  <c r="X1289" i="1"/>
  <c r="W1289" i="1"/>
  <c r="V1289" i="1"/>
  <c r="Z1288" i="1"/>
  <c r="Y1288" i="1"/>
  <c r="X1288" i="1"/>
  <c r="W1288" i="1"/>
  <c r="V1288" i="1"/>
  <c r="Z1287" i="1"/>
  <c r="Y1287" i="1"/>
  <c r="X1287" i="1"/>
  <c r="W1287" i="1"/>
  <c r="V1287" i="1"/>
  <c r="Z1286" i="1"/>
  <c r="Y1286" i="1"/>
  <c r="X1286" i="1"/>
  <c r="W1286" i="1"/>
  <c r="V1286" i="1"/>
  <c r="Z1285" i="1"/>
  <c r="Y1285" i="1"/>
  <c r="X1285" i="1"/>
  <c r="W1285" i="1"/>
  <c r="V1285" i="1"/>
  <c r="Z1284" i="1"/>
  <c r="Y1284" i="1"/>
  <c r="X1284" i="1"/>
  <c r="W1284" i="1"/>
  <c r="V1284" i="1"/>
  <c r="Z1283" i="1"/>
  <c r="Y1283" i="1"/>
  <c r="X1283" i="1"/>
  <c r="W1283" i="1"/>
  <c r="V1283" i="1"/>
  <c r="Z1282" i="1"/>
  <c r="Y1282" i="1"/>
  <c r="X1282" i="1"/>
  <c r="W1282" i="1"/>
  <c r="V1282" i="1"/>
  <c r="Z1281" i="1"/>
  <c r="Y1281" i="1"/>
  <c r="X1281" i="1"/>
  <c r="W1281" i="1"/>
  <c r="V1281" i="1"/>
  <c r="Z1280" i="1"/>
  <c r="Y1280" i="1"/>
  <c r="X1280" i="1"/>
  <c r="W1280" i="1"/>
  <c r="V1280" i="1"/>
  <c r="Z1279" i="1"/>
  <c r="Y1279" i="1"/>
  <c r="X1279" i="1"/>
  <c r="W1279" i="1"/>
  <c r="V1279" i="1"/>
  <c r="Z1278" i="1"/>
  <c r="Y1278" i="1"/>
  <c r="X1278" i="1"/>
  <c r="W1278" i="1"/>
  <c r="V1278" i="1"/>
  <c r="Z1277" i="1"/>
  <c r="Y1277" i="1"/>
  <c r="X1277" i="1"/>
  <c r="W1277" i="1"/>
  <c r="V1277" i="1"/>
  <c r="Z1276" i="1"/>
  <c r="Y1276" i="1"/>
  <c r="X1276" i="1"/>
  <c r="W1276" i="1"/>
  <c r="V1276" i="1"/>
  <c r="Z1275" i="1"/>
  <c r="Y1275" i="1"/>
  <c r="X1275" i="1"/>
  <c r="W1275" i="1"/>
  <c r="V1275" i="1"/>
  <c r="Z1274" i="1"/>
  <c r="Y1274" i="1"/>
  <c r="X1274" i="1"/>
  <c r="W1274" i="1"/>
  <c r="V1274" i="1"/>
  <c r="Z1273" i="1"/>
  <c r="Y1273" i="1"/>
  <c r="X1273" i="1"/>
  <c r="W1273" i="1"/>
  <c r="V1273" i="1"/>
  <c r="Z1272" i="1"/>
  <c r="Y1272" i="1"/>
  <c r="X1272" i="1"/>
  <c r="W1272" i="1"/>
  <c r="V1272" i="1"/>
  <c r="Z1271" i="1"/>
  <c r="Y1271" i="1"/>
  <c r="X1271" i="1"/>
  <c r="W1271" i="1"/>
  <c r="V1271" i="1"/>
  <c r="Z1270" i="1"/>
  <c r="Y1270" i="1"/>
  <c r="X1270" i="1"/>
  <c r="W1270" i="1"/>
  <c r="V1270" i="1"/>
  <c r="Z1269" i="1"/>
  <c r="Y1269" i="1"/>
  <c r="X1269" i="1"/>
  <c r="W1269" i="1"/>
  <c r="V1269" i="1"/>
  <c r="Z1268" i="1"/>
  <c r="Y1268" i="1"/>
  <c r="X1268" i="1"/>
  <c r="W1268" i="1"/>
  <c r="V1268" i="1"/>
  <c r="Z1267" i="1"/>
  <c r="Y1267" i="1"/>
  <c r="X1267" i="1"/>
  <c r="W1267" i="1"/>
  <c r="V1267" i="1"/>
  <c r="Z1266" i="1"/>
  <c r="Y1266" i="1"/>
  <c r="X1266" i="1"/>
  <c r="W1266" i="1"/>
  <c r="V1266" i="1"/>
  <c r="Z1265" i="1"/>
  <c r="Y1265" i="1"/>
  <c r="X1265" i="1"/>
  <c r="W1265" i="1"/>
  <c r="V1265" i="1"/>
  <c r="Z1264" i="1"/>
  <c r="Y1264" i="1"/>
  <c r="X1264" i="1"/>
  <c r="W1264" i="1"/>
  <c r="V1264" i="1"/>
  <c r="Z1263" i="1"/>
  <c r="Y1263" i="1"/>
  <c r="X1263" i="1"/>
  <c r="W1263" i="1"/>
  <c r="V1263" i="1"/>
  <c r="Z1262" i="1"/>
  <c r="Y1262" i="1"/>
  <c r="X1262" i="1"/>
  <c r="W1262" i="1"/>
  <c r="V1262" i="1"/>
  <c r="Z1261" i="1"/>
  <c r="Y1261" i="1"/>
  <c r="X1261" i="1"/>
  <c r="W1261" i="1"/>
  <c r="V1261" i="1"/>
  <c r="Z1260" i="1"/>
  <c r="Y1260" i="1"/>
  <c r="X1260" i="1"/>
  <c r="W1260" i="1"/>
  <c r="V1260" i="1"/>
  <c r="Z1259" i="1"/>
  <c r="Y1259" i="1"/>
  <c r="X1259" i="1"/>
  <c r="W1259" i="1"/>
  <c r="V1259" i="1"/>
  <c r="Z1258" i="1"/>
  <c r="Y1258" i="1"/>
  <c r="X1258" i="1"/>
  <c r="W1258" i="1"/>
  <c r="V1258" i="1"/>
  <c r="Z1257" i="1"/>
  <c r="Y1257" i="1"/>
  <c r="X1257" i="1"/>
  <c r="W1257" i="1"/>
  <c r="V1257" i="1"/>
  <c r="Z1256" i="1"/>
  <c r="Y1256" i="1"/>
  <c r="X1256" i="1"/>
  <c r="W1256" i="1"/>
  <c r="V1256" i="1"/>
  <c r="Z1255" i="1"/>
  <c r="Y1255" i="1"/>
  <c r="X1255" i="1"/>
  <c r="W1255" i="1"/>
  <c r="V1255" i="1"/>
  <c r="Z1254" i="1"/>
  <c r="Y1254" i="1"/>
  <c r="X1254" i="1"/>
  <c r="W1254" i="1"/>
  <c r="V1254" i="1"/>
  <c r="Z1253" i="1"/>
  <c r="Y1253" i="1"/>
  <c r="X1253" i="1"/>
  <c r="W1253" i="1"/>
  <c r="V1253" i="1"/>
  <c r="Z1252" i="1"/>
  <c r="Y1252" i="1"/>
  <c r="X1252" i="1"/>
  <c r="W1252" i="1"/>
  <c r="V1252" i="1"/>
  <c r="Z1251" i="1"/>
  <c r="Y1251" i="1"/>
  <c r="X1251" i="1"/>
  <c r="W1251" i="1"/>
  <c r="V1251" i="1"/>
  <c r="Z1250" i="1"/>
  <c r="Y1250" i="1"/>
  <c r="X1250" i="1"/>
  <c r="W1250" i="1"/>
  <c r="V1250" i="1"/>
  <c r="Z1249" i="1"/>
  <c r="Y1249" i="1"/>
  <c r="X1249" i="1"/>
  <c r="W1249" i="1"/>
  <c r="V1249" i="1"/>
  <c r="Z1248" i="1"/>
  <c r="Y1248" i="1"/>
  <c r="X1248" i="1"/>
  <c r="W1248" i="1"/>
  <c r="V1248" i="1"/>
  <c r="Z1247" i="1"/>
  <c r="Y1247" i="1"/>
  <c r="X1247" i="1"/>
  <c r="W1247" i="1"/>
  <c r="V1247" i="1"/>
  <c r="Z1246" i="1"/>
  <c r="Y1246" i="1"/>
  <c r="X1246" i="1"/>
  <c r="W1246" i="1"/>
  <c r="V1246" i="1"/>
  <c r="Z1245" i="1"/>
  <c r="Y1245" i="1"/>
  <c r="X1245" i="1"/>
  <c r="W1245" i="1"/>
  <c r="V1245" i="1"/>
  <c r="Z1244" i="1"/>
  <c r="Y1244" i="1"/>
  <c r="X1244" i="1"/>
  <c r="W1244" i="1"/>
  <c r="V1244" i="1"/>
  <c r="Z1243" i="1"/>
  <c r="Y1243" i="1"/>
  <c r="X1243" i="1"/>
  <c r="W1243" i="1"/>
  <c r="V1243" i="1"/>
  <c r="Z1242" i="1"/>
  <c r="Y1242" i="1"/>
  <c r="X1242" i="1"/>
  <c r="W1242" i="1"/>
  <c r="V1242" i="1"/>
  <c r="Z1241" i="1"/>
  <c r="Y1241" i="1"/>
  <c r="X1241" i="1"/>
  <c r="W1241" i="1"/>
  <c r="V1241" i="1"/>
  <c r="Z1240" i="1"/>
  <c r="Y1240" i="1"/>
  <c r="X1240" i="1"/>
  <c r="W1240" i="1"/>
  <c r="V1240" i="1"/>
  <c r="Z1239" i="1"/>
  <c r="Y1239" i="1"/>
  <c r="X1239" i="1"/>
  <c r="W1239" i="1"/>
  <c r="V1239" i="1"/>
  <c r="Z1238" i="1"/>
  <c r="Y1238" i="1"/>
  <c r="X1238" i="1"/>
  <c r="W1238" i="1"/>
  <c r="V1238" i="1"/>
  <c r="Z1237" i="1"/>
  <c r="Y1237" i="1"/>
  <c r="X1237" i="1"/>
  <c r="W1237" i="1"/>
  <c r="V1237" i="1"/>
  <c r="Z1236" i="1"/>
  <c r="Y1236" i="1"/>
  <c r="X1236" i="1"/>
  <c r="W1236" i="1"/>
  <c r="V1236" i="1"/>
  <c r="Z1235" i="1"/>
  <c r="Y1235" i="1"/>
  <c r="X1235" i="1"/>
  <c r="W1235" i="1"/>
  <c r="V1235" i="1"/>
  <c r="Z1234" i="1"/>
  <c r="Y1234" i="1"/>
  <c r="X1234" i="1"/>
  <c r="W1234" i="1"/>
  <c r="V1234" i="1"/>
  <c r="Z1233" i="1"/>
  <c r="Y1233" i="1"/>
  <c r="X1233" i="1"/>
  <c r="W1233" i="1"/>
  <c r="V1233" i="1"/>
  <c r="Z1232" i="1"/>
  <c r="Y1232" i="1"/>
  <c r="X1232" i="1"/>
  <c r="W1232" i="1"/>
  <c r="V1232" i="1"/>
  <c r="Z1231" i="1"/>
  <c r="Y1231" i="1"/>
  <c r="X1231" i="1"/>
  <c r="W1231" i="1"/>
  <c r="V1231" i="1"/>
  <c r="Z1230" i="1"/>
  <c r="Y1230" i="1"/>
  <c r="X1230" i="1"/>
  <c r="W1230" i="1"/>
  <c r="V1230" i="1"/>
  <c r="Z1229" i="1"/>
  <c r="Y1229" i="1"/>
  <c r="X1229" i="1"/>
  <c r="W1229" i="1"/>
  <c r="V1229" i="1"/>
  <c r="Z1228" i="1"/>
  <c r="Y1228" i="1"/>
  <c r="X1228" i="1"/>
  <c r="W1228" i="1"/>
  <c r="V1228" i="1"/>
  <c r="Z1227" i="1"/>
  <c r="Y1227" i="1"/>
  <c r="X1227" i="1"/>
  <c r="W1227" i="1"/>
  <c r="V1227" i="1"/>
  <c r="Z1226" i="1"/>
  <c r="Y1226" i="1"/>
  <c r="X1226" i="1"/>
  <c r="W1226" i="1"/>
  <c r="V1226" i="1"/>
  <c r="Z1225" i="1"/>
  <c r="Y1225" i="1"/>
  <c r="X1225" i="1"/>
  <c r="W1225" i="1"/>
  <c r="V1225" i="1"/>
  <c r="Z1224" i="1"/>
  <c r="Y1224" i="1"/>
  <c r="X1224" i="1"/>
  <c r="W1224" i="1"/>
  <c r="V1224" i="1"/>
  <c r="Z1223" i="1"/>
  <c r="Y1223" i="1"/>
  <c r="X1223" i="1"/>
  <c r="W1223" i="1"/>
  <c r="V1223" i="1"/>
  <c r="Z1222" i="1"/>
  <c r="Y1222" i="1"/>
  <c r="X1222" i="1"/>
  <c r="W1222" i="1"/>
  <c r="V1222" i="1"/>
  <c r="Z1221" i="1"/>
  <c r="Y1221" i="1"/>
  <c r="X1221" i="1"/>
  <c r="W1221" i="1"/>
  <c r="V1221" i="1"/>
  <c r="Z1220" i="1"/>
  <c r="Y1220" i="1"/>
  <c r="X1220" i="1"/>
  <c r="W1220" i="1"/>
  <c r="V1220" i="1"/>
  <c r="Z1219" i="1"/>
  <c r="Y1219" i="1"/>
  <c r="X1219" i="1"/>
  <c r="W1219" i="1"/>
  <c r="V1219" i="1"/>
  <c r="Z1218" i="1"/>
  <c r="Y1218" i="1"/>
  <c r="X1218" i="1"/>
  <c r="W1218" i="1"/>
  <c r="V1218" i="1"/>
  <c r="Z1217" i="1"/>
  <c r="Y1217" i="1"/>
  <c r="X1217" i="1"/>
  <c r="W1217" i="1"/>
  <c r="V1217" i="1"/>
  <c r="Z1216" i="1"/>
  <c r="Y1216" i="1"/>
  <c r="X1216" i="1"/>
  <c r="W1216" i="1"/>
  <c r="V1216" i="1"/>
  <c r="Z1215" i="1"/>
  <c r="Y1215" i="1"/>
  <c r="X1215" i="1"/>
  <c r="W1215" i="1"/>
  <c r="V1215" i="1"/>
  <c r="Z1214" i="1"/>
  <c r="Y1214" i="1"/>
  <c r="X1214" i="1"/>
  <c r="W1214" i="1"/>
  <c r="V1214" i="1"/>
  <c r="Z1213" i="1"/>
  <c r="Y1213" i="1"/>
  <c r="X1213" i="1"/>
  <c r="W1213" i="1"/>
  <c r="V1213" i="1"/>
  <c r="Z1212" i="1"/>
  <c r="Y1212" i="1"/>
  <c r="X1212" i="1"/>
  <c r="W1212" i="1"/>
  <c r="V1212" i="1"/>
  <c r="Z1211" i="1"/>
  <c r="Y1211" i="1"/>
  <c r="X1211" i="1"/>
  <c r="W1211" i="1"/>
  <c r="V1211" i="1"/>
  <c r="Z1210" i="1"/>
  <c r="Y1210" i="1"/>
  <c r="X1210" i="1"/>
  <c r="W1210" i="1"/>
  <c r="V1210" i="1"/>
  <c r="Z1209" i="1"/>
  <c r="Y1209" i="1"/>
  <c r="X1209" i="1"/>
  <c r="W1209" i="1"/>
  <c r="V1209" i="1"/>
  <c r="Z1208" i="1"/>
  <c r="Y1208" i="1"/>
  <c r="X1208" i="1"/>
  <c r="W1208" i="1"/>
  <c r="V1208" i="1"/>
  <c r="Z1207" i="1"/>
  <c r="Y1207" i="1"/>
  <c r="X1207" i="1"/>
  <c r="W1207" i="1"/>
  <c r="V1207" i="1"/>
  <c r="Z1206" i="1"/>
  <c r="Y1206" i="1"/>
  <c r="X1206" i="1"/>
  <c r="W1206" i="1"/>
  <c r="V1206" i="1"/>
  <c r="Z1205" i="1"/>
  <c r="Y1205" i="1"/>
  <c r="X1205" i="1"/>
  <c r="W1205" i="1"/>
  <c r="V1205" i="1"/>
  <c r="Z1204" i="1"/>
  <c r="Y1204" i="1"/>
  <c r="X1204" i="1"/>
  <c r="W1204" i="1"/>
  <c r="V1204" i="1"/>
  <c r="Z1203" i="1"/>
  <c r="Y1203" i="1"/>
  <c r="X1203" i="1"/>
  <c r="W1203" i="1"/>
  <c r="V1203" i="1"/>
  <c r="Z1202" i="1"/>
  <c r="Y1202" i="1"/>
  <c r="X1202" i="1"/>
  <c r="W1202" i="1"/>
  <c r="V1202" i="1"/>
  <c r="Z1201" i="1"/>
  <c r="Y1201" i="1"/>
  <c r="X1201" i="1"/>
  <c r="W1201" i="1"/>
  <c r="V1201" i="1"/>
  <c r="Z1200" i="1"/>
  <c r="Y1200" i="1"/>
  <c r="X1200" i="1"/>
  <c r="W1200" i="1"/>
  <c r="V1200" i="1"/>
  <c r="Z1199" i="1"/>
  <c r="Y1199" i="1"/>
  <c r="X1199" i="1"/>
  <c r="W1199" i="1"/>
  <c r="V1199" i="1"/>
  <c r="Z1198" i="1"/>
  <c r="Y1198" i="1"/>
  <c r="X1198" i="1"/>
  <c r="W1198" i="1"/>
  <c r="V1198" i="1"/>
  <c r="Z1197" i="1"/>
  <c r="Y1197" i="1"/>
  <c r="X1197" i="1"/>
  <c r="W1197" i="1"/>
  <c r="V1197" i="1"/>
  <c r="Z1196" i="1"/>
  <c r="Y1196" i="1"/>
  <c r="X1196" i="1"/>
  <c r="W1196" i="1"/>
  <c r="V1196" i="1"/>
  <c r="Z1195" i="1"/>
  <c r="Y1195" i="1"/>
  <c r="X1195" i="1"/>
  <c r="W1195" i="1"/>
  <c r="V1195" i="1"/>
  <c r="Z1194" i="1"/>
  <c r="Y1194" i="1"/>
  <c r="X1194" i="1"/>
  <c r="W1194" i="1"/>
  <c r="V1194" i="1"/>
  <c r="Z1193" i="1"/>
  <c r="Y1193" i="1"/>
  <c r="X1193" i="1"/>
  <c r="W1193" i="1"/>
  <c r="V1193" i="1"/>
  <c r="Z1192" i="1"/>
  <c r="Y1192" i="1"/>
  <c r="X1192" i="1"/>
  <c r="W1192" i="1"/>
  <c r="V1192" i="1"/>
  <c r="Z1191" i="1"/>
  <c r="Y1191" i="1"/>
  <c r="X1191" i="1"/>
  <c r="W1191" i="1"/>
  <c r="V1191" i="1"/>
  <c r="Z1190" i="1"/>
  <c r="Y1190" i="1"/>
  <c r="X1190" i="1"/>
  <c r="W1190" i="1"/>
  <c r="V1190" i="1"/>
  <c r="Z1189" i="1"/>
  <c r="Y1189" i="1"/>
  <c r="X1189" i="1"/>
  <c r="W1189" i="1"/>
  <c r="V1189" i="1"/>
  <c r="Z1188" i="1"/>
  <c r="Y1188" i="1"/>
  <c r="X1188" i="1"/>
  <c r="W1188" i="1"/>
  <c r="V1188" i="1"/>
  <c r="Z1187" i="1"/>
  <c r="Y1187" i="1"/>
  <c r="X1187" i="1"/>
  <c r="W1187" i="1"/>
  <c r="V1187" i="1"/>
  <c r="Z1186" i="1"/>
  <c r="Y1186" i="1"/>
  <c r="X1186" i="1"/>
  <c r="W1186" i="1"/>
  <c r="V1186" i="1"/>
  <c r="Z1185" i="1"/>
  <c r="Y1185" i="1"/>
  <c r="X1185" i="1"/>
  <c r="W1185" i="1"/>
  <c r="V1185" i="1"/>
  <c r="Z1184" i="1"/>
  <c r="Y1184" i="1"/>
  <c r="X1184" i="1"/>
  <c r="W1184" i="1"/>
  <c r="V1184" i="1"/>
  <c r="Z1183" i="1"/>
  <c r="Y1183" i="1"/>
  <c r="X1183" i="1"/>
  <c r="W1183" i="1"/>
  <c r="V1183" i="1"/>
  <c r="Z1182" i="1"/>
  <c r="Y1182" i="1"/>
  <c r="X1182" i="1"/>
  <c r="W1182" i="1"/>
  <c r="V1182" i="1"/>
  <c r="Z1181" i="1"/>
  <c r="Y1181" i="1"/>
  <c r="X1181" i="1"/>
  <c r="W1181" i="1"/>
  <c r="V1181" i="1"/>
  <c r="Z1180" i="1"/>
  <c r="Y1180" i="1"/>
  <c r="X1180" i="1"/>
  <c r="W1180" i="1"/>
  <c r="V1180" i="1"/>
  <c r="Z1179" i="1"/>
  <c r="Y1179" i="1"/>
  <c r="X1179" i="1"/>
  <c r="W1179" i="1"/>
  <c r="V1179" i="1"/>
  <c r="Z1178" i="1"/>
  <c r="Y1178" i="1"/>
  <c r="X1178" i="1"/>
  <c r="W1178" i="1"/>
  <c r="V1178" i="1"/>
  <c r="Z1177" i="1"/>
  <c r="Y1177" i="1"/>
  <c r="X1177" i="1"/>
  <c r="W1177" i="1"/>
  <c r="V1177" i="1"/>
  <c r="Z1176" i="1"/>
  <c r="Y1176" i="1"/>
  <c r="X1176" i="1"/>
  <c r="W1176" i="1"/>
  <c r="V1176" i="1"/>
  <c r="Z1175" i="1"/>
  <c r="Y1175" i="1"/>
  <c r="X1175" i="1"/>
  <c r="W1175" i="1"/>
  <c r="V1175" i="1"/>
  <c r="Z1174" i="1"/>
  <c r="Y1174" i="1"/>
  <c r="X1174" i="1"/>
  <c r="W1174" i="1"/>
  <c r="V1174" i="1"/>
  <c r="Z1173" i="1"/>
  <c r="Y1173" i="1"/>
  <c r="X1173" i="1"/>
  <c r="W1173" i="1"/>
  <c r="V1173" i="1"/>
  <c r="Z1172" i="1"/>
  <c r="Y1172" i="1"/>
  <c r="X1172" i="1"/>
  <c r="W1172" i="1"/>
  <c r="V1172" i="1"/>
  <c r="Z1171" i="1"/>
  <c r="Y1171" i="1"/>
  <c r="X1171" i="1"/>
  <c r="W1171" i="1"/>
  <c r="V1171" i="1"/>
  <c r="Z1170" i="1"/>
  <c r="Y1170" i="1"/>
  <c r="X1170" i="1"/>
  <c r="W1170" i="1"/>
  <c r="V1170" i="1"/>
  <c r="Z1169" i="1"/>
  <c r="Y1169" i="1"/>
  <c r="X1169" i="1"/>
  <c r="W1169" i="1"/>
  <c r="V1169" i="1"/>
  <c r="Z1168" i="1"/>
  <c r="Y1168" i="1"/>
  <c r="X1168" i="1"/>
  <c r="W1168" i="1"/>
  <c r="V1168" i="1"/>
  <c r="Z1167" i="1"/>
  <c r="Y1167" i="1"/>
  <c r="X1167" i="1"/>
  <c r="W1167" i="1"/>
  <c r="V1167" i="1"/>
  <c r="Z1166" i="1"/>
  <c r="Y1166" i="1"/>
  <c r="X1166" i="1"/>
  <c r="W1166" i="1"/>
  <c r="V1166" i="1"/>
  <c r="Z1165" i="1"/>
  <c r="Y1165" i="1"/>
  <c r="X1165" i="1"/>
  <c r="W1165" i="1"/>
  <c r="V1165" i="1"/>
  <c r="Z1164" i="1"/>
  <c r="Y1164" i="1"/>
  <c r="X1164" i="1"/>
  <c r="W1164" i="1"/>
  <c r="V1164" i="1"/>
  <c r="Z1163" i="1"/>
  <c r="Y1163" i="1"/>
  <c r="X1163" i="1"/>
  <c r="W1163" i="1"/>
  <c r="V1163" i="1"/>
  <c r="Z1162" i="1"/>
  <c r="Y1162" i="1"/>
  <c r="X1162" i="1"/>
  <c r="W1162" i="1"/>
  <c r="V1162" i="1"/>
  <c r="Z1161" i="1"/>
  <c r="Y1161" i="1"/>
  <c r="X1161" i="1"/>
  <c r="W1161" i="1"/>
  <c r="V1161" i="1"/>
  <c r="Z1160" i="1"/>
  <c r="Y1160" i="1"/>
  <c r="X1160" i="1"/>
  <c r="W1160" i="1"/>
  <c r="V1160" i="1"/>
  <c r="Z1159" i="1"/>
  <c r="Y1159" i="1"/>
  <c r="X1159" i="1"/>
  <c r="W1159" i="1"/>
  <c r="V1159" i="1"/>
  <c r="Z1158" i="1"/>
  <c r="Y1158" i="1"/>
  <c r="X1158" i="1"/>
  <c r="W1158" i="1"/>
  <c r="V1158" i="1"/>
  <c r="Z1157" i="1"/>
  <c r="Y1157" i="1"/>
  <c r="X1157" i="1"/>
  <c r="W1157" i="1"/>
  <c r="V1157" i="1"/>
  <c r="Z1156" i="1"/>
  <c r="Y1156" i="1"/>
  <c r="X1156" i="1"/>
  <c r="W1156" i="1"/>
  <c r="V1156" i="1"/>
  <c r="Z1155" i="1"/>
  <c r="Y1155" i="1"/>
  <c r="X1155" i="1"/>
  <c r="W1155" i="1"/>
  <c r="V1155" i="1"/>
  <c r="Z1154" i="1"/>
  <c r="Y1154" i="1"/>
  <c r="X1154" i="1"/>
  <c r="W1154" i="1"/>
  <c r="V1154" i="1"/>
  <c r="Z1153" i="1"/>
  <c r="Y1153" i="1"/>
  <c r="X1153" i="1"/>
  <c r="W1153" i="1"/>
  <c r="V1153" i="1"/>
  <c r="Z1152" i="1"/>
  <c r="Y1152" i="1"/>
  <c r="X1152" i="1"/>
  <c r="W1152" i="1"/>
  <c r="V1152" i="1"/>
  <c r="Z1151" i="1"/>
  <c r="Y1151" i="1"/>
  <c r="X1151" i="1"/>
  <c r="W1151" i="1"/>
  <c r="V1151" i="1"/>
  <c r="Z1150" i="1"/>
  <c r="Y1150" i="1"/>
  <c r="X1150" i="1"/>
  <c r="W1150" i="1"/>
  <c r="V1150" i="1"/>
  <c r="Z1149" i="1"/>
  <c r="Y1149" i="1"/>
  <c r="X1149" i="1"/>
  <c r="W1149" i="1"/>
  <c r="V1149" i="1"/>
  <c r="Z1148" i="1"/>
  <c r="Y1148" i="1"/>
  <c r="X1148" i="1"/>
  <c r="W1148" i="1"/>
  <c r="V1148" i="1"/>
  <c r="Z1147" i="1"/>
  <c r="Y1147" i="1"/>
  <c r="X1147" i="1"/>
  <c r="W1147" i="1"/>
  <c r="V1147" i="1"/>
  <c r="Z1146" i="1"/>
  <c r="Y1146" i="1"/>
  <c r="X1146" i="1"/>
  <c r="W1146" i="1"/>
  <c r="V1146" i="1"/>
  <c r="Z1145" i="1"/>
  <c r="Y1145" i="1"/>
  <c r="X1145" i="1"/>
  <c r="W1145" i="1"/>
  <c r="V1145" i="1"/>
  <c r="Z1144" i="1"/>
  <c r="Y1144" i="1"/>
  <c r="X1144" i="1"/>
  <c r="W1144" i="1"/>
  <c r="V1144" i="1"/>
  <c r="Z1143" i="1"/>
  <c r="Y1143" i="1"/>
  <c r="X1143" i="1"/>
  <c r="W1143" i="1"/>
  <c r="V1143" i="1"/>
  <c r="Z1142" i="1"/>
  <c r="Y1142" i="1"/>
  <c r="X1142" i="1"/>
  <c r="W1142" i="1"/>
  <c r="V1142" i="1"/>
  <c r="Z1141" i="1"/>
  <c r="Y1141" i="1"/>
  <c r="X1141" i="1"/>
  <c r="W1141" i="1"/>
  <c r="V1141" i="1"/>
  <c r="Z1140" i="1"/>
  <c r="Y1140" i="1"/>
  <c r="X1140" i="1"/>
  <c r="W1140" i="1"/>
  <c r="V1140" i="1"/>
  <c r="Z1139" i="1"/>
  <c r="Y1139" i="1"/>
  <c r="X1139" i="1"/>
  <c r="W1139" i="1"/>
  <c r="V1139" i="1"/>
  <c r="Z1138" i="1"/>
  <c r="Y1138" i="1"/>
  <c r="X1138" i="1"/>
  <c r="W1138" i="1"/>
  <c r="V1138" i="1"/>
  <c r="Z1137" i="1"/>
  <c r="Y1137" i="1"/>
  <c r="X1137" i="1"/>
  <c r="W1137" i="1"/>
  <c r="V1137" i="1"/>
  <c r="Z1136" i="1"/>
  <c r="Y1136" i="1"/>
  <c r="X1136" i="1"/>
  <c r="W1136" i="1"/>
  <c r="V1136" i="1"/>
  <c r="Z1135" i="1"/>
  <c r="Y1135" i="1"/>
  <c r="X1135" i="1"/>
  <c r="W1135" i="1"/>
  <c r="V1135" i="1"/>
  <c r="Z1134" i="1"/>
  <c r="Y1134" i="1"/>
  <c r="X1134" i="1"/>
  <c r="W1134" i="1"/>
  <c r="V1134" i="1"/>
  <c r="Z1133" i="1"/>
  <c r="Y1133" i="1"/>
  <c r="X1133" i="1"/>
  <c r="W1133" i="1"/>
  <c r="V1133" i="1"/>
  <c r="Z1132" i="1"/>
  <c r="Y1132" i="1"/>
  <c r="X1132" i="1"/>
  <c r="W1132" i="1"/>
  <c r="V1132" i="1"/>
  <c r="Z1131" i="1"/>
  <c r="Y1131" i="1"/>
  <c r="X1131" i="1"/>
  <c r="W1131" i="1"/>
  <c r="V1131" i="1"/>
  <c r="Z1130" i="1"/>
  <c r="Y1130" i="1"/>
  <c r="X1130" i="1"/>
  <c r="W1130" i="1"/>
  <c r="V1130" i="1"/>
  <c r="Z1129" i="1"/>
  <c r="Y1129" i="1"/>
  <c r="X1129" i="1"/>
  <c r="W1129" i="1"/>
  <c r="V1129" i="1"/>
  <c r="Z1128" i="1"/>
  <c r="Y1128" i="1"/>
  <c r="X1128" i="1"/>
  <c r="W1128" i="1"/>
  <c r="V1128" i="1"/>
  <c r="Z1127" i="1"/>
  <c r="Y1127" i="1"/>
  <c r="X1127" i="1"/>
  <c r="W1127" i="1"/>
  <c r="V1127" i="1"/>
  <c r="Z1126" i="1"/>
  <c r="Y1126" i="1"/>
  <c r="X1126" i="1"/>
  <c r="W1126" i="1"/>
  <c r="V1126" i="1"/>
  <c r="Z1125" i="1"/>
  <c r="Y1125" i="1"/>
  <c r="X1125" i="1"/>
  <c r="W1125" i="1"/>
  <c r="V1125" i="1"/>
  <c r="Z1124" i="1"/>
  <c r="Y1124" i="1"/>
  <c r="X1124" i="1"/>
  <c r="W1124" i="1"/>
  <c r="V1124" i="1"/>
  <c r="Z1123" i="1"/>
  <c r="Y1123" i="1"/>
  <c r="X1123" i="1"/>
  <c r="W1123" i="1"/>
  <c r="V1123" i="1"/>
  <c r="Z1122" i="1"/>
  <c r="Y1122" i="1"/>
  <c r="X1122" i="1"/>
  <c r="W1122" i="1"/>
  <c r="V1122" i="1"/>
  <c r="Z1121" i="1"/>
  <c r="Y1121" i="1"/>
  <c r="X1121" i="1"/>
  <c r="W1121" i="1"/>
  <c r="V1121" i="1"/>
  <c r="Z1120" i="1"/>
  <c r="Y1120" i="1"/>
  <c r="X1120" i="1"/>
  <c r="W1120" i="1"/>
  <c r="V1120" i="1"/>
  <c r="Z1119" i="1"/>
  <c r="Y1119" i="1"/>
  <c r="X1119" i="1"/>
  <c r="W1119" i="1"/>
  <c r="V1119" i="1"/>
  <c r="Z1118" i="1"/>
  <c r="Y1118" i="1"/>
  <c r="X1118" i="1"/>
  <c r="W1118" i="1"/>
  <c r="V1118" i="1"/>
  <c r="Z1117" i="1"/>
  <c r="Y1117" i="1"/>
  <c r="X1117" i="1"/>
  <c r="W1117" i="1"/>
  <c r="V1117" i="1"/>
  <c r="Z1116" i="1"/>
  <c r="Y1116" i="1"/>
  <c r="X1116" i="1"/>
  <c r="W1116" i="1"/>
  <c r="V1116" i="1"/>
  <c r="Z1115" i="1"/>
  <c r="Y1115" i="1"/>
  <c r="X1115" i="1"/>
  <c r="W1115" i="1"/>
  <c r="V1115" i="1"/>
  <c r="Z1114" i="1"/>
  <c r="Y1114" i="1"/>
  <c r="X1114" i="1"/>
  <c r="W1114" i="1"/>
  <c r="V1114" i="1"/>
  <c r="Z1113" i="1"/>
  <c r="Y1113" i="1"/>
  <c r="X1113" i="1"/>
  <c r="W1113" i="1"/>
  <c r="V1113" i="1"/>
  <c r="Z1112" i="1"/>
  <c r="Y1112" i="1"/>
  <c r="X1112" i="1"/>
  <c r="W1112" i="1"/>
  <c r="V1112" i="1"/>
  <c r="Z1111" i="1"/>
  <c r="Y1111" i="1"/>
  <c r="X1111" i="1"/>
  <c r="W1111" i="1"/>
  <c r="V1111" i="1"/>
  <c r="Z1110" i="1"/>
  <c r="Y1110" i="1"/>
  <c r="X1110" i="1"/>
  <c r="W1110" i="1"/>
  <c r="V1110" i="1"/>
  <c r="Z1109" i="1"/>
  <c r="Y1109" i="1"/>
  <c r="X1109" i="1"/>
  <c r="W1109" i="1"/>
  <c r="V1109" i="1"/>
  <c r="Z1108" i="1"/>
  <c r="Y1108" i="1"/>
  <c r="X1108" i="1"/>
  <c r="W1108" i="1"/>
  <c r="V1108" i="1"/>
  <c r="Z1107" i="1"/>
  <c r="Y1107" i="1"/>
  <c r="X1107" i="1"/>
  <c r="W1107" i="1"/>
  <c r="V1107" i="1"/>
  <c r="Z1106" i="1"/>
  <c r="Y1106" i="1"/>
  <c r="X1106" i="1"/>
  <c r="W1106" i="1"/>
  <c r="V1106" i="1"/>
  <c r="Z1105" i="1"/>
  <c r="Y1105" i="1"/>
  <c r="X1105" i="1"/>
  <c r="W1105" i="1"/>
  <c r="V1105" i="1"/>
  <c r="Z1104" i="1"/>
  <c r="Y1104" i="1"/>
  <c r="X1104" i="1"/>
  <c r="W1104" i="1"/>
  <c r="V1104" i="1"/>
  <c r="Z1103" i="1"/>
  <c r="Y1103" i="1"/>
  <c r="X1103" i="1"/>
  <c r="W1103" i="1"/>
  <c r="V1103" i="1"/>
  <c r="Z1102" i="1"/>
  <c r="Y1102" i="1"/>
  <c r="X1102" i="1"/>
  <c r="W1102" i="1"/>
  <c r="V1102" i="1"/>
  <c r="Z1101" i="1"/>
  <c r="Y1101" i="1"/>
  <c r="X1101" i="1"/>
  <c r="W1101" i="1"/>
  <c r="V1101" i="1"/>
  <c r="Z1100" i="1"/>
  <c r="Y1100" i="1"/>
  <c r="X1100" i="1"/>
  <c r="W1100" i="1"/>
  <c r="V1100" i="1"/>
  <c r="Z1099" i="1"/>
  <c r="Y1099" i="1"/>
  <c r="X1099" i="1"/>
  <c r="W1099" i="1"/>
  <c r="V1099" i="1"/>
  <c r="Z1098" i="1"/>
  <c r="Y1098" i="1"/>
  <c r="X1098" i="1"/>
  <c r="W1098" i="1"/>
  <c r="V1098" i="1"/>
  <c r="Z1097" i="1"/>
  <c r="Y1097" i="1"/>
  <c r="X1097" i="1"/>
  <c r="W1097" i="1"/>
  <c r="V1097" i="1"/>
  <c r="Z1096" i="1"/>
  <c r="Y1096" i="1"/>
  <c r="X1096" i="1"/>
  <c r="W1096" i="1"/>
  <c r="V1096" i="1"/>
  <c r="Z1095" i="1"/>
  <c r="Y1095" i="1"/>
  <c r="X1095" i="1"/>
  <c r="W1095" i="1"/>
  <c r="V1095" i="1"/>
  <c r="Z1094" i="1"/>
  <c r="Y1094" i="1"/>
  <c r="X1094" i="1"/>
  <c r="W1094" i="1"/>
  <c r="V1094" i="1"/>
  <c r="Z1093" i="1"/>
  <c r="Y1093" i="1"/>
  <c r="X1093" i="1"/>
  <c r="W1093" i="1"/>
  <c r="V1093" i="1"/>
  <c r="Z1092" i="1"/>
  <c r="Y1092" i="1"/>
  <c r="X1092" i="1"/>
  <c r="W1092" i="1"/>
  <c r="V1092" i="1"/>
  <c r="Z1091" i="1"/>
  <c r="Y1091" i="1"/>
  <c r="X1091" i="1"/>
  <c r="W1091" i="1"/>
  <c r="V1091" i="1"/>
  <c r="Z1090" i="1"/>
  <c r="Y1090" i="1"/>
  <c r="X1090" i="1"/>
  <c r="W1090" i="1"/>
  <c r="V1090" i="1"/>
  <c r="Z1089" i="1"/>
  <c r="Y1089" i="1"/>
  <c r="X1089" i="1"/>
  <c r="W1089" i="1"/>
  <c r="V1089" i="1"/>
  <c r="Z1088" i="1"/>
  <c r="Y1088" i="1"/>
  <c r="X1088" i="1"/>
  <c r="W1088" i="1"/>
  <c r="V1088" i="1"/>
  <c r="Z1087" i="1"/>
  <c r="Y1087" i="1"/>
  <c r="X1087" i="1"/>
  <c r="W1087" i="1"/>
  <c r="V1087" i="1"/>
  <c r="Z1086" i="1"/>
  <c r="Y1086" i="1"/>
  <c r="X1086" i="1"/>
  <c r="W1086" i="1"/>
  <c r="V1086" i="1"/>
  <c r="Z1085" i="1"/>
  <c r="Y1085" i="1"/>
  <c r="X1085" i="1"/>
  <c r="W1085" i="1"/>
  <c r="V1085" i="1"/>
  <c r="Z1084" i="1"/>
  <c r="Y1084" i="1"/>
  <c r="X1084" i="1"/>
  <c r="W1084" i="1"/>
  <c r="V1084" i="1"/>
  <c r="Z1083" i="1"/>
  <c r="Y1083" i="1"/>
  <c r="X1083" i="1"/>
  <c r="W1083" i="1"/>
  <c r="V1083" i="1"/>
  <c r="Z1082" i="1"/>
  <c r="Y1082" i="1"/>
  <c r="X1082" i="1"/>
  <c r="W1082" i="1"/>
  <c r="V1082" i="1"/>
  <c r="Z1081" i="1"/>
  <c r="Y1081" i="1"/>
  <c r="X1081" i="1"/>
  <c r="W1081" i="1"/>
  <c r="V1081" i="1"/>
  <c r="Z1080" i="1"/>
  <c r="Y1080" i="1"/>
  <c r="X1080" i="1"/>
  <c r="W1080" i="1"/>
  <c r="V1080" i="1"/>
  <c r="Z1079" i="1"/>
  <c r="Y1079" i="1"/>
  <c r="X1079" i="1"/>
  <c r="W1079" i="1"/>
  <c r="V1079" i="1"/>
  <c r="Z1078" i="1"/>
  <c r="Y1078" i="1"/>
  <c r="X1078" i="1"/>
  <c r="W1078" i="1"/>
  <c r="V1078" i="1"/>
  <c r="Z1077" i="1"/>
  <c r="Y1077" i="1"/>
  <c r="X1077" i="1"/>
  <c r="W1077" i="1"/>
  <c r="V1077" i="1"/>
  <c r="Z1076" i="1"/>
  <c r="Y1076" i="1"/>
  <c r="X1076" i="1"/>
  <c r="W1076" i="1"/>
  <c r="V1076" i="1"/>
  <c r="Z1075" i="1"/>
  <c r="Y1075" i="1"/>
  <c r="X1075" i="1"/>
  <c r="W1075" i="1"/>
  <c r="V1075" i="1"/>
  <c r="Z1074" i="1"/>
  <c r="Y1074" i="1"/>
  <c r="X1074" i="1"/>
  <c r="W1074" i="1"/>
  <c r="V1074" i="1"/>
  <c r="Z1073" i="1"/>
  <c r="Y1073" i="1"/>
  <c r="X1073" i="1"/>
  <c r="W1073" i="1"/>
  <c r="V1073" i="1"/>
  <c r="Z1072" i="1"/>
  <c r="Y1072" i="1"/>
  <c r="X1072" i="1"/>
  <c r="W1072" i="1"/>
  <c r="V1072" i="1"/>
  <c r="Z1071" i="1"/>
  <c r="Y1071" i="1"/>
  <c r="X1071" i="1"/>
  <c r="W1071" i="1"/>
  <c r="V1071" i="1"/>
  <c r="Z1070" i="1"/>
  <c r="Y1070" i="1"/>
  <c r="X1070" i="1"/>
  <c r="W1070" i="1"/>
  <c r="V1070" i="1"/>
  <c r="Z1069" i="1"/>
  <c r="Y1069" i="1"/>
  <c r="X1069" i="1"/>
  <c r="W1069" i="1"/>
  <c r="V1069" i="1"/>
  <c r="Z1068" i="1"/>
  <c r="Y1068" i="1"/>
  <c r="X1068" i="1"/>
  <c r="W1068" i="1"/>
  <c r="V1068" i="1"/>
  <c r="Z1067" i="1"/>
  <c r="Y1067" i="1"/>
  <c r="X1067" i="1"/>
  <c r="W1067" i="1"/>
  <c r="V1067" i="1"/>
  <c r="Z1066" i="1"/>
  <c r="Y1066" i="1"/>
  <c r="X1066" i="1"/>
  <c r="W1066" i="1"/>
  <c r="V1066" i="1"/>
  <c r="Z1065" i="1"/>
  <c r="Y1065" i="1"/>
  <c r="X1065" i="1"/>
  <c r="W1065" i="1"/>
  <c r="V1065" i="1"/>
  <c r="Z1064" i="1"/>
  <c r="Y1064" i="1"/>
  <c r="X1064" i="1"/>
  <c r="W1064" i="1"/>
  <c r="V1064" i="1"/>
  <c r="Z1063" i="1"/>
  <c r="Y1063" i="1"/>
  <c r="X1063" i="1"/>
  <c r="W1063" i="1"/>
  <c r="V1063" i="1"/>
  <c r="Z1062" i="1"/>
  <c r="Y1062" i="1"/>
  <c r="X1062" i="1"/>
  <c r="W1062" i="1"/>
  <c r="V1062" i="1"/>
  <c r="Z1061" i="1"/>
  <c r="Y1061" i="1"/>
  <c r="X1061" i="1"/>
  <c r="W1061" i="1"/>
  <c r="V1061" i="1"/>
  <c r="Z1060" i="1"/>
  <c r="Y1060" i="1"/>
  <c r="X1060" i="1"/>
  <c r="W1060" i="1"/>
  <c r="V1060" i="1"/>
  <c r="Z1059" i="1"/>
  <c r="Y1059" i="1"/>
  <c r="X1059" i="1"/>
  <c r="W1059" i="1"/>
  <c r="V1059" i="1"/>
  <c r="Z1058" i="1"/>
  <c r="Y1058" i="1"/>
  <c r="X1058" i="1"/>
  <c r="W1058" i="1"/>
  <c r="V1058" i="1"/>
  <c r="Z1057" i="1"/>
  <c r="Y1057" i="1"/>
  <c r="X1057" i="1"/>
  <c r="W1057" i="1"/>
  <c r="V1057" i="1"/>
  <c r="Z1056" i="1"/>
  <c r="Y1056" i="1"/>
  <c r="X1056" i="1"/>
  <c r="W1056" i="1"/>
  <c r="V1056" i="1"/>
  <c r="Z1055" i="1"/>
  <c r="Y1055" i="1"/>
  <c r="X1055" i="1"/>
  <c r="W1055" i="1"/>
  <c r="V1055" i="1"/>
  <c r="Z1054" i="1"/>
  <c r="Y1054" i="1"/>
  <c r="X1054" i="1"/>
  <c r="W1054" i="1"/>
  <c r="V1054" i="1"/>
  <c r="Z1053" i="1"/>
  <c r="Y1053" i="1"/>
  <c r="X1053" i="1"/>
  <c r="W1053" i="1"/>
  <c r="V1053" i="1"/>
  <c r="Z1052" i="1"/>
  <c r="Y1052" i="1"/>
  <c r="X1052" i="1"/>
  <c r="W1052" i="1"/>
  <c r="V1052" i="1"/>
  <c r="Z1051" i="1"/>
  <c r="Y1051" i="1"/>
  <c r="X1051" i="1"/>
  <c r="W1051" i="1"/>
  <c r="V1051" i="1"/>
  <c r="Z1050" i="1"/>
  <c r="Y1050" i="1"/>
  <c r="X1050" i="1"/>
  <c r="W1050" i="1"/>
  <c r="V1050" i="1"/>
  <c r="Z1049" i="1"/>
  <c r="Y1049" i="1"/>
  <c r="X1049" i="1"/>
  <c r="W1049" i="1"/>
  <c r="V1049" i="1"/>
  <c r="Z1048" i="1"/>
  <c r="Y1048" i="1"/>
  <c r="X1048" i="1"/>
  <c r="W1048" i="1"/>
  <c r="V1048" i="1"/>
  <c r="Z1047" i="1"/>
  <c r="Y1047" i="1"/>
  <c r="X1047" i="1"/>
  <c r="W1047" i="1"/>
  <c r="V1047" i="1"/>
  <c r="Z1046" i="1"/>
  <c r="Y1046" i="1"/>
  <c r="X1046" i="1"/>
  <c r="W1046" i="1"/>
  <c r="V1046" i="1"/>
  <c r="Z1045" i="1"/>
  <c r="Y1045" i="1"/>
  <c r="X1045" i="1"/>
  <c r="W1045" i="1"/>
  <c r="V1045" i="1"/>
  <c r="Z1044" i="1"/>
  <c r="Y1044" i="1"/>
  <c r="X1044" i="1"/>
  <c r="W1044" i="1"/>
  <c r="V1044" i="1"/>
  <c r="Z1043" i="1"/>
  <c r="Y1043" i="1"/>
  <c r="X1043" i="1"/>
  <c r="W1043" i="1"/>
  <c r="V1043" i="1"/>
  <c r="Z1042" i="1"/>
  <c r="Y1042" i="1"/>
  <c r="X1042" i="1"/>
  <c r="W1042" i="1"/>
  <c r="V1042" i="1"/>
  <c r="Z1041" i="1"/>
  <c r="Y1041" i="1"/>
  <c r="X1041" i="1"/>
  <c r="W1041" i="1"/>
  <c r="V1041" i="1"/>
  <c r="Z1040" i="1"/>
  <c r="Y1040" i="1"/>
  <c r="X1040" i="1"/>
  <c r="W1040" i="1"/>
  <c r="V1040" i="1"/>
  <c r="Z1039" i="1"/>
  <c r="Y1039" i="1"/>
  <c r="X1039" i="1"/>
  <c r="W1039" i="1"/>
  <c r="V1039" i="1"/>
  <c r="Z1038" i="1"/>
  <c r="Y1038" i="1"/>
  <c r="X1038" i="1"/>
  <c r="W1038" i="1"/>
  <c r="V1038" i="1"/>
  <c r="Z1037" i="1"/>
  <c r="Y1037" i="1"/>
  <c r="X1037" i="1"/>
  <c r="W1037" i="1"/>
  <c r="V1037" i="1"/>
  <c r="Z1036" i="1"/>
  <c r="Y1036" i="1"/>
  <c r="X1036" i="1"/>
  <c r="W1036" i="1"/>
  <c r="V1036" i="1"/>
  <c r="Z1035" i="1"/>
  <c r="Y1035" i="1"/>
  <c r="X1035" i="1"/>
  <c r="W1035" i="1"/>
  <c r="V1035" i="1"/>
  <c r="Z1034" i="1"/>
  <c r="Y1034" i="1"/>
  <c r="X1034" i="1"/>
  <c r="W1034" i="1"/>
  <c r="V1034" i="1"/>
  <c r="Z1033" i="1"/>
  <c r="Y1033" i="1"/>
  <c r="X1033" i="1"/>
  <c r="W1033" i="1"/>
  <c r="V1033" i="1"/>
  <c r="Z1032" i="1"/>
  <c r="Y1032" i="1"/>
  <c r="X1032" i="1"/>
  <c r="W1032" i="1"/>
  <c r="V1032" i="1"/>
  <c r="Z1031" i="1"/>
  <c r="Y1031" i="1"/>
  <c r="X1031" i="1"/>
  <c r="W1031" i="1"/>
  <c r="V1031" i="1"/>
  <c r="Z1030" i="1"/>
  <c r="Y1030" i="1"/>
  <c r="X1030" i="1"/>
  <c r="W1030" i="1"/>
  <c r="V1030" i="1"/>
  <c r="Z1029" i="1"/>
  <c r="Y1029" i="1"/>
  <c r="X1029" i="1"/>
  <c r="W1029" i="1"/>
  <c r="V1029" i="1"/>
  <c r="Z1028" i="1"/>
  <c r="Y1028" i="1"/>
  <c r="X1028" i="1"/>
  <c r="W1028" i="1"/>
  <c r="V1028" i="1"/>
  <c r="Z1027" i="1"/>
  <c r="Y1027" i="1"/>
  <c r="X1027" i="1"/>
  <c r="W1027" i="1"/>
  <c r="V1027" i="1"/>
  <c r="Z1026" i="1"/>
  <c r="Y1026" i="1"/>
  <c r="X1026" i="1"/>
  <c r="W1026" i="1"/>
  <c r="V1026" i="1"/>
  <c r="Z1025" i="1"/>
  <c r="Y1025" i="1"/>
  <c r="X1025" i="1"/>
  <c r="W1025" i="1"/>
  <c r="V1025" i="1"/>
  <c r="Z1024" i="1"/>
  <c r="Y1024" i="1"/>
  <c r="X1024" i="1"/>
  <c r="W1024" i="1"/>
  <c r="V1024" i="1"/>
  <c r="Z1023" i="1"/>
  <c r="Y1023" i="1"/>
  <c r="X1023" i="1"/>
  <c r="W1023" i="1"/>
  <c r="V1023" i="1"/>
  <c r="Z1022" i="1"/>
  <c r="Y1022" i="1"/>
  <c r="X1022" i="1"/>
  <c r="W1022" i="1"/>
  <c r="V1022" i="1"/>
  <c r="Z1021" i="1"/>
  <c r="Y1021" i="1"/>
  <c r="X1021" i="1"/>
  <c r="W1021" i="1"/>
  <c r="V1021" i="1"/>
  <c r="Z1020" i="1"/>
  <c r="Y1020" i="1"/>
  <c r="X1020" i="1"/>
  <c r="W1020" i="1"/>
  <c r="V1020" i="1"/>
  <c r="Z1019" i="1"/>
  <c r="Y1019" i="1"/>
  <c r="X1019" i="1"/>
  <c r="W1019" i="1"/>
  <c r="V1019" i="1"/>
  <c r="Z1018" i="1"/>
  <c r="Y1018" i="1"/>
  <c r="X1018" i="1"/>
  <c r="W1018" i="1"/>
  <c r="V1018" i="1"/>
  <c r="Z1017" i="1"/>
  <c r="Y1017" i="1"/>
  <c r="X1017" i="1"/>
  <c r="W1017" i="1"/>
  <c r="V1017" i="1"/>
  <c r="Z1016" i="1"/>
  <c r="Y1016" i="1"/>
  <c r="X1016" i="1"/>
  <c r="W1016" i="1"/>
  <c r="V1016" i="1"/>
  <c r="Z1015" i="1"/>
  <c r="Y1015" i="1"/>
  <c r="X1015" i="1"/>
  <c r="W1015" i="1"/>
  <c r="V1015" i="1"/>
  <c r="Z1014" i="1"/>
  <c r="Y1014" i="1"/>
  <c r="X1014" i="1"/>
  <c r="W1014" i="1"/>
  <c r="V1014" i="1"/>
  <c r="Z1013" i="1"/>
  <c r="Y1013" i="1"/>
  <c r="X1013" i="1"/>
  <c r="W1013" i="1"/>
  <c r="V1013" i="1"/>
  <c r="Z1012" i="1"/>
  <c r="Y1012" i="1"/>
  <c r="X1012" i="1"/>
  <c r="W1012" i="1"/>
  <c r="V1012" i="1"/>
  <c r="Z1011" i="1"/>
  <c r="Y1011" i="1"/>
  <c r="X1011" i="1"/>
  <c r="W1011" i="1"/>
  <c r="V1011" i="1"/>
  <c r="Z1010" i="1"/>
  <c r="Y1010" i="1"/>
  <c r="X1010" i="1"/>
  <c r="W1010" i="1"/>
  <c r="V1010" i="1"/>
  <c r="Z1009" i="1"/>
  <c r="Y1009" i="1"/>
  <c r="X1009" i="1"/>
  <c r="W1009" i="1"/>
  <c r="V1009" i="1"/>
  <c r="Z1008" i="1"/>
  <c r="Y1008" i="1"/>
  <c r="X1008" i="1"/>
  <c r="W1008" i="1"/>
  <c r="V1008" i="1"/>
  <c r="Z1007" i="1"/>
  <c r="Y1007" i="1"/>
  <c r="X1007" i="1"/>
  <c r="W1007" i="1"/>
  <c r="V1007" i="1"/>
  <c r="Z1006" i="1"/>
  <c r="Y1006" i="1"/>
  <c r="X1006" i="1"/>
  <c r="W1006" i="1"/>
  <c r="V1006" i="1"/>
  <c r="Z1005" i="1"/>
  <c r="Y1005" i="1"/>
  <c r="X1005" i="1"/>
  <c r="W1005" i="1"/>
  <c r="V1005" i="1"/>
  <c r="Z1004" i="1"/>
  <c r="Y1004" i="1"/>
  <c r="X1004" i="1"/>
  <c r="W1004" i="1"/>
  <c r="V1004" i="1"/>
  <c r="Z1003" i="1"/>
  <c r="Y1003" i="1"/>
  <c r="X1003" i="1"/>
  <c r="W1003" i="1"/>
  <c r="V1003" i="1"/>
  <c r="Z1002" i="1"/>
  <c r="Y1002" i="1"/>
  <c r="X1002" i="1"/>
  <c r="W1002" i="1"/>
  <c r="V1002" i="1"/>
  <c r="Z1001" i="1"/>
  <c r="Y1001" i="1"/>
  <c r="X1001" i="1"/>
  <c r="W1001" i="1"/>
  <c r="V1001" i="1"/>
  <c r="Z1000" i="1"/>
  <c r="Y1000" i="1"/>
  <c r="X1000" i="1"/>
  <c r="W1000" i="1"/>
  <c r="V1000" i="1"/>
  <c r="Z999" i="1"/>
  <c r="Y999" i="1"/>
  <c r="X999" i="1"/>
  <c r="W999" i="1"/>
  <c r="V999" i="1"/>
  <c r="Z998" i="1"/>
  <c r="Y998" i="1"/>
  <c r="X998" i="1"/>
  <c r="W998" i="1"/>
  <c r="V998" i="1"/>
  <c r="Z997" i="1"/>
  <c r="Y997" i="1"/>
  <c r="X997" i="1"/>
  <c r="W997" i="1"/>
  <c r="V997" i="1"/>
  <c r="Z996" i="1"/>
  <c r="Y996" i="1"/>
  <c r="X996" i="1"/>
  <c r="W996" i="1"/>
  <c r="V996" i="1"/>
  <c r="Z995" i="1"/>
  <c r="Y995" i="1"/>
  <c r="X995" i="1"/>
  <c r="W995" i="1"/>
  <c r="V995" i="1"/>
  <c r="Z994" i="1"/>
  <c r="Y994" i="1"/>
  <c r="X994" i="1"/>
  <c r="W994" i="1"/>
  <c r="V994" i="1"/>
  <c r="Z993" i="1"/>
  <c r="Y993" i="1"/>
  <c r="X993" i="1"/>
  <c r="W993" i="1"/>
  <c r="V993" i="1"/>
  <c r="Z992" i="1"/>
  <c r="Y992" i="1"/>
  <c r="X992" i="1"/>
  <c r="W992" i="1"/>
  <c r="V992" i="1"/>
  <c r="Z991" i="1"/>
  <c r="Y991" i="1"/>
  <c r="X991" i="1"/>
  <c r="W991" i="1"/>
  <c r="V991" i="1"/>
  <c r="Z990" i="1"/>
  <c r="Y990" i="1"/>
  <c r="X990" i="1"/>
  <c r="W990" i="1"/>
  <c r="V990" i="1"/>
  <c r="Z989" i="1"/>
  <c r="Y989" i="1"/>
  <c r="X989" i="1"/>
  <c r="W989" i="1"/>
  <c r="V989" i="1"/>
  <c r="Z988" i="1"/>
  <c r="Y988" i="1"/>
  <c r="X988" i="1"/>
  <c r="W988" i="1"/>
  <c r="V988" i="1"/>
  <c r="Z987" i="1"/>
  <c r="Y987" i="1"/>
  <c r="X987" i="1"/>
  <c r="W987" i="1"/>
  <c r="V987" i="1"/>
  <c r="Z986" i="1"/>
  <c r="Y986" i="1"/>
  <c r="X986" i="1"/>
  <c r="W986" i="1"/>
  <c r="V986" i="1"/>
  <c r="Z985" i="1"/>
  <c r="Y985" i="1"/>
  <c r="X985" i="1"/>
  <c r="W985" i="1"/>
  <c r="V985" i="1"/>
  <c r="Z984" i="1"/>
  <c r="Y984" i="1"/>
  <c r="X984" i="1"/>
  <c r="W984" i="1"/>
  <c r="V984" i="1"/>
  <c r="Z983" i="1"/>
  <c r="Y983" i="1"/>
  <c r="X983" i="1"/>
  <c r="W983" i="1"/>
  <c r="V983" i="1"/>
  <c r="Z982" i="1"/>
  <c r="Y982" i="1"/>
  <c r="X982" i="1"/>
  <c r="W982" i="1"/>
  <c r="V982" i="1"/>
  <c r="Z981" i="1"/>
  <c r="Y981" i="1"/>
  <c r="X981" i="1"/>
  <c r="W981" i="1"/>
  <c r="V981" i="1"/>
  <c r="Z980" i="1"/>
  <c r="Y980" i="1"/>
  <c r="X980" i="1"/>
  <c r="W980" i="1"/>
  <c r="V980" i="1"/>
  <c r="Z979" i="1"/>
  <c r="Y979" i="1"/>
  <c r="X979" i="1"/>
  <c r="W979" i="1"/>
  <c r="V979" i="1"/>
  <c r="Z978" i="1"/>
  <c r="Y978" i="1"/>
  <c r="X978" i="1"/>
  <c r="W978" i="1"/>
  <c r="V978" i="1"/>
  <c r="Z977" i="1"/>
  <c r="Y977" i="1"/>
  <c r="X977" i="1"/>
  <c r="W977" i="1"/>
  <c r="V977" i="1"/>
  <c r="Z976" i="1"/>
  <c r="Y976" i="1"/>
  <c r="X976" i="1"/>
  <c r="W976" i="1"/>
  <c r="V976" i="1"/>
  <c r="Z975" i="1"/>
  <c r="Y975" i="1"/>
  <c r="X975" i="1"/>
  <c r="W975" i="1"/>
  <c r="V975" i="1"/>
  <c r="Z974" i="1"/>
  <c r="Y974" i="1"/>
  <c r="X974" i="1"/>
  <c r="W974" i="1"/>
  <c r="V974" i="1"/>
  <c r="Z973" i="1"/>
  <c r="Y973" i="1"/>
  <c r="X973" i="1"/>
  <c r="W973" i="1"/>
  <c r="V973" i="1"/>
  <c r="Z972" i="1"/>
  <c r="Y972" i="1"/>
  <c r="X972" i="1"/>
  <c r="W972" i="1"/>
  <c r="V972" i="1"/>
  <c r="Z971" i="1"/>
  <c r="Y971" i="1"/>
  <c r="X971" i="1"/>
  <c r="W971" i="1"/>
  <c r="V971" i="1"/>
  <c r="Z970" i="1"/>
  <c r="Y970" i="1"/>
  <c r="X970" i="1"/>
  <c r="W970" i="1"/>
  <c r="V970" i="1"/>
  <c r="Z969" i="1"/>
  <c r="Y969" i="1"/>
  <c r="X969" i="1"/>
  <c r="W969" i="1"/>
  <c r="V969" i="1"/>
  <c r="Z968" i="1"/>
  <c r="Y968" i="1"/>
  <c r="X968" i="1"/>
  <c r="W968" i="1"/>
  <c r="V968" i="1"/>
  <c r="Z967" i="1"/>
  <c r="Y967" i="1"/>
  <c r="X967" i="1"/>
  <c r="W967" i="1"/>
  <c r="V967" i="1"/>
  <c r="Z966" i="1"/>
  <c r="Y966" i="1"/>
  <c r="X966" i="1"/>
  <c r="W966" i="1"/>
  <c r="V966" i="1"/>
  <c r="Z965" i="1"/>
  <c r="Y965" i="1"/>
  <c r="X965" i="1"/>
  <c r="W965" i="1"/>
  <c r="V965" i="1"/>
  <c r="Z964" i="1"/>
  <c r="Y964" i="1"/>
  <c r="X964" i="1"/>
  <c r="W964" i="1"/>
  <c r="V964" i="1"/>
  <c r="Z963" i="1"/>
  <c r="Y963" i="1"/>
  <c r="X963" i="1"/>
  <c r="W963" i="1"/>
  <c r="V963" i="1"/>
  <c r="Z962" i="1"/>
  <c r="Y962" i="1"/>
  <c r="X962" i="1"/>
  <c r="W962" i="1"/>
  <c r="V962" i="1"/>
  <c r="Z961" i="1"/>
  <c r="Y961" i="1"/>
  <c r="X961" i="1"/>
  <c r="W961" i="1"/>
  <c r="V961" i="1"/>
  <c r="Z960" i="1"/>
  <c r="Y960" i="1"/>
  <c r="X960" i="1"/>
  <c r="W960" i="1"/>
  <c r="V960" i="1"/>
  <c r="Z959" i="1"/>
  <c r="Y959" i="1"/>
  <c r="X959" i="1"/>
  <c r="W959" i="1"/>
  <c r="V959" i="1"/>
  <c r="Z958" i="1"/>
  <c r="Y958" i="1"/>
  <c r="X958" i="1"/>
  <c r="W958" i="1"/>
  <c r="V958" i="1"/>
  <c r="Z957" i="1"/>
  <c r="Y957" i="1"/>
  <c r="X957" i="1"/>
  <c r="W957" i="1"/>
  <c r="V957" i="1"/>
  <c r="Z956" i="1"/>
  <c r="Y956" i="1"/>
  <c r="X956" i="1"/>
  <c r="W956" i="1"/>
  <c r="V956" i="1"/>
  <c r="Z955" i="1"/>
  <c r="Y955" i="1"/>
  <c r="X955" i="1"/>
  <c r="W955" i="1"/>
  <c r="V955" i="1"/>
  <c r="Z954" i="1"/>
  <c r="Y954" i="1"/>
  <c r="X954" i="1"/>
  <c r="W954" i="1"/>
  <c r="V954" i="1"/>
  <c r="Z953" i="1"/>
  <c r="Y953" i="1"/>
  <c r="X953" i="1"/>
  <c r="W953" i="1"/>
  <c r="V953" i="1"/>
  <c r="Z952" i="1"/>
  <c r="Y952" i="1"/>
  <c r="X952" i="1"/>
  <c r="W952" i="1"/>
  <c r="V952" i="1"/>
  <c r="Z951" i="1"/>
  <c r="Y951" i="1"/>
  <c r="X951" i="1"/>
  <c r="W951" i="1"/>
  <c r="V951" i="1"/>
  <c r="Z950" i="1"/>
  <c r="Y950" i="1"/>
  <c r="X950" i="1"/>
  <c r="W950" i="1"/>
  <c r="V950" i="1"/>
  <c r="Z949" i="1"/>
  <c r="Y949" i="1"/>
  <c r="X949" i="1"/>
  <c r="W949" i="1"/>
  <c r="V949" i="1"/>
  <c r="Z948" i="1"/>
  <c r="Y948" i="1"/>
  <c r="X948" i="1"/>
  <c r="W948" i="1"/>
  <c r="V948" i="1"/>
  <c r="Z947" i="1"/>
  <c r="Y947" i="1"/>
  <c r="X947" i="1"/>
  <c r="W947" i="1"/>
  <c r="V947" i="1"/>
  <c r="Z946" i="1"/>
  <c r="Y946" i="1"/>
  <c r="X946" i="1"/>
  <c r="W946" i="1"/>
  <c r="V946" i="1"/>
  <c r="Z945" i="1"/>
  <c r="Y945" i="1"/>
  <c r="X945" i="1"/>
  <c r="W945" i="1"/>
  <c r="V945" i="1"/>
  <c r="Z944" i="1"/>
  <c r="Y944" i="1"/>
  <c r="X944" i="1"/>
  <c r="W944" i="1"/>
  <c r="V944" i="1"/>
  <c r="Z943" i="1"/>
  <c r="Y943" i="1"/>
  <c r="X943" i="1"/>
  <c r="W943" i="1"/>
  <c r="V943" i="1"/>
  <c r="Z942" i="1"/>
  <c r="Y942" i="1"/>
  <c r="X942" i="1"/>
  <c r="W942" i="1"/>
  <c r="V942" i="1"/>
  <c r="Z941" i="1"/>
  <c r="Y941" i="1"/>
  <c r="X941" i="1"/>
  <c r="W941" i="1"/>
  <c r="V941" i="1"/>
  <c r="Z940" i="1"/>
  <c r="Y940" i="1"/>
  <c r="X940" i="1"/>
  <c r="W940" i="1"/>
  <c r="V940" i="1"/>
  <c r="Z939" i="1"/>
  <c r="Y939" i="1"/>
  <c r="X939" i="1"/>
  <c r="W939" i="1"/>
  <c r="V939" i="1"/>
  <c r="Z938" i="1"/>
  <c r="Y938" i="1"/>
  <c r="X938" i="1"/>
  <c r="W938" i="1"/>
  <c r="V938" i="1"/>
  <c r="Z937" i="1"/>
  <c r="Y937" i="1"/>
  <c r="X937" i="1"/>
  <c r="W937" i="1"/>
  <c r="V937" i="1"/>
  <c r="Z936" i="1"/>
  <c r="Y936" i="1"/>
  <c r="X936" i="1"/>
  <c r="W936" i="1"/>
  <c r="V936" i="1"/>
  <c r="Z935" i="1"/>
  <c r="Y935" i="1"/>
  <c r="X935" i="1"/>
  <c r="W935" i="1"/>
  <c r="V935" i="1"/>
  <c r="Z934" i="1"/>
  <c r="Y934" i="1"/>
  <c r="X934" i="1"/>
  <c r="W934" i="1"/>
  <c r="V934" i="1"/>
  <c r="Z933" i="1"/>
  <c r="Y933" i="1"/>
  <c r="X933" i="1"/>
  <c r="W933" i="1"/>
  <c r="V933" i="1"/>
  <c r="Z932" i="1"/>
  <c r="Y932" i="1"/>
  <c r="X932" i="1"/>
  <c r="W932" i="1"/>
  <c r="V932" i="1"/>
  <c r="Z931" i="1"/>
  <c r="Y931" i="1"/>
  <c r="X931" i="1"/>
  <c r="W931" i="1"/>
  <c r="V931" i="1"/>
  <c r="Z930" i="1"/>
  <c r="Y930" i="1"/>
  <c r="X930" i="1"/>
  <c r="W930" i="1"/>
  <c r="V930" i="1"/>
  <c r="Z929" i="1"/>
  <c r="Y929" i="1"/>
  <c r="X929" i="1"/>
  <c r="W929" i="1"/>
  <c r="V929" i="1"/>
  <c r="Z928" i="1"/>
  <c r="Y928" i="1"/>
  <c r="X928" i="1"/>
  <c r="W928" i="1"/>
  <c r="V928" i="1"/>
  <c r="Z927" i="1"/>
  <c r="Y927" i="1"/>
  <c r="X927" i="1"/>
  <c r="W927" i="1"/>
  <c r="V927" i="1"/>
  <c r="Z926" i="1"/>
  <c r="Y926" i="1"/>
  <c r="X926" i="1"/>
  <c r="W926" i="1"/>
  <c r="V926" i="1"/>
  <c r="Z925" i="1"/>
  <c r="Y925" i="1"/>
  <c r="X925" i="1"/>
  <c r="W925" i="1"/>
  <c r="V925" i="1"/>
  <c r="Z924" i="1"/>
  <c r="Y924" i="1"/>
  <c r="X924" i="1"/>
  <c r="W924" i="1"/>
  <c r="V924" i="1"/>
  <c r="Z923" i="1"/>
  <c r="Y923" i="1"/>
  <c r="X923" i="1"/>
  <c r="W923" i="1"/>
  <c r="V923" i="1"/>
  <c r="Z922" i="1"/>
  <c r="Y922" i="1"/>
  <c r="X922" i="1"/>
  <c r="W922" i="1"/>
  <c r="V922" i="1"/>
  <c r="Z921" i="1"/>
  <c r="Y921" i="1"/>
  <c r="X921" i="1"/>
  <c r="W921" i="1"/>
  <c r="V921" i="1"/>
  <c r="Z920" i="1"/>
  <c r="Y920" i="1"/>
  <c r="X920" i="1"/>
  <c r="W920" i="1"/>
  <c r="V920" i="1"/>
  <c r="Z919" i="1"/>
  <c r="Y919" i="1"/>
  <c r="X919" i="1"/>
  <c r="W919" i="1"/>
  <c r="V919" i="1"/>
  <c r="Z918" i="1"/>
  <c r="Y918" i="1"/>
  <c r="X918" i="1"/>
  <c r="W918" i="1"/>
  <c r="V918" i="1"/>
  <c r="Z917" i="1"/>
  <c r="Y917" i="1"/>
  <c r="X917" i="1"/>
  <c r="W917" i="1"/>
  <c r="V917" i="1"/>
  <c r="Z916" i="1"/>
  <c r="Y916" i="1"/>
  <c r="X916" i="1"/>
  <c r="W916" i="1"/>
  <c r="V916" i="1"/>
  <c r="Z915" i="1"/>
  <c r="Y915" i="1"/>
  <c r="X915" i="1"/>
  <c r="W915" i="1"/>
  <c r="V915" i="1"/>
  <c r="Z914" i="1"/>
  <c r="Y914" i="1"/>
  <c r="X914" i="1"/>
  <c r="W914" i="1"/>
  <c r="V914" i="1"/>
  <c r="Z913" i="1"/>
  <c r="Y913" i="1"/>
  <c r="X913" i="1"/>
  <c r="W913" i="1"/>
  <c r="V913" i="1"/>
  <c r="Z912" i="1"/>
  <c r="Y912" i="1"/>
  <c r="X912" i="1"/>
  <c r="W912" i="1"/>
  <c r="V912" i="1"/>
  <c r="Z911" i="1"/>
  <c r="Y911" i="1"/>
  <c r="X911" i="1"/>
  <c r="W911" i="1"/>
  <c r="V911" i="1"/>
  <c r="Z910" i="1"/>
  <c r="Y910" i="1"/>
  <c r="X910" i="1"/>
  <c r="W910" i="1"/>
  <c r="V910" i="1"/>
  <c r="Z909" i="1"/>
  <c r="Y909" i="1"/>
  <c r="X909" i="1"/>
  <c r="W909" i="1"/>
  <c r="V909" i="1"/>
  <c r="Z908" i="1"/>
  <c r="Y908" i="1"/>
  <c r="X908" i="1"/>
  <c r="W908" i="1"/>
  <c r="V908" i="1"/>
  <c r="Z907" i="1"/>
  <c r="Y907" i="1"/>
  <c r="X907" i="1"/>
  <c r="W907" i="1"/>
  <c r="V907" i="1"/>
  <c r="Z906" i="1"/>
  <c r="Y906" i="1"/>
  <c r="X906" i="1"/>
  <c r="W906" i="1"/>
  <c r="V906" i="1"/>
  <c r="Z905" i="1"/>
  <c r="Y905" i="1"/>
  <c r="X905" i="1"/>
  <c r="W905" i="1"/>
  <c r="V905" i="1"/>
  <c r="Z904" i="1"/>
  <c r="Y904" i="1"/>
  <c r="X904" i="1"/>
  <c r="W904" i="1"/>
  <c r="V904" i="1"/>
  <c r="Z903" i="1"/>
  <c r="Y903" i="1"/>
  <c r="X903" i="1"/>
  <c r="W903" i="1"/>
  <c r="V903" i="1"/>
  <c r="Z902" i="1"/>
  <c r="Y902" i="1"/>
  <c r="X902" i="1"/>
  <c r="W902" i="1"/>
  <c r="V902" i="1"/>
  <c r="Z901" i="1"/>
  <c r="Y901" i="1"/>
  <c r="X901" i="1"/>
  <c r="W901" i="1"/>
  <c r="V901" i="1"/>
  <c r="Z900" i="1"/>
  <c r="Y900" i="1"/>
  <c r="X900" i="1"/>
  <c r="W900" i="1"/>
  <c r="V900" i="1"/>
  <c r="Z899" i="1"/>
  <c r="Y899" i="1"/>
  <c r="X899" i="1"/>
  <c r="W899" i="1"/>
  <c r="V899" i="1"/>
  <c r="Z898" i="1"/>
  <c r="Y898" i="1"/>
  <c r="X898" i="1"/>
  <c r="W898" i="1"/>
  <c r="V898" i="1"/>
  <c r="Z897" i="1"/>
  <c r="Y897" i="1"/>
  <c r="X897" i="1"/>
  <c r="W897" i="1"/>
  <c r="V897" i="1"/>
  <c r="Z896" i="1"/>
  <c r="Y896" i="1"/>
  <c r="X896" i="1"/>
  <c r="W896" i="1"/>
  <c r="V896" i="1"/>
  <c r="Z895" i="1"/>
  <c r="Y895" i="1"/>
  <c r="X895" i="1"/>
  <c r="W895" i="1"/>
  <c r="V895" i="1"/>
  <c r="Z894" i="1"/>
  <c r="Y894" i="1"/>
  <c r="X894" i="1"/>
  <c r="W894" i="1"/>
  <c r="V894" i="1"/>
  <c r="Z893" i="1"/>
  <c r="Y893" i="1"/>
  <c r="X893" i="1"/>
  <c r="W893" i="1"/>
  <c r="V893" i="1"/>
  <c r="Z892" i="1"/>
  <c r="Y892" i="1"/>
  <c r="X892" i="1"/>
  <c r="W892" i="1"/>
  <c r="V892" i="1"/>
  <c r="Z891" i="1"/>
  <c r="Y891" i="1"/>
  <c r="X891" i="1"/>
  <c r="W891" i="1"/>
  <c r="V891" i="1"/>
  <c r="Z890" i="1"/>
  <c r="Y890" i="1"/>
  <c r="X890" i="1"/>
  <c r="W890" i="1"/>
  <c r="V890" i="1"/>
  <c r="Z889" i="1"/>
  <c r="Y889" i="1"/>
  <c r="X889" i="1"/>
  <c r="W889" i="1"/>
  <c r="V889" i="1"/>
  <c r="Z888" i="1"/>
  <c r="Y888" i="1"/>
  <c r="X888" i="1"/>
  <c r="W888" i="1"/>
  <c r="V888" i="1"/>
  <c r="Z887" i="1"/>
  <c r="Y887" i="1"/>
  <c r="X887" i="1"/>
  <c r="W887" i="1"/>
  <c r="V887" i="1"/>
  <c r="Z886" i="1"/>
  <c r="Y886" i="1"/>
  <c r="X886" i="1"/>
  <c r="W886" i="1"/>
  <c r="V886" i="1"/>
  <c r="Z885" i="1"/>
  <c r="Y885" i="1"/>
  <c r="X885" i="1"/>
  <c r="W885" i="1"/>
  <c r="V885" i="1"/>
  <c r="Z884" i="1"/>
  <c r="Y884" i="1"/>
  <c r="X884" i="1"/>
  <c r="W884" i="1"/>
  <c r="V884" i="1"/>
  <c r="Z883" i="1"/>
  <c r="Y883" i="1"/>
  <c r="X883" i="1"/>
  <c r="W883" i="1"/>
  <c r="V883" i="1"/>
  <c r="Z882" i="1"/>
  <c r="Y882" i="1"/>
  <c r="X882" i="1"/>
  <c r="W882" i="1"/>
  <c r="V882" i="1"/>
  <c r="Z881" i="1"/>
  <c r="Y881" i="1"/>
  <c r="X881" i="1"/>
  <c r="W881" i="1"/>
  <c r="V881" i="1"/>
  <c r="Z880" i="1"/>
  <c r="Y880" i="1"/>
  <c r="X880" i="1"/>
  <c r="W880" i="1"/>
  <c r="V880" i="1"/>
  <c r="Z879" i="1"/>
  <c r="Y879" i="1"/>
  <c r="X879" i="1"/>
  <c r="W879" i="1"/>
  <c r="V879" i="1"/>
  <c r="Z878" i="1"/>
  <c r="Y878" i="1"/>
  <c r="X878" i="1"/>
  <c r="W878" i="1"/>
  <c r="V878" i="1"/>
  <c r="Z877" i="1"/>
  <c r="Y877" i="1"/>
  <c r="X877" i="1"/>
  <c r="W877" i="1"/>
  <c r="V877" i="1"/>
  <c r="Z876" i="1"/>
  <c r="Y876" i="1"/>
  <c r="X876" i="1"/>
  <c r="W876" i="1"/>
  <c r="V876" i="1"/>
  <c r="Z875" i="1"/>
  <c r="Y875" i="1"/>
  <c r="X875" i="1"/>
  <c r="W875" i="1"/>
  <c r="V875" i="1"/>
  <c r="Z874" i="1"/>
  <c r="Y874" i="1"/>
  <c r="X874" i="1"/>
  <c r="W874" i="1"/>
  <c r="V874" i="1"/>
  <c r="Z873" i="1"/>
  <c r="Y873" i="1"/>
  <c r="X873" i="1"/>
  <c r="W873" i="1"/>
  <c r="V873" i="1"/>
  <c r="Z872" i="1"/>
  <c r="Y872" i="1"/>
  <c r="X872" i="1"/>
  <c r="W872" i="1"/>
  <c r="V872" i="1"/>
  <c r="Z871" i="1"/>
  <c r="Y871" i="1"/>
  <c r="X871" i="1"/>
  <c r="W871" i="1"/>
  <c r="V871" i="1"/>
  <c r="Z870" i="1"/>
  <c r="Y870" i="1"/>
  <c r="X870" i="1"/>
  <c r="W870" i="1"/>
  <c r="V870" i="1"/>
  <c r="Z869" i="1"/>
  <c r="Y869" i="1"/>
  <c r="X869" i="1"/>
  <c r="W869" i="1"/>
  <c r="V869" i="1"/>
  <c r="Z868" i="1"/>
  <c r="Y868" i="1"/>
  <c r="X868" i="1"/>
  <c r="W868" i="1"/>
  <c r="V868" i="1"/>
  <c r="Z867" i="1"/>
  <c r="Y867" i="1"/>
  <c r="X867" i="1"/>
  <c r="W867" i="1"/>
  <c r="V867" i="1"/>
  <c r="Z866" i="1"/>
  <c r="Y866" i="1"/>
  <c r="X866" i="1"/>
  <c r="W866" i="1"/>
  <c r="V866" i="1"/>
  <c r="Z865" i="1"/>
  <c r="Y865" i="1"/>
  <c r="X865" i="1"/>
  <c r="W865" i="1"/>
  <c r="V865" i="1"/>
  <c r="Z864" i="1"/>
  <c r="Y864" i="1"/>
  <c r="X864" i="1"/>
  <c r="W864" i="1"/>
  <c r="V864" i="1"/>
  <c r="Z863" i="1"/>
  <c r="Y863" i="1"/>
  <c r="X863" i="1"/>
  <c r="W863" i="1"/>
  <c r="V863" i="1"/>
  <c r="Z862" i="1"/>
  <c r="Y862" i="1"/>
  <c r="X862" i="1"/>
  <c r="W862" i="1"/>
  <c r="V862" i="1"/>
  <c r="Z861" i="1"/>
  <c r="Y861" i="1"/>
  <c r="X861" i="1"/>
  <c r="W861" i="1"/>
  <c r="V861" i="1"/>
  <c r="Z860" i="1"/>
  <c r="Y860" i="1"/>
  <c r="X860" i="1"/>
  <c r="W860" i="1"/>
  <c r="V860" i="1"/>
  <c r="Z859" i="1"/>
  <c r="Y859" i="1"/>
  <c r="X859" i="1"/>
  <c r="W859" i="1"/>
  <c r="V859" i="1"/>
  <c r="Z858" i="1"/>
  <c r="Y858" i="1"/>
  <c r="X858" i="1"/>
  <c r="W858" i="1"/>
  <c r="V858" i="1"/>
  <c r="Z857" i="1"/>
  <c r="Y857" i="1"/>
  <c r="X857" i="1"/>
  <c r="W857" i="1"/>
  <c r="V857" i="1"/>
  <c r="Z856" i="1"/>
  <c r="Y856" i="1"/>
  <c r="X856" i="1"/>
  <c r="W856" i="1"/>
  <c r="V856" i="1"/>
  <c r="Z855" i="1"/>
  <c r="Y855" i="1"/>
  <c r="X855" i="1"/>
  <c r="W855" i="1"/>
  <c r="V855" i="1"/>
  <c r="Z854" i="1"/>
  <c r="Y854" i="1"/>
  <c r="X854" i="1"/>
  <c r="W854" i="1"/>
  <c r="V854" i="1"/>
  <c r="Z853" i="1"/>
  <c r="Y853" i="1"/>
  <c r="X853" i="1"/>
  <c r="W853" i="1"/>
  <c r="V853" i="1"/>
  <c r="Z852" i="1"/>
  <c r="Y852" i="1"/>
  <c r="X852" i="1"/>
  <c r="W852" i="1"/>
  <c r="V852" i="1"/>
  <c r="Z851" i="1"/>
  <c r="Y851" i="1"/>
  <c r="X851" i="1"/>
  <c r="W851" i="1"/>
  <c r="V851" i="1"/>
  <c r="Z850" i="1"/>
  <c r="Y850" i="1"/>
  <c r="X850" i="1"/>
  <c r="W850" i="1"/>
  <c r="V850" i="1"/>
  <c r="Z849" i="1"/>
  <c r="Y849" i="1"/>
  <c r="X849" i="1"/>
  <c r="W849" i="1"/>
  <c r="V849" i="1"/>
  <c r="Z848" i="1"/>
  <c r="Y848" i="1"/>
  <c r="X848" i="1"/>
  <c r="W848" i="1"/>
  <c r="V848" i="1"/>
  <c r="Z847" i="1"/>
  <c r="Y847" i="1"/>
  <c r="X847" i="1"/>
  <c r="W847" i="1"/>
  <c r="V847" i="1"/>
  <c r="Z846" i="1"/>
  <c r="Y846" i="1"/>
  <c r="X846" i="1"/>
  <c r="W846" i="1"/>
  <c r="V846" i="1"/>
  <c r="Z845" i="1"/>
  <c r="Y845" i="1"/>
  <c r="X845" i="1"/>
  <c r="W845" i="1"/>
  <c r="V845" i="1"/>
  <c r="Z844" i="1"/>
  <c r="Y844" i="1"/>
  <c r="X844" i="1"/>
  <c r="W844" i="1"/>
  <c r="V844" i="1"/>
  <c r="Z843" i="1"/>
  <c r="Y843" i="1"/>
  <c r="X843" i="1"/>
  <c r="W843" i="1"/>
  <c r="V843" i="1"/>
  <c r="Z842" i="1"/>
  <c r="Y842" i="1"/>
  <c r="X842" i="1"/>
  <c r="W842" i="1"/>
  <c r="V842" i="1"/>
  <c r="Z841" i="1"/>
  <c r="Y841" i="1"/>
  <c r="X841" i="1"/>
  <c r="W841" i="1"/>
  <c r="V841" i="1"/>
  <c r="Z840" i="1"/>
  <c r="Y840" i="1"/>
  <c r="X840" i="1"/>
  <c r="W840" i="1"/>
  <c r="V840" i="1"/>
  <c r="Z839" i="1"/>
  <c r="Y839" i="1"/>
  <c r="X839" i="1"/>
  <c r="W839" i="1"/>
  <c r="V839" i="1"/>
  <c r="Z838" i="1"/>
  <c r="Y838" i="1"/>
  <c r="X838" i="1"/>
  <c r="W838" i="1"/>
  <c r="V838" i="1"/>
  <c r="Z837" i="1"/>
  <c r="Y837" i="1"/>
  <c r="X837" i="1"/>
  <c r="W837" i="1"/>
  <c r="V837" i="1"/>
  <c r="Z836" i="1"/>
  <c r="Y836" i="1"/>
  <c r="X836" i="1"/>
  <c r="W836" i="1"/>
  <c r="V836" i="1"/>
  <c r="Z835" i="1"/>
  <c r="Y835" i="1"/>
  <c r="X835" i="1"/>
  <c r="W835" i="1"/>
  <c r="V835" i="1"/>
  <c r="Z834" i="1"/>
  <c r="Y834" i="1"/>
  <c r="X834" i="1"/>
  <c r="W834" i="1"/>
  <c r="V834" i="1"/>
  <c r="Z833" i="1"/>
  <c r="Y833" i="1"/>
  <c r="X833" i="1"/>
  <c r="W833" i="1"/>
  <c r="V833" i="1"/>
  <c r="Z832" i="1"/>
  <c r="Y832" i="1"/>
  <c r="X832" i="1"/>
  <c r="W832" i="1"/>
  <c r="V832" i="1"/>
  <c r="Z831" i="1"/>
  <c r="Y831" i="1"/>
  <c r="X831" i="1"/>
  <c r="W831" i="1"/>
  <c r="V831" i="1"/>
  <c r="Z830" i="1"/>
  <c r="Y830" i="1"/>
  <c r="X830" i="1"/>
  <c r="W830" i="1"/>
  <c r="V830" i="1"/>
  <c r="Z829" i="1"/>
  <c r="Y829" i="1"/>
  <c r="X829" i="1"/>
  <c r="W829" i="1"/>
  <c r="V829" i="1"/>
  <c r="Z828" i="1"/>
  <c r="Y828" i="1"/>
  <c r="X828" i="1"/>
  <c r="W828" i="1"/>
  <c r="V828" i="1"/>
  <c r="Z827" i="1"/>
  <c r="Y827" i="1"/>
  <c r="X827" i="1"/>
  <c r="W827" i="1"/>
  <c r="V827" i="1"/>
  <c r="Z826" i="1"/>
  <c r="Y826" i="1"/>
  <c r="X826" i="1"/>
  <c r="W826" i="1"/>
  <c r="V826" i="1"/>
  <c r="Z825" i="1"/>
  <c r="Y825" i="1"/>
  <c r="X825" i="1"/>
  <c r="W825" i="1"/>
  <c r="V825" i="1"/>
  <c r="Z824" i="1"/>
  <c r="Y824" i="1"/>
  <c r="X824" i="1"/>
  <c r="W824" i="1"/>
  <c r="V824" i="1"/>
  <c r="Z823" i="1"/>
  <c r="Y823" i="1"/>
  <c r="X823" i="1"/>
  <c r="W823" i="1"/>
  <c r="V823" i="1"/>
  <c r="Z822" i="1"/>
  <c r="Y822" i="1"/>
  <c r="X822" i="1"/>
  <c r="W822" i="1"/>
  <c r="V822" i="1"/>
  <c r="Z821" i="1"/>
  <c r="Y821" i="1"/>
  <c r="X821" i="1"/>
  <c r="W821" i="1"/>
  <c r="V821" i="1"/>
  <c r="Z820" i="1"/>
  <c r="Y820" i="1"/>
  <c r="X820" i="1"/>
  <c r="W820" i="1"/>
  <c r="V820" i="1"/>
  <c r="Z819" i="1"/>
  <c r="Y819" i="1"/>
  <c r="X819" i="1"/>
  <c r="W819" i="1"/>
  <c r="V819" i="1"/>
  <c r="Z818" i="1"/>
  <c r="Y818" i="1"/>
  <c r="X818" i="1"/>
  <c r="W818" i="1"/>
  <c r="V818" i="1"/>
  <c r="Z817" i="1"/>
  <c r="Y817" i="1"/>
  <c r="X817" i="1"/>
  <c r="W817" i="1"/>
  <c r="V817" i="1"/>
  <c r="Z816" i="1"/>
  <c r="Y816" i="1"/>
  <c r="X816" i="1"/>
  <c r="W816" i="1"/>
  <c r="V816" i="1"/>
  <c r="Z815" i="1"/>
  <c r="Y815" i="1"/>
  <c r="X815" i="1"/>
  <c r="W815" i="1"/>
  <c r="V815" i="1"/>
  <c r="Z814" i="1"/>
  <c r="Y814" i="1"/>
  <c r="X814" i="1"/>
  <c r="W814" i="1"/>
  <c r="V814" i="1"/>
  <c r="Z813" i="1"/>
  <c r="Y813" i="1"/>
  <c r="X813" i="1"/>
  <c r="W813" i="1"/>
  <c r="V813" i="1"/>
  <c r="Z812" i="1"/>
  <c r="Y812" i="1"/>
  <c r="X812" i="1"/>
  <c r="W812" i="1"/>
  <c r="V812" i="1"/>
  <c r="Z811" i="1"/>
  <c r="Y811" i="1"/>
  <c r="X811" i="1"/>
  <c r="W811" i="1"/>
  <c r="V811" i="1"/>
  <c r="Z810" i="1"/>
  <c r="Y810" i="1"/>
  <c r="X810" i="1"/>
  <c r="W810" i="1"/>
  <c r="V810" i="1"/>
  <c r="Z809" i="1"/>
  <c r="Y809" i="1"/>
  <c r="X809" i="1"/>
  <c r="W809" i="1"/>
  <c r="V809" i="1"/>
  <c r="Z808" i="1"/>
  <c r="Y808" i="1"/>
  <c r="X808" i="1"/>
  <c r="W808" i="1"/>
  <c r="V808" i="1"/>
  <c r="Z807" i="1"/>
  <c r="Y807" i="1"/>
  <c r="X807" i="1"/>
  <c r="W807" i="1"/>
  <c r="V807" i="1"/>
  <c r="Z806" i="1"/>
  <c r="Y806" i="1"/>
  <c r="X806" i="1"/>
  <c r="W806" i="1"/>
  <c r="V806" i="1"/>
  <c r="Z805" i="1"/>
  <c r="Y805" i="1"/>
  <c r="X805" i="1"/>
  <c r="W805" i="1"/>
  <c r="V805" i="1"/>
  <c r="Z804" i="1"/>
  <c r="Y804" i="1"/>
  <c r="X804" i="1"/>
  <c r="W804" i="1"/>
  <c r="V804" i="1"/>
  <c r="Z803" i="1"/>
  <c r="Y803" i="1"/>
  <c r="X803" i="1"/>
  <c r="W803" i="1"/>
  <c r="V803" i="1"/>
  <c r="Z802" i="1"/>
  <c r="Y802" i="1"/>
  <c r="X802" i="1"/>
  <c r="W802" i="1"/>
  <c r="V802" i="1"/>
  <c r="Z801" i="1"/>
  <c r="Y801" i="1"/>
  <c r="X801" i="1"/>
  <c r="W801" i="1"/>
  <c r="V801" i="1"/>
  <c r="Z800" i="1"/>
  <c r="Y800" i="1"/>
  <c r="X800" i="1"/>
  <c r="W800" i="1"/>
  <c r="V800" i="1"/>
  <c r="Z799" i="1"/>
  <c r="Y799" i="1"/>
  <c r="X799" i="1"/>
  <c r="W799" i="1"/>
  <c r="V799" i="1"/>
  <c r="Z798" i="1"/>
  <c r="Y798" i="1"/>
  <c r="X798" i="1"/>
  <c r="W798" i="1"/>
  <c r="V798" i="1"/>
  <c r="Z797" i="1"/>
  <c r="Y797" i="1"/>
  <c r="X797" i="1"/>
  <c r="W797" i="1"/>
  <c r="V797" i="1"/>
  <c r="Z796" i="1"/>
  <c r="Y796" i="1"/>
  <c r="X796" i="1"/>
  <c r="W796" i="1"/>
  <c r="V796" i="1"/>
  <c r="Z795" i="1"/>
  <c r="Y795" i="1"/>
  <c r="X795" i="1"/>
  <c r="W795" i="1"/>
  <c r="V795" i="1"/>
  <c r="Z794" i="1"/>
  <c r="Y794" i="1"/>
  <c r="X794" i="1"/>
  <c r="W794" i="1"/>
  <c r="V794" i="1"/>
  <c r="Z793" i="1"/>
  <c r="Y793" i="1"/>
  <c r="X793" i="1"/>
  <c r="W793" i="1"/>
  <c r="V793" i="1"/>
  <c r="Z792" i="1"/>
  <c r="Y792" i="1"/>
  <c r="X792" i="1"/>
  <c r="W792" i="1"/>
  <c r="V792" i="1"/>
  <c r="Z791" i="1"/>
  <c r="Y791" i="1"/>
  <c r="X791" i="1"/>
  <c r="W791" i="1"/>
  <c r="V791" i="1"/>
  <c r="Z790" i="1"/>
  <c r="Y790" i="1"/>
  <c r="X790" i="1"/>
  <c r="W790" i="1"/>
  <c r="V790" i="1"/>
  <c r="Z789" i="1"/>
  <c r="Y789" i="1"/>
  <c r="X789" i="1"/>
  <c r="W789" i="1"/>
  <c r="V789" i="1"/>
  <c r="Z788" i="1"/>
  <c r="Y788" i="1"/>
  <c r="X788" i="1"/>
  <c r="W788" i="1"/>
  <c r="V788" i="1"/>
  <c r="Z787" i="1"/>
  <c r="Y787" i="1"/>
  <c r="X787" i="1"/>
  <c r="W787" i="1"/>
  <c r="V787" i="1"/>
  <c r="Z786" i="1"/>
  <c r="Y786" i="1"/>
  <c r="X786" i="1"/>
  <c r="W786" i="1"/>
  <c r="V786" i="1"/>
  <c r="Z785" i="1"/>
  <c r="Y785" i="1"/>
  <c r="X785" i="1"/>
  <c r="W785" i="1"/>
  <c r="V785" i="1"/>
  <c r="Z784" i="1"/>
  <c r="Y784" i="1"/>
  <c r="X784" i="1"/>
  <c r="W784" i="1"/>
  <c r="V784" i="1"/>
  <c r="Z783" i="1"/>
  <c r="Y783" i="1"/>
  <c r="X783" i="1"/>
  <c r="W783" i="1"/>
  <c r="V783" i="1"/>
  <c r="Z782" i="1"/>
  <c r="Y782" i="1"/>
  <c r="X782" i="1"/>
  <c r="W782" i="1"/>
  <c r="V782" i="1"/>
  <c r="Z781" i="1"/>
  <c r="Y781" i="1"/>
  <c r="X781" i="1"/>
  <c r="W781" i="1"/>
  <c r="V781" i="1"/>
  <c r="Z780" i="1"/>
  <c r="Y780" i="1"/>
  <c r="X780" i="1"/>
  <c r="W780" i="1"/>
  <c r="V780" i="1"/>
  <c r="Z779" i="1"/>
  <c r="Y779" i="1"/>
  <c r="X779" i="1"/>
  <c r="W779" i="1"/>
  <c r="V779" i="1"/>
  <c r="Z778" i="1"/>
  <c r="Y778" i="1"/>
  <c r="X778" i="1"/>
  <c r="W778" i="1"/>
  <c r="V778" i="1"/>
  <c r="Z777" i="1"/>
  <c r="Y777" i="1"/>
  <c r="X777" i="1"/>
  <c r="W777" i="1"/>
  <c r="V777" i="1"/>
  <c r="Z776" i="1"/>
  <c r="Y776" i="1"/>
  <c r="X776" i="1"/>
  <c r="W776" i="1"/>
  <c r="V776" i="1"/>
  <c r="Z775" i="1"/>
  <c r="Y775" i="1"/>
  <c r="X775" i="1"/>
  <c r="W775" i="1"/>
  <c r="V775" i="1"/>
  <c r="Z774" i="1"/>
  <c r="Y774" i="1"/>
  <c r="X774" i="1"/>
  <c r="W774" i="1"/>
  <c r="V774" i="1"/>
  <c r="Z773" i="1"/>
  <c r="Y773" i="1"/>
  <c r="X773" i="1"/>
  <c r="W773" i="1"/>
  <c r="V773" i="1"/>
  <c r="Z772" i="1"/>
  <c r="Y772" i="1"/>
  <c r="X772" i="1"/>
  <c r="W772" i="1"/>
  <c r="V772" i="1"/>
  <c r="Z771" i="1"/>
  <c r="Y771" i="1"/>
  <c r="X771" i="1"/>
  <c r="W771" i="1"/>
  <c r="V771" i="1"/>
  <c r="Z770" i="1"/>
  <c r="Y770" i="1"/>
  <c r="X770" i="1"/>
  <c r="W770" i="1"/>
  <c r="V770" i="1"/>
  <c r="Z769" i="1"/>
  <c r="Y769" i="1"/>
  <c r="X769" i="1"/>
  <c r="W769" i="1"/>
  <c r="V769" i="1"/>
  <c r="Z768" i="1"/>
  <c r="Y768" i="1"/>
  <c r="X768" i="1"/>
  <c r="W768" i="1"/>
  <c r="V768" i="1"/>
  <c r="Z767" i="1"/>
  <c r="Y767" i="1"/>
  <c r="X767" i="1"/>
  <c r="W767" i="1"/>
  <c r="V767" i="1"/>
  <c r="Z766" i="1"/>
  <c r="Y766" i="1"/>
  <c r="X766" i="1"/>
  <c r="W766" i="1"/>
  <c r="V766" i="1"/>
  <c r="Z765" i="1"/>
  <c r="Y765" i="1"/>
  <c r="X765" i="1"/>
  <c r="W765" i="1"/>
  <c r="V765" i="1"/>
  <c r="Z764" i="1"/>
  <c r="Y764" i="1"/>
  <c r="X764" i="1"/>
  <c r="W764" i="1"/>
  <c r="V764" i="1"/>
  <c r="Z763" i="1"/>
  <c r="Y763" i="1"/>
  <c r="X763" i="1"/>
  <c r="W763" i="1"/>
  <c r="V763" i="1"/>
  <c r="Z762" i="1"/>
  <c r="Y762" i="1"/>
  <c r="X762" i="1"/>
  <c r="W762" i="1"/>
  <c r="V762" i="1"/>
  <c r="Z761" i="1"/>
  <c r="Y761" i="1"/>
  <c r="X761" i="1"/>
  <c r="W761" i="1"/>
  <c r="V761" i="1"/>
  <c r="Z760" i="1"/>
  <c r="Y760" i="1"/>
  <c r="X760" i="1"/>
  <c r="W760" i="1"/>
  <c r="V760" i="1"/>
  <c r="Z759" i="1"/>
  <c r="Y759" i="1"/>
  <c r="X759" i="1"/>
  <c r="W759" i="1"/>
  <c r="V759" i="1"/>
  <c r="Z758" i="1"/>
  <c r="Y758" i="1"/>
  <c r="X758" i="1"/>
  <c r="W758" i="1"/>
  <c r="V758" i="1"/>
  <c r="Z757" i="1"/>
  <c r="Y757" i="1"/>
  <c r="X757" i="1"/>
  <c r="W757" i="1"/>
  <c r="V757" i="1"/>
  <c r="Z756" i="1"/>
  <c r="Y756" i="1"/>
  <c r="X756" i="1"/>
  <c r="W756" i="1"/>
  <c r="V756" i="1"/>
  <c r="Z755" i="1"/>
  <c r="Y755" i="1"/>
  <c r="X755" i="1"/>
  <c r="W755" i="1"/>
  <c r="V755" i="1"/>
  <c r="Z754" i="1"/>
  <c r="Y754" i="1"/>
  <c r="X754" i="1"/>
  <c r="W754" i="1"/>
  <c r="V754" i="1"/>
  <c r="Z753" i="1"/>
  <c r="Y753" i="1"/>
  <c r="X753" i="1"/>
  <c r="W753" i="1"/>
  <c r="V753" i="1"/>
  <c r="Z752" i="1"/>
  <c r="Y752" i="1"/>
  <c r="X752" i="1"/>
  <c r="W752" i="1"/>
  <c r="V752" i="1"/>
  <c r="Z751" i="1"/>
  <c r="Y751" i="1"/>
  <c r="X751" i="1"/>
  <c r="W751" i="1"/>
  <c r="V751" i="1"/>
  <c r="Z750" i="1"/>
  <c r="Y750" i="1"/>
  <c r="X750" i="1"/>
  <c r="W750" i="1"/>
  <c r="V750" i="1"/>
  <c r="Z749" i="1"/>
  <c r="Y749" i="1"/>
  <c r="X749" i="1"/>
  <c r="W749" i="1"/>
  <c r="V749" i="1"/>
  <c r="Z748" i="1"/>
  <c r="Y748" i="1"/>
  <c r="X748" i="1"/>
  <c r="W748" i="1"/>
  <c r="V748" i="1"/>
  <c r="Z747" i="1"/>
  <c r="Y747" i="1"/>
  <c r="X747" i="1"/>
  <c r="W747" i="1"/>
  <c r="V747" i="1"/>
  <c r="Z746" i="1"/>
  <c r="Y746" i="1"/>
  <c r="X746" i="1"/>
  <c r="W746" i="1"/>
  <c r="V746" i="1"/>
  <c r="Z745" i="1"/>
  <c r="Y745" i="1"/>
  <c r="X745" i="1"/>
  <c r="W745" i="1"/>
  <c r="V745" i="1"/>
  <c r="Z744" i="1"/>
  <c r="Y744" i="1"/>
  <c r="X744" i="1"/>
  <c r="W744" i="1"/>
  <c r="V744" i="1"/>
  <c r="Z743" i="1"/>
  <c r="Y743" i="1"/>
  <c r="X743" i="1"/>
  <c r="W743" i="1"/>
  <c r="V743" i="1"/>
  <c r="Z742" i="1"/>
  <c r="Y742" i="1"/>
  <c r="X742" i="1"/>
  <c r="W742" i="1"/>
  <c r="V742" i="1"/>
  <c r="Z741" i="1"/>
  <c r="Y741" i="1"/>
  <c r="X741" i="1"/>
  <c r="W741" i="1"/>
  <c r="V741" i="1"/>
  <c r="Z740" i="1"/>
  <c r="Y740" i="1"/>
  <c r="X740" i="1"/>
  <c r="W740" i="1"/>
  <c r="V740" i="1"/>
  <c r="Z739" i="1"/>
  <c r="Y739" i="1"/>
  <c r="X739" i="1"/>
  <c r="W739" i="1"/>
  <c r="V739" i="1"/>
  <c r="Z738" i="1"/>
  <c r="Y738" i="1"/>
  <c r="X738" i="1"/>
  <c r="W738" i="1"/>
  <c r="V738" i="1"/>
  <c r="Z737" i="1"/>
  <c r="Y737" i="1"/>
  <c r="X737" i="1"/>
  <c r="W737" i="1"/>
  <c r="V737" i="1"/>
  <c r="Z736" i="1"/>
  <c r="Y736" i="1"/>
  <c r="X736" i="1"/>
  <c r="W736" i="1"/>
  <c r="V736" i="1"/>
  <c r="Z735" i="1"/>
  <c r="Y735" i="1"/>
  <c r="X735" i="1"/>
  <c r="W735" i="1"/>
  <c r="V735" i="1"/>
  <c r="Z734" i="1"/>
  <c r="Y734" i="1"/>
  <c r="X734" i="1"/>
  <c r="W734" i="1"/>
  <c r="V734" i="1"/>
  <c r="Z733" i="1"/>
  <c r="Y733" i="1"/>
  <c r="X733" i="1"/>
  <c r="W733" i="1"/>
  <c r="V733" i="1"/>
  <c r="Z732" i="1"/>
  <c r="Y732" i="1"/>
  <c r="X732" i="1"/>
  <c r="W732" i="1"/>
  <c r="V732" i="1"/>
  <c r="Z731" i="1"/>
  <c r="Y731" i="1"/>
  <c r="X731" i="1"/>
  <c r="W731" i="1"/>
  <c r="V731" i="1"/>
  <c r="Z730" i="1"/>
  <c r="Y730" i="1"/>
  <c r="X730" i="1"/>
  <c r="W730" i="1"/>
  <c r="V730" i="1"/>
  <c r="Z729" i="1"/>
  <c r="Y729" i="1"/>
  <c r="X729" i="1"/>
  <c r="W729" i="1"/>
  <c r="V729" i="1"/>
  <c r="Z728" i="1"/>
  <c r="Y728" i="1"/>
  <c r="X728" i="1"/>
  <c r="W728" i="1"/>
  <c r="V728" i="1"/>
  <c r="Z727" i="1"/>
  <c r="Y727" i="1"/>
  <c r="X727" i="1"/>
  <c r="W727" i="1"/>
  <c r="V727" i="1"/>
  <c r="Z726" i="1"/>
  <c r="Y726" i="1"/>
  <c r="X726" i="1"/>
  <c r="W726" i="1"/>
  <c r="V726" i="1"/>
  <c r="Z725" i="1"/>
  <c r="Y725" i="1"/>
  <c r="X725" i="1"/>
  <c r="W725" i="1"/>
  <c r="V725" i="1"/>
  <c r="Z724" i="1"/>
  <c r="Y724" i="1"/>
  <c r="X724" i="1"/>
  <c r="W724" i="1"/>
  <c r="V724" i="1"/>
  <c r="Z723" i="1"/>
  <c r="Y723" i="1"/>
  <c r="X723" i="1"/>
  <c r="W723" i="1"/>
  <c r="V723" i="1"/>
  <c r="Z722" i="1"/>
  <c r="Y722" i="1"/>
  <c r="X722" i="1"/>
  <c r="W722" i="1"/>
  <c r="V722" i="1"/>
  <c r="Z721" i="1"/>
  <c r="Y721" i="1"/>
  <c r="X721" i="1"/>
  <c r="W721" i="1"/>
  <c r="V721" i="1"/>
  <c r="Z720" i="1"/>
  <c r="Y720" i="1"/>
  <c r="X720" i="1"/>
  <c r="W720" i="1"/>
  <c r="V720" i="1"/>
  <c r="Z719" i="1"/>
  <c r="Y719" i="1"/>
  <c r="X719" i="1"/>
  <c r="W719" i="1"/>
  <c r="V719" i="1"/>
  <c r="Z718" i="1"/>
  <c r="Y718" i="1"/>
  <c r="X718" i="1"/>
  <c r="W718" i="1"/>
  <c r="V718" i="1"/>
  <c r="Z717" i="1"/>
  <c r="Y717" i="1"/>
  <c r="X717" i="1"/>
  <c r="W717" i="1"/>
  <c r="V717" i="1"/>
  <c r="Z716" i="1"/>
  <c r="Y716" i="1"/>
  <c r="X716" i="1"/>
  <c r="W716" i="1"/>
  <c r="V716" i="1"/>
  <c r="Z715" i="1"/>
  <c r="Y715" i="1"/>
  <c r="X715" i="1"/>
  <c r="W715" i="1"/>
  <c r="V715" i="1"/>
  <c r="Z714" i="1"/>
  <c r="Y714" i="1"/>
  <c r="X714" i="1"/>
  <c r="W714" i="1"/>
  <c r="V714" i="1"/>
  <c r="Z713" i="1"/>
  <c r="Y713" i="1"/>
  <c r="X713" i="1"/>
  <c r="W713" i="1"/>
  <c r="V713" i="1"/>
  <c r="Z712" i="1"/>
  <c r="Y712" i="1"/>
  <c r="X712" i="1"/>
  <c r="W712" i="1"/>
  <c r="V712" i="1"/>
  <c r="Z711" i="1"/>
  <c r="Y711" i="1"/>
  <c r="X711" i="1"/>
  <c r="W711" i="1"/>
  <c r="V711" i="1"/>
  <c r="Z710" i="1"/>
  <c r="Y710" i="1"/>
  <c r="X710" i="1"/>
  <c r="W710" i="1"/>
  <c r="V710" i="1"/>
  <c r="Z709" i="1"/>
  <c r="Y709" i="1"/>
  <c r="X709" i="1"/>
  <c r="W709" i="1"/>
  <c r="V709" i="1"/>
  <c r="Z708" i="1"/>
  <c r="Y708" i="1"/>
  <c r="X708" i="1"/>
  <c r="W708" i="1"/>
  <c r="V708" i="1"/>
  <c r="Z707" i="1"/>
  <c r="Y707" i="1"/>
  <c r="X707" i="1"/>
  <c r="W707" i="1"/>
  <c r="V707" i="1"/>
  <c r="Z706" i="1"/>
  <c r="Y706" i="1"/>
  <c r="X706" i="1"/>
  <c r="W706" i="1"/>
  <c r="V706" i="1"/>
  <c r="Z705" i="1"/>
  <c r="Y705" i="1"/>
  <c r="X705" i="1"/>
  <c r="W705" i="1"/>
  <c r="V705" i="1"/>
  <c r="Z704" i="1"/>
  <c r="Y704" i="1"/>
  <c r="X704" i="1"/>
  <c r="W704" i="1"/>
  <c r="V704" i="1"/>
  <c r="Z703" i="1"/>
  <c r="Y703" i="1"/>
  <c r="X703" i="1"/>
  <c r="W703" i="1"/>
  <c r="V703" i="1"/>
  <c r="Z702" i="1"/>
  <c r="Y702" i="1"/>
  <c r="X702" i="1"/>
  <c r="W702" i="1"/>
  <c r="V702" i="1"/>
  <c r="Z701" i="1"/>
  <c r="Y701" i="1"/>
  <c r="X701" i="1"/>
  <c r="W701" i="1"/>
  <c r="V701" i="1"/>
  <c r="Z700" i="1"/>
  <c r="Y700" i="1"/>
  <c r="X700" i="1"/>
  <c r="W700" i="1"/>
  <c r="V700" i="1"/>
  <c r="Z699" i="1"/>
  <c r="Y699" i="1"/>
  <c r="X699" i="1"/>
  <c r="W699" i="1"/>
  <c r="V699" i="1"/>
  <c r="Z698" i="1"/>
  <c r="Y698" i="1"/>
  <c r="X698" i="1"/>
  <c r="W698" i="1"/>
  <c r="V698" i="1"/>
  <c r="Z697" i="1"/>
  <c r="Y697" i="1"/>
  <c r="X697" i="1"/>
  <c r="W697" i="1"/>
  <c r="V697" i="1"/>
  <c r="Z696" i="1"/>
  <c r="Y696" i="1"/>
  <c r="X696" i="1"/>
  <c r="W696" i="1"/>
  <c r="V696" i="1"/>
  <c r="Z695" i="1"/>
  <c r="Y695" i="1"/>
  <c r="X695" i="1"/>
  <c r="W695" i="1"/>
  <c r="V695" i="1"/>
  <c r="Z694" i="1"/>
  <c r="Y694" i="1"/>
  <c r="X694" i="1"/>
  <c r="W694" i="1"/>
  <c r="V694" i="1"/>
  <c r="Z693" i="1"/>
  <c r="Y693" i="1"/>
  <c r="X693" i="1"/>
  <c r="W693" i="1"/>
  <c r="V693" i="1"/>
  <c r="Z692" i="1"/>
  <c r="Y692" i="1"/>
  <c r="X692" i="1"/>
  <c r="W692" i="1"/>
  <c r="V692" i="1"/>
  <c r="Z691" i="1"/>
  <c r="Y691" i="1"/>
  <c r="X691" i="1"/>
  <c r="W691" i="1"/>
  <c r="V691" i="1"/>
  <c r="Z690" i="1"/>
  <c r="Y690" i="1"/>
  <c r="X690" i="1"/>
  <c r="W690" i="1"/>
  <c r="V690" i="1"/>
  <c r="Z689" i="1"/>
  <c r="Y689" i="1"/>
  <c r="X689" i="1"/>
  <c r="W689" i="1"/>
  <c r="V689" i="1"/>
  <c r="Z688" i="1"/>
  <c r="Y688" i="1"/>
  <c r="X688" i="1"/>
  <c r="W688" i="1"/>
  <c r="V688" i="1"/>
  <c r="Z687" i="1"/>
  <c r="Y687" i="1"/>
  <c r="X687" i="1"/>
  <c r="W687" i="1"/>
  <c r="V687" i="1"/>
  <c r="Z686" i="1"/>
  <c r="Y686" i="1"/>
  <c r="X686" i="1"/>
  <c r="W686" i="1"/>
  <c r="V686" i="1"/>
  <c r="Z685" i="1"/>
  <c r="Y685" i="1"/>
  <c r="X685" i="1"/>
  <c r="W685" i="1"/>
  <c r="V685" i="1"/>
  <c r="Z684" i="1"/>
  <c r="Y684" i="1"/>
  <c r="X684" i="1"/>
  <c r="W684" i="1"/>
  <c r="V684" i="1"/>
  <c r="Z683" i="1"/>
  <c r="Y683" i="1"/>
  <c r="X683" i="1"/>
  <c r="W683" i="1"/>
  <c r="V683" i="1"/>
  <c r="Z682" i="1"/>
  <c r="Y682" i="1"/>
  <c r="X682" i="1"/>
  <c r="W682" i="1"/>
  <c r="V682" i="1"/>
  <c r="Z681" i="1"/>
  <c r="Y681" i="1"/>
  <c r="X681" i="1"/>
  <c r="W681" i="1"/>
  <c r="V681" i="1"/>
  <c r="Z680" i="1"/>
  <c r="Y680" i="1"/>
  <c r="X680" i="1"/>
  <c r="W680" i="1"/>
  <c r="V680" i="1"/>
  <c r="Z679" i="1"/>
  <c r="Y679" i="1"/>
  <c r="X679" i="1"/>
  <c r="W679" i="1"/>
  <c r="V679" i="1"/>
  <c r="Z678" i="1"/>
  <c r="Y678" i="1"/>
  <c r="X678" i="1"/>
  <c r="W678" i="1"/>
  <c r="V678" i="1"/>
  <c r="Z677" i="1"/>
  <c r="Y677" i="1"/>
  <c r="X677" i="1"/>
  <c r="W677" i="1"/>
  <c r="V677" i="1"/>
  <c r="Z676" i="1"/>
  <c r="Y676" i="1"/>
  <c r="X676" i="1"/>
  <c r="W676" i="1"/>
  <c r="V676" i="1"/>
  <c r="Z675" i="1"/>
  <c r="Y675" i="1"/>
  <c r="X675" i="1"/>
  <c r="W675" i="1"/>
  <c r="V675" i="1"/>
  <c r="Z674" i="1"/>
  <c r="Y674" i="1"/>
  <c r="X674" i="1"/>
  <c r="W674" i="1"/>
  <c r="V674" i="1"/>
  <c r="Z673" i="1"/>
  <c r="Y673" i="1"/>
  <c r="X673" i="1"/>
  <c r="W673" i="1"/>
  <c r="V673" i="1"/>
  <c r="Z672" i="1"/>
  <c r="Y672" i="1"/>
  <c r="X672" i="1"/>
  <c r="W672" i="1"/>
  <c r="V672" i="1"/>
  <c r="Z671" i="1"/>
  <c r="Y671" i="1"/>
  <c r="X671" i="1"/>
  <c r="W671" i="1"/>
  <c r="V671" i="1"/>
  <c r="Z670" i="1"/>
  <c r="Y670" i="1"/>
  <c r="X670" i="1"/>
  <c r="W670" i="1"/>
  <c r="V670" i="1"/>
  <c r="Z669" i="1"/>
  <c r="Y669" i="1"/>
  <c r="X669" i="1"/>
  <c r="W669" i="1"/>
  <c r="V669" i="1"/>
  <c r="Z668" i="1"/>
  <c r="Y668" i="1"/>
  <c r="X668" i="1"/>
  <c r="W668" i="1"/>
  <c r="V668" i="1"/>
  <c r="Z667" i="1"/>
  <c r="Y667" i="1"/>
  <c r="X667" i="1"/>
  <c r="W667" i="1"/>
  <c r="V667" i="1"/>
  <c r="Z666" i="1"/>
  <c r="Y666" i="1"/>
  <c r="X666" i="1"/>
  <c r="W666" i="1"/>
  <c r="V666" i="1"/>
  <c r="Z665" i="1"/>
  <c r="Y665" i="1"/>
  <c r="X665" i="1"/>
  <c r="W665" i="1"/>
  <c r="V665" i="1"/>
  <c r="Z664" i="1"/>
  <c r="Y664" i="1"/>
  <c r="X664" i="1"/>
  <c r="W664" i="1"/>
  <c r="V664" i="1"/>
  <c r="Z663" i="1"/>
  <c r="Y663" i="1"/>
  <c r="X663" i="1"/>
  <c r="W663" i="1"/>
  <c r="V663" i="1"/>
  <c r="Z662" i="1"/>
  <c r="Y662" i="1"/>
  <c r="X662" i="1"/>
  <c r="W662" i="1"/>
  <c r="V662" i="1"/>
  <c r="Z661" i="1"/>
  <c r="Y661" i="1"/>
  <c r="X661" i="1"/>
  <c r="W661" i="1"/>
  <c r="V661" i="1"/>
  <c r="Z660" i="1"/>
  <c r="Y660" i="1"/>
  <c r="X660" i="1"/>
  <c r="W660" i="1"/>
  <c r="V660" i="1"/>
  <c r="Z659" i="1"/>
  <c r="Y659" i="1"/>
  <c r="X659" i="1"/>
  <c r="W659" i="1"/>
  <c r="V659" i="1"/>
  <c r="Z658" i="1"/>
  <c r="Y658" i="1"/>
  <c r="X658" i="1"/>
  <c r="W658" i="1"/>
  <c r="V658" i="1"/>
  <c r="Z657" i="1"/>
  <c r="Y657" i="1"/>
  <c r="X657" i="1"/>
  <c r="W657" i="1"/>
  <c r="V657" i="1"/>
  <c r="Z656" i="1"/>
  <c r="Y656" i="1"/>
  <c r="X656" i="1"/>
  <c r="W656" i="1"/>
  <c r="V656" i="1"/>
  <c r="Z655" i="1"/>
  <c r="Y655" i="1"/>
  <c r="X655" i="1"/>
  <c r="W655" i="1"/>
  <c r="V655" i="1"/>
  <c r="Z654" i="1"/>
  <c r="Y654" i="1"/>
  <c r="X654" i="1"/>
  <c r="W654" i="1"/>
  <c r="V654" i="1"/>
  <c r="Z653" i="1"/>
  <c r="Y653" i="1"/>
  <c r="X653" i="1"/>
  <c r="W653" i="1"/>
  <c r="V653" i="1"/>
  <c r="Z652" i="1"/>
  <c r="Y652" i="1"/>
  <c r="X652" i="1"/>
  <c r="W652" i="1"/>
  <c r="V652" i="1"/>
  <c r="Z651" i="1"/>
  <c r="Y651" i="1"/>
  <c r="X651" i="1"/>
  <c r="W651" i="1"/>
  <c r="V651" i="1"/>
  <c r="Z650" i="1"/>
  <c r="Y650" i="1"/>
  <c r="X650" i="1"/>
  <c r="W650" i="1"/>
  <c r="V650" i="1"/>
  <c r="Z649" i="1"/>
  <c r="Y649" i="1"/>
  <c r="X649" i="1"/>
  <c r="W649" i="1"/>
  <c r="V649" i="1"/>
  <c r="Z648" i="1"/>
  <c r="Y648" i="1"/>
  <c r="X648" i="1"/>
  <c r="W648" i="1"/>
  <c r="V648" i="1"/>
  <c r="Z647" i="1"/>
  <c r="Y647" i="1"/>
  <c r="X647" i="1"/>
  <c r="W647" i="1"/>
  <c r="V647" i="1"/>
  <c r="Z646" i="1"/>
  <c r="Y646" i="1"/>
  <c r="X646" i="1"/>
  <c r="W646" i="1"/>
  <c r="V646" i="1"/>
  <c r="Z645" i="1"/>
  <c r="Y645" i="1"/>
  <c r="X645" i="1"/>
  <c r="W645" i="1"/>
  <c r="V645" i="1"/>
  <c r="Z644" i="1"/>
  <c r="Y644" i="1"/>
  <c r="X644" i="1"/>
  <c r="W644" i="1"/>
  <c r="V644" i="1"/>
  <c r="Z643" i="1"/>
  <c r="Y643" i="1"/>
  <c r="X643" i="1"/>
  <c r="W643" i="1"/>
  <c r="V643" i="1"/>
  <c r="Z642" i="1"/>
  <c r="Y642" i="1"/>
  <c r="X642" i="1"/>
  <c r="W642" i="1"/>
  <c r="V642" i="1"/>
  <c r="Z641" i="1"/>
  <c r="Y641" i="1"/>
  <c r="X641" i="1"/>
  <c r="W641" i="1"/>
  <c r="V641" i="1"/>
  <c r="Z640" i="1"/>
  <c r="Y640" i="1"/>
  <c r="X640" i="1"/>
  <c r="W640" i="1"/>
  <c r="V640" i="1"/>
  <c r="Z639" i="1"/>
  <c r="Y639" i="1"/>
  <c r="X639" i="1"/>
  <c r="W639" i="1"/>
  <c r="V639" i="1"/>
  <c r="Z638" i="1"/>
  <c r="Y638" i="1"/>
  <c r="X638" i="1"/>
  <c r="W638" i="1"/>
  <c r="V638" i="1"/>
  <c r="Z637" i="1"/>
  <c r="Y637" i="1"/>
  <c r="X637" i="1"/>
  <c r="W637" i="1"/>
  <c r="V637" i="1"/>
  <c r="Z636" i="1"/>
  <c r="Y636" i="1"/>
  <c r="X636" i="1"/>
  <c r="W636" i="1"/>
  <c r="V636" i="1"/>
  <c r="Z635" i="1"/>
  <c r="Y635" i="1"/>
  <c r="X635" i="1"/>
  <c r="W635" i="1"/>
  <c r="V635" i="1"/>
  <c r="Z634" i="1"/>
  <c r="Y634" i="1"/>
  <c r="X634" i="1"/>
  <c r="W634" i="1"/>
  <c r="V634" i="1"/>
  <c r="Z633" i="1"/>
  <c r="Y633" i="1"/>
  <c r="X633" i="1"/>
  <c r="W633" i="1"/>
  <c r="V633" i="1"/>
  <c r="Z632" i="1"/>
  <c r="Y632" i="1"/>
  <c r="X632" i="1"/>
  <c r="W632" i="1"/>
  <c r="V632" i="1"/>
  <c r="Z631" i="1"/>
  <c r="Y631" i="1"/>
  <c r="X631" i="1"/>
  <c r="W631" i="1"/>
  <c r="V631" i="1"/>
  <c r="Z630" i="1"/>
  <c r="Y630" i="1"/>
  <c r="X630" i="1"/>
  <c r="W630" i="1"/>
  <c r="V630" i="1"/>
  <c r="Z629" i="1"/>
  <c r="Y629" i="1"/>
  <c r="X629" i="1"/>
  <c r="W629" i="1"/>
  <c r="V629" i="1"/>
  <c r="Z628" i="1"/>
  <c r="Y628" i="1"/>
  <c r="X628" i="1"/>
  <c r="W628" i="1"/>
  <c r="V628" i="1"/>
  <c r="Z627" i="1"/>
  <c r="Y627" i="1"/>
  <c r="X627" i="1"/>
  <c r="W627" i="1"/>
  <c r="V627" i="1"/>
  <c r="Z626" i="1"/>
  <c r="Y626" i="1"/>
  <c r="X626" i="1"/>
  <c r="W626" i="1"/>
  <c r="V626" i="1"/>
  <c r="Z625" i="1"/>
  <c r="Y625" i="1"/>
  <c r="X625" i="1"/>
  <c r="W625" i="1"/>
  <c r="V625" i="1"/>
  <c r="Z624" i="1"/>
  <c r="Y624" i="1"/>
  <c r="X624" i="1"/>
  <c r="W624" i="1"/>
  <c r="V624" i="1"/>
  <c r="Z623" i="1"/>
  <c r="Y623" i="1"/>
  <c r="X623" i="1"/>
  <c r="W623" i="1"/>
  <c r="V623" i="1"/>
  <c r="Z622" i="1"/>
  <c r="Y622" i="1"/>
  <c r="X622" i="1"/>
  <c r="W622" i="1"/>
  <c r="V622" i="1"/>
  <c r="Z621" i="1"/>
  <c r="Y621" i="1"/>
  <c r="X621" i="1"/>
  <c r="W621" i="1"/>
  <c r="V621" i="1"/>
  <c r="Z620" i="1"/>
  <c r="Y620" i="1"/>
  <c r="X620" i="1"/>
  <c r="W620" i="1"/>
  <c r="V620" i="1"/>
  <c r="Z619" i="1"/>
  <c r="Y619" i="1"/>
  <c r="X619" i="1"/>
  <c r="W619" i="1"/>
  <c r="V619" i="1"/>
  <c r="Z618" i="1"/>
  <c r="Y618" i="1"/>
  <c r="X618" i="1"/>
  <c r="W618" i="1"/>
  <c r="V618" i="1"/>
  <c r="Z617" i="1"/>
  <c r="Y617" i="1"/>
  <c r="X617" i="1"/>
  <c r="W617" i="1"/>
  <c r="V617" i="1"/>
  <c r="Z616" i="1"/>
  <c r="Y616" i="1"/>
  <c r="X616" i="1"/>
  <c r="W616" i="1"/>
  <c r="V616" i="1"/>
  <c r="Z615" i="1"/>
  <c r="Y615" i="1"/>
  <c r="X615" i="1"/>
  <c r="W615" i="1"/>
  <c r="V615" i="1"/>
  <c r="Z614" i="1"/>
  <c r="Y614" i="1"/>
  <c r="X614" i="1"/>
  <c r="W614" i="1"/>
  <c r="V614" i="1"/>
  <c r="Z613" i="1"/>
  <c r="Y613" i="1"/>
  <c r="X613" i="1"/>
  <c r="W613" i="1"/>
  <c r="V613" i="1"/>
  <c r="Z612" i="1"/>
  <c r="Y612" i="1"/>
  <c r="X612" i="1"/>
  <c r="W612" i="1"/>
  <c r="V612" i="1"/>
  <c r="Z611" i="1"/>
  <c r="Y611" i="1"/>
  <c r="X611" i="1"/>
  <c r="W611" i="1"/>
  <c r="V611" i="1"/>
  <c r="Z610" i="1"/>
  <c r="Y610" i="1"/>
  <c r="X610" i="1"/>
  <c r="W610" i="1"/>
  <c r="V610" i="1"/>
  <c r="Z609" i="1"/>
  <c r="Y609" i="1"/>
  <c r="X609" i="1"/>
  <c r="W609" i="1"/>
  <c r="V609" i="1"/>
  <c r="Z608" i="1"/>
  <c r="Y608" i="1"/>
  <c r="X608" i="1"/>
  <c r="W608" i="1"/>
  <c r="V608" i="1"/>
  <c r="Z607" i="1"/>
  <c r="Y607" i="1"/>
  <c r="X607" i="1"/>
  <c r="W607" i="1"/>
  <c r="V607" i="1"/>
  <c r="Z606" i="1"/>
  <c r="Y606" i="1"/>
  <c r="X606" i="1"/>
  <c r="W606" i="1"/>
  <c r="V606" i="1"/>
  <c r="Z605" i="1"/>
  <c r="Y605" i="1"/>
  <c r="X605" i="1"/>
  <c r="W605" i="1"/>
  <c r="V605" i="1"/>
  <c r="Z604" i="1"/>
  <c r="Y604" i="1"/>
  <c r="X604" i="1"/>
  <c r="W604" i="1"/>
  <c r="V604" i="1"/>
  <c r="Z603" i="1"/>
  <c r="Y603" i="1"/>
  <c r="X603" i="1"/>
  <c r="W603" i="1"/>
  <c r="V603" i="1"/>
  <c r="Z602" i="1"/>
  <c r="Y602" i="1"/>
  <c r="X602" i="1"/>
  <c r="W602" i="1"/>
  <c r="V602" i="1"/>
  <c r="Z601" i="1"/>
  <c r="Y601" i="1"/>
  <c r="X601" i="1"/>
  <c r="W601" i="1"/>
  <c r="V601" i="1"/>
  <c r="Z600" i="1"/>
  <c r="Y600" i="1"/>
  <c r="X600" i="1"/>
  <c r="W600" i="1"/>
  <c r="V600" i="1"/>
  <c r="Z599" i="1"/>
  <c r="Y599" i="1"/>
  <c r="X599" i="1"/>
  <c r="W599" i="1"/>
  <c r="V599" i="1"/>
  <c r="Z598" i="1"/>
  <c r="Y598" i="1"/>
  <c r="X598" i="1"/>
  <c r="W598" i="1"/>
  <c r="V598" i="1"/>
  <c r="Z597" i="1"/>
  <c r="Y597" i="1"/>
  <c r="X597" i="1"/>
  <c r="W597" i="1"/>
  <c r="V597" i="1"/>
  <c r="Z596" i="1"/>
  <c r="Y596" i="1"/>
  <c r="X596" i="1"/>
  <c r="W596" i="1"/>
  <c r="V596" i="1"/>
  <c r="Z595" i="1"/>
  <c r="Y595" i="1"/>
  <c r="X595" i="1"/>
  <c r="W595" i="1"/>
  <c r="V595" i="1"/>
  <c r="Z594" i="1"/>
  <c r="Y594" i="1"/>
  <c r="X594" i="1"/>
  <c r="W594" i="1"/>
  <c r="V594" i="1"/>
  <c r="Z593" i="1"/>
  <c r="Y593" i="1"/>
  <c r="X593" i="1"/>
  <c r="W593" i="1"/>
  <c r="V593" i="1"/>
  <c r="Z592" i="1"/>
  <c r="Y592" i="1"/>
  <c r="X592" i="1"/>
  <c r="W592" i="1"/>
  <c r="V592" i="1"/>
  <c r="Z591" i="1"/>
  <c r="Y591" i="1"/>
  <c r="X591" i="1"/>
  <c r="W591" i="1"/>
  <c r="V591" i="1"/>
  <c r="Z590" i="1"/>
  <c r="Y590" i="1"/>
  <c r="X590" i="1"/>
  <c r="W590" i="1"/>
  <c r="V590" i="1"/>
  <c r="Z589" i="1"/>
  <c r="Y589" i="1"/>
  <c r="X589" i="1"/>
  <c r="W589" i="1"/>
  <c r="V589" i="1"/>
  <c r="Z588" i="1"/>
  <c r="Y588" i="1"/>
  <c r="X588" i="1"/>
  <c r="W588" i="1"/>
  <c r="V588" i="1"/>
  <c r="Z587" i="1"/>
  <c r="Y587" i="1"/>
  <c r="X587" i="1"/>
  <c r="W587" i="1"/>
  <c r="V587" i="1"/>
  <c r="Z586" i="1"/>
  <c r="Y586" i="1"/>
  <c r="X586" i="1"/>
  <c r="W586" i="1"/>
  <c r="V586" i="1"/>
  <c r="Z585" i="1"/>
  <c r="Y585" i="1"/>
  <c r="X585" i="1"/>
  <c r="W585" i="1"/>
  <c r="V585" i="1"/>
  <c r="Z584" i="1"/>
  <c r="Y584" i="1"/>
  <c r="X584" i="1"/>
  <c r="W584" i="1"/>
  <c r="V584" i="1"/>
  <c r="Z583" i="1"/>
  <c r="Y583" i="1"/>
  <c r="X583" i="1"/>
  <c r="W583" i="1"/>
  <c r="V583" i="1"/>
  <c r="Z582" i="1"/>
  <c r="Y582" i="1"/>
  <c r="X582" i="1"/>
  <c r="W582" i="1"/>
  <c r="V582" i="1"/>
  <c r="Z581" i="1"/>
  <c r="Y581" i="1"/>
  <c r="X581" i="1"/>
  <c r="W581" i="1"/>
  <c r="V581" i="1"/>
  <c r="Z580" i="1"/>
  <c r="Y580" i="1"/>
  <c r="X580" i="1"/>
  <c r="W580" i="1"/>
  <c r="V580" i="1"/>
  <c r="Z579" i="1"/>
  <c r="Y579" i="1"/>
  <c r="X579" i="1"/>
  <c r="W579" i="1"/>
  <c r="V579" i="1"/>
  <c r="Z578" i="1"/>
  <c r="Y578" i="1"/>
  <c r="X578" i="1"/>
  <c r="W578" i="1"/>
  <c r="V578" i="1"/>
  <c r="Z577" i="1"/>
  <c r="Y577" i="1"/>
  <c r="X577" i="1"/>
  <c r="W577" i="1"/>
  <c r="V577" i="1"/>
  <c r="Z576" i="1"/>
  <c r="Y576" i="1"/>
  <c r="X576" i="1"/>
  <c r="W576" i="1"/>
  <c r="V576" i="1"/>
  <c r="Z575" i="1"/>
  <c r="Y575" i="1"/>
  <c r="X575" i="1"/>
  <c r="W575" i="1"/>
  <c r="V575" i="1"/>
  <c r="Z574" i="1"/>
  <c r="Y574" i="1"/>
  <c r="X574" i="1"/>
  <c r="W574" i="1"/>
  <c r="V574" i="1"/>
  <c r="Z573" i="1"/>
  <c r="Y573" i="1"/>
  <c r="X573" i="1"/>
  <c r="W573" i="1"/>
  <c r="V573" i="1"/>
  <c r="Z572" i="1"/>
  <c r="Y572" i="1"/>
  <c r="X572" i="1"/>
  <c r="W572" i="1"/>
  <c r="V572" i="1"/>
  <c r="Z571" i="1"/>
  <c r="Y571" i="1"/>
  <c r="X571" i="1"/>
  <c r="W571" i="1"/>
  <c r="V571" i="1"/>
  <c r="Z570" i="1"/>
  <c r="Y570" i="1"/>
  <c r="X570" i="1"/>
  <c r="W570" i="1"/>
  <c r="V570" i="1"/>
  <c r="Z569" i="1"/>
  <c r="Y569" i="1"/>
  <c r="X569" i="1"/>
  <c r="W569" i="1"/>
  <c r="V569" i="1"/>
  <c r="Z568" i="1"/>
  <c r="Y568" i="1"/>
  <c r="X568" i="1"/>
  <c r="W568" i="1"/>
  <c r="V568" i="1"/>
  <c r="Z567" i="1"/>
  <c r="Y567" i="1"/>
  <c r="X567" i="1"/>
  <c r="W567" i="1"/>
  <c r="V567" i="1"/>
  <c r="Z566" i="1"/>
  <c r="Y566" i="1"/>
  <c r="X566" i="1"/>
  <c r="W566" i="1"/>
  <c r="V566" i="1"/>
  <c r="Z565" i="1"/>
  <c r="Y565" i="1"/>
  <c r="X565" i="1"/>
  <c r="W565" i="1"/>
  <c r="V565" i="1"/>
  <c r="Z564" i="1"/>
  <c r="Y564" i="1"/>
  <c r="X564" i="1"/>
  <c r="W564" i="1"/>
  <c r="V564" i="1"/>
  <c r="Z563" i="1"/>
  <c r="Y563" i="1"/>
  <c r="X563" i="1"/>
  <c r="W563" i="1"/>
  <c r="V563" i="1"/>
  <c r="Z562" i="1"/>
  <c r="Y562" i="1"/>
  <c r="X562" i="1"/>
  <c r="W562" i="1"/>
  <c r="V562" i="1"/>
  <c r="Z561" i="1"/>
  <c r="Y561" i="1"/>
  <c r="X561" i="1"/>
  <c r="W561" i="1"/>
  <c r="V561" i="1"/>
  <c r="Z560" i="1"/>
  <c r="Y560" i="1"/>
  <c r="X560" i="1"/>
  <c r="W560" i="1"/>
  <c r="V560" i="1"/>
  <c r="Z559" i="1"/>
  <c r="Y559" i="1"/>
  <c r="X559" i="1"/>
  <c r="W559" i="1"/>
  <c r="V559" i="1"/>
  <c r="Z558" i="1"/>
  <c r="Y558" i="1"/>
  <c r="X558" i="1"/>
  <c r="W558" i="1"/>
  <c r="V558" i="1"/>
  <c r="Z557" i="1"/>
  <c r="Y557" i="1"/>
  <c r="X557" i="1"/>
  <c r="W557" i="1"/>
  <c r="V557" i="1"/>
  <c r="Z556" i="1"/>
  <c r="Y556" i="1"/>
  <c r="X556" i="1"/>
  <c r="W556" i="1"/>
  <c r="V556" i="1"/>
  <c r="Z555" i="1"/>
  <c r="Y555" i="1"/>
  <c r="X555" i="1"/>
  <c r="W555" i="1"/>
  <c r="V555" i="1"/>
  <c r="Z554" i="1"/>
  <c r="Y554" i="1"/>
  <c r="X554" i="1"/>
  <c r="W554" i="1"/>
  <c r="V554" i="1"/>
  <c r="Z553" i="1"/>
  <c r="Y553" i="1"/>
  <c r="X553" i="1"/>
  <c r="W553" i="1"/>
  <c r="V553" i="1"/>
  <c r="Z552" i="1"/>
  <c r="Y552" i="1"/>
  <c r="X552" i="1"/>
  <c r="W552" i="1"/>
  <c r="V552" i="1"/>
  <c r="Z551" i="1"/>
  <c r="Y551" i="1"/>
  <c r="X551" i="1"/>
  <c r="W551" i="1"/>
  <c r="V551" i="1"/>
  <c r="Z550" i="1"/>
  <c r="Y550" i="1"/>
  <c r="X550" i="1"/>
  <c r="W550" i="1"/>
  <c r="V550" i="1"/>
  <c r="Z549" i="1"/>
  <c r="Y549" i="1"/>
  <c r="X549" i="1"/>
  <c r="W549" i="1"/>
  <c r="V549" i="1"/>
  <c r="Z548" i="1"/>
  <c r="Y548" i="1"/>
  <c r="X548" i="1"/>
  <c r="W548" i="1"/>
  <c r="V548" i="1"/>
  <c r="Z547" i="1"/>
  <c r="Y547" i="1"/>
  <c r="X547" i="1"/>
  <c r="W547" i="1"/>
  <c r="V547" i="1"/>
  <c r="Z546" i="1"/>
  <c r="Y546" i="1"/>
  <c r="X546" i="1"/>
  <c r="W546" i="1"/>
  <c r="V546" i="1"/>
  <c r="Z545" i="1"/>
  <c r="Y545" i="1"/>
  <c r="X545" i="1"/>
  <c r="W545" i="1"/>
  <c r="V545" i="1"/>
  <c r="Z544" i="1"/>
  <c r="Y544" i="1"/>
  <c r="X544" i="1"/>
  <c r="W544" i="1"/>
  <c r="V544" i="1"/>
  <c r="Z543" i="1"/>
  <c r="Y543" i="1"/>
  <c r="X543" i="1"/>
  <c r="W543" i="1"/>
  <c r="V543" i="1"/>
  <c r="Z542" i="1"/>
  <c r="Y542" i="1"/>
  <c r="X542" i="1"/>
  <c r="W542" i="1"/>
  <c r="V542" i="1"/>
  <c r="Z541" i="1"/>
  <c r="Y541" i="1"/>
  <c r="X541" i="1"/>
  <c r="W541" i="1"/>
  <c r="V541" i="1"/>
  <c r="Z540" i="1"/>
  <c r="Y540" i="1"/>
  <c r="X540" i="1"/>
  <c r="W540" i="1"/>
  <c r="V540" i="1"/>
  <c r="Z539" i="1"/>
  <c r="Y539" i="1"/>
  <c r="X539" i="1"/>
  <c r="W539" i="1"/>
  <c r="V539" i="1"/>
  <c r="Z538" i="1"/>
  <c r="Y538" i="1"/>
  <c r="X538" i="1"/>
  <c r="W538" i="1"/>
  <c r="V538" i="1"/>
  <c r="Z537" i="1"/>
  <c r="Y537" i="1"/>
  <c r="X537" i="1"/>
  <c r="W537" i="1"/>
  <c r="V537" i="1"/>
  <c r="Z536" i="1"/>
  <c r="Y536" i="1"/>
  <c r="X536" i="1"/>
  <c r="W536" i="1"/>
  <c r="V536" i="1"/>
  <c r="Z535" i="1"/>
  <c r="Y535" i="1"/>
  <c r="X535" i="1"/>
  <c r="W535" i="1"/>
  <c r="V535" i="1"/>
  <c r="Z534" i="1"/>
  <c r="Y534" i="1"/>
  <c r="X534" i="1"/>
  <c r="W534" i="1"/>
  <c r="V534" i="1"/>
  <c r="Z533" i="1"/>
  <c r="Y533" i="1"/>
  <c r="X533" i="1"/>
  <c r="W533" i="1"/>
  <c r="V533" i="1"/>
  <c r="Z532" i="1"/>
  <c r="Y532" i="1"/>
  <c r="X532" i="1"/>
  <c r="W532" i="1"/>
  <c r="V532" i="1"/>
  <c r="Z531" i="1"/>
  <c r="Y531" i="1"/>
  <c r="X531" i="1"/>
  <c r="W531" i="1"/>
  <c r="V531" i="1"/>
  <c r="Z530" i="1"/>
  <c r="Y530" i="1"/>
  <c r="X530" i="1"/>
  <c r="W530" i="1"/>
  <c r="V530" i="1"/>
  <c r="Z529" i="1"/>
  <c r="Y529" i="1"/>
  <c r="X529" i="1"/>
  <c r="W529" i="1"/>
  <c r="V529" i="1"/>
  <c r="Z528" i="1"/>
  <c r="Y528" i="1"/>
  <c r="X528" i="1"/>
  <c r="W528" i="1"/>
  <c r="V528" i="1"/>
  <c r="Z527" i="1"/>
  <c r="Y527" i="1"/>
  <c r="X527" i="1"/>
  <c r="W527" i="1"/>
  <c r="V527" i="1"/>
  <c r="Z526" i="1"/>
  <c r="Y526" i="1"/>
  <c r="X526" i="1"/>
  <c r="W526" i="1"/>
  <c r="V526" i="1"/>
  <c r="Z525" i="1"/>
  <c r="Y525" i="1"/>
  <c r="X525" i="1"/>
  <c r="W525" i="1"/>
  <c r="V525" i="1"/>
  <c r="Z524" i="1"/>
  <c r="Y524" i="1"/>
  <c r="X524" i="1"/>
  <c r="W524" i="1"/>
  <c r="V524" i="1"/>
  <c r="Z523" i="1"/>
  <c r="Y523" i="1"/>
  <c r="X523" i="1"/>
  <c r="W523" i="1"/>
  <c r="V523" i="1"/>
  <c r="Z522" i="1"/>
  <c r="Y522" i="1"/>
  <c r="X522" i="1"/>
  <c r="W522" i="1"/>
  <c r="V522" i="1"/>
  <c r="Z521" i="1"/>
  <c r="Y521" i="1"/>
  <c r="X521" i="1"/>
  <c r="W521" i="1"/>
  <c r="V521" i="1"/>
  <c r="Z520" i="1"/>
  <c r="Y520" i="1"/>
  <c r="X520" i="1"/>
  <c r="W520" i="1"/>
  <c r="V520" i="1"/>
  <c r="Z519" i="1"/>
  <c r="Y519" i="1"/>
  <c r="X519" i="1"/>
  <c r="W519" i="1"/>
  <c r="V519" i="1"/>
  <c r="Z518" i="1"/>
  <c r="Y518" i="1"/>
  <c r="X518" i="1"/>
  <c r="W518" i="1"/>
  <c r="V518" i="1"/>
  <c r="Z517" i="1"/>
  <c r="Y517" i="1"/>
  <c r="X517" i="1"/>
  <c r="W517" i="1"/>
  <c r="V517" i="1"/>
  <c r="Z516" i="1"/>
  <c r="Y516" i="1"/>
  <c r="X516" i="1"/>
  <c r="W516" i="1"/>
  <c r="V516" i="1"/>
  <c r="Z515" i="1"/>
  <c r="Y515" i="1"/>
  <c r="X515" i="1"/>
  <c r="W515" i="1"/>
  <c r="V515" i="1"/>
  <c r="Z514" i="1"/>
  <c r="Y514" i="1"/>
  <c r="X514" i="1"/>
  <c r="W514" i="1"/>
  <c r="V514" i="1"/>
  <c r="Z513" i="1"/>
  <c r="Y513" i="1"/>
  <c r="X513" i="1"/>
  <c r="W513" i="1"/>
  <c r="V513" i="1"/>
  <c r="Z512" i="1"/>
  <c r="Y512" i="1"/>
  <c r="X512" i="1"/>
  <c r="W512" i="1"/>
  <c r="V512" i="1"/>
  <c r="Z511" i="1"/>
  <c r="Y511" i="1"/>
  <c r="X511" i="1"/>
  <c r="W511" i="1"/>
  <c r="V511" i="1"/>
  <c r="Z510" i="1"/>
  <c r="Y510" i="1"/>
  <c r="X510" i="1"/>
  <c r="W510" i="1"/>
  <c r="V510" i="1"/>
  <c r="Z509" i="1"/>
  <c r="Y509" i="1"/>
  <c r="X509" i="1"/>
  <c r="W509" i="1"/>
  <c r="V509" i="1"/>
  <c r="Z508" i="1"/>
  <c r="Y508" i="1"/>
  <c r="X508" i="1"/>
  <c r="W508" i="1"/>
  <c r="V508" i="1"/>
  <c r="Z507" i="1"/>
  <c r="Y507" i="1"/>
  <c r="X507" i="1"/>
  <c r="W507" i="1"/>
  <c r="V507" i="1"/>
  <c r="Z506" i="1"/>
  <c r="Y506" i="1"/>
  <c r="X506" i="1"/>
  <c r="W506" i="1"/>
  <c r="V506" i="1"/>
  <c r="Z505" i="1"/>
  <c r="Y505" i="1"/>
  <c r="X505" i="1"/>
  <c r="W505" i="1"/>
  <c r="V505" i="1"/>
  <c r="Z504" i="1"/>
  <c r="Y504" i="1"/>
  <c r="X504" i="1"/>
  <c r="W504" i="1"/>
  <c r="V504" i="1"/>
  <c r="Z503" i="1"/>
  <c r="Y503" i="1"/>
  <c r="X503" i="1"/>
  <c r="W503" i="1"/>
  <c r="V503" i="1"/>
  <c r="Z502" i="1"/>
  <c r="Y502" i="1"/>
  <c r="X502" i="1"/>
  <c r="W502" i="1"/>
  <c r="V502" i="1"/>
  <c r="Z501" i="1"/>
  <c r="Y501" i="1"/>
  <c r="X501" i="1"/>
  <c r="W501" i="1"/>
  <c r="V501" i="1"/>
  <c r="Z500" i="1"/>
  <c r="Y500" i="1"/>
  <c r="X500" i="1"/>
  <c r="W500" i="1"/>
  <c r="V500" i="1"/>
  <c r="Z499" i="1"/>
  <c r="Y499" i="1"/>
  <c r="X499" i="1"/>
  <c r="W499" i="1"/>
  <c r="V499" i="1"/>
  <c r="Z498" i="1"/>
  <c r="Y498" i="1"/>
  <c r="X498" i="1"/>
  <c r="W498" i="1"/>
  <c r="V498" i="1"/>
  <c r="Z497" i="1"/>
  <c r="Y497" i="1"/>
  <c r="X497" i="1"/>
  <c r="W497" i="1"/>
  <c r="V497" i="1"/>
  <c r="Z496" i="1"/>
  <c r="Y496" i="1"/>
  <c r="X496" i="1"/>
  <c r="W496" i="1"/>
  <c r="V496" i="1"/>
  <c r="Z495" i="1"/>
  <c r="Y495" i="1"/>
  <c r="X495" i="1"/>
  <c r="W495" i="1"/>
  <c r="V495" i="1"/>
  <c r="Z494" i="1"/>
  <c r="Y494" i="1"/>
  <c r="X494" i="1"/>
  <c r="W494" i="1"/>
  <c r="V494" i="1"/>
  <c r="Z493" i="1"/>
  <c r="Y493" i="1"/>
  <c r="X493" i="1"/>
  <c r="W493" i="1"/>
  <c r="V493" i="1"/>
  <c r="Z492" i="1"/>
  <c r="Y492" i="1"/>
  <c r="X492" i="1"/>
  <c r="W492" i="1"/>
  <c r="V492" i="1"/>
  <c r="Z491" i="1"/>
  <c r="Y491" i="1"/>
  <c r="X491" i="1"/>
  <c r="W491" i="1"/>
  <c r="V491" i="1"/>
  <c r="Z490" i="1"/>
  <c r="Y490" i="1"/>
  <c r="X490" i="1"/>
  <c r="W490" i="1"/>
  <c r="V490" i="1"/>
  <c r="Z489" i="1"/>
  <c r="Y489" i="1"/>
  <c r="X489" i="1"/>
  <c r="W489" i="1"/>
  <c r="V489" i="1"/>
  <c r="Z488" i="1"/>
  <c r="Y488" i="1"/>
  <c r="X488" i="1"/>
  <c r="W488" i="1"/>
  <c r="V488" i="1"/>
  <c r="Z487" i="1"/>
  <c r="Y487" i="1"/>
  <c r="X487" i="1"/>
  <c r="W487" i="1"/>
  <c r="V487" i="1"/>
  <c r="Z486" i="1"/>
  <c r="Y486" i="1"/>
  <c r="X486" i="1"/>
  <c r="W486" i="1"/>
  <c r="V486" i="1"/>
  <c r="Z485" i="1"/>
  <c r="Y485" i="1"/>
  <c r="X485" i="1"/>
  <c r="W485" i="1"/>
  <c r="V485" i="1"/>
  <c r="Z484" i="1"/>
  <c r="Y484" i="1"/>
  <c r="X484" i="1"/>
  <c r="W484" i="1"/>
  <c r="V484" i="1"/>
  <c r="Z483" i="1"/>
  <c r="Y483" i="1"/>
  <c r="X483" i="1"/>
  <c r="W483" i="1"/>
  <c r="V483" i="1"/>
  <c r="Z482" i="1"/>
  <c r="Y482" i="1"/>
  <c r="X482" i="1"/>
  <c r="W482" i="1"/>
  <c r="V482" i="1"/>
  <c r="Z481" i="1"/>
  <c r="Y481" i="1"/>
  <c r="X481" i="1"/>
  <c r="W481" i="1"/>
  <c r="V481" i="1"/>
  <c r="Z480" i="1"/>
  <c r="Y480" i="1"/>
  <c r="X480" i="1"/>
  <c r="W480" i="1"/>
  <c r="V480" i="1"/>
  <c r="Z479" i="1"/>
  <c r="Y479" i="1"/>
  <c r="X479" i="1"/>
  <c r="W479" i="1"/>
  <c r="V479" i="1"/>
  <c r="Z478" i="1"/>
  <c r="Y478" i="1"/>
  <c r="X478" i="1"/>
  <c r="W478" i="1"/>
  <c r="V478" i="1"/>
  <c r="Z477" i="1"/>
  <c r="Y477" i="1"/>
  <c r="X477" i="1"/>
  <c r="W477" i="1"/>
  <c r="V477" i="1"/>
  <c r="Z476" i="1"/>
  <c r="Y476" i="1"/>
  <c r="X476" i="1"/>
  <c r="W476" i="1"/>
  <c r="V476" i="1"/>
  <c r="Z475" i="1"/>
  <c r="Y475" i="1"/>
  <c r="X475" i="1"/>
  <c r="W475" i="1"/>
  <c r="V475" i="1"/>
  <c r="Z474" i="1"/>
  <c r="Y474" i="1"/>
  <c r="X474" i="1"/>
  <c r="W474" i="1"/>
  <c r="V474" i="1"/>
  <c r="Z473" i="1"/>
  <c r="Y473" i="1"/>
  <c r="X473" i="1"/>
  <c r="W473" i="1"/>
  <c r="V473" i="1"/>
  <c r="Z472" i="1"/>
  <c r="Y472" i="1"/>
  <c r="X472" i="1"/>
  <c r="W472" i="1"/>
  <c r="V472" i="1"/>
  <c r="Z471" i="1"/>
  <c r="Y471" i="1"/>
  <c r="X471" i="1"/>
  <c r="W471" i="1"/>
  <c r="V471" i="1"/>
  <c r="Z470" i="1"/>
  <c r="Y470" i="1"/>
  <c r="X470" i="1"/>
  <c r="W470" i="1"/>
  <c r="V470" i="1"/>
  <c r="Z469" i="1"/>
  <c r="Y469" i="1"/>
  <c r="X469" i="1"/>
  <c r="W469" i="1"/>
  <c r="V469" i="1"/>
  <c r="Z468" i="1"/>
  <c r="Y468" i="1"/>
  <c r="X468" i="1"/>
  <c r="W468" i="1"/>
  <c r="V468" i="1"/>
  <c r="Z467" i="1"/>
  <c r="Y467" i="1"/>
  <c r="X467" i="1"/>
  <c r="W467" i="1"/>
  <c r="V467" i="1"/>
  <c r="Z466" i="1"/>
  <c r="Y466" i="1"/>
  <c r="X466" i="1"/>
  <c r="W466" i="1"/>
  <c r="V466" i="1"/>
  <c r="Z465" i="1"/>
  <c r="Y465" i="1"/>
  <c r="X465" i="1"/>
  <c r="W465" i="1"/>
  <c r="V465" i="1"/>
  <c r="Z464" i="1"/>
  <c r="Y464" i="1"/>
  <c r="X464" i="1"/>
  <c r="W464" i="1"/>
  <c r="V464" i="1"/>
  <c r="Z463" i="1"/>
  <c r="Y463" i="1"/>
  <c r="X463" i="1"/>
  <c r="W463" i="1"/>
  <c r="V463" i="1"/>
  <c r="Z462" i="1"/>
  <c r="Y462" i="1"/>
  <c r="X462" i="1"/>
  <c r="W462" i="1"/>
  <c r="V462" i="1"/>
  <c r="Z461" i="1"/>
  <c r="Y461" i="1"/>
  <c r="X461" i="1"/>
  <c r="W461" i="1"/>
  <c r="V461" i="1"/>
  <c r="Z460" i="1"/>
  <c r="Y460" i="1"/>
  <c r="X460" i="1"/>
  <c r="W460" i="1"/>
  <c r="V460" i="1"/>
  <c r="Z459" i="1"/>
  <c r="Y459" i="1"/>
  <c r="X459" i="1"/>
  <c r="W459" i="1"/>
  <c r="V459" i="1"/>
  <c r="Z458" i="1"/>
  <c r="Y458" i="1"/>
  <c r="X458" i="1"/>
  <c r="W458" i="1"/>
  <c r="V458" i="1"/>
  <c r="Z457" i="1"/>
  <c r="Y457" i="1"/>
  <c r="X457" i="1"/>
  <c r="W457" i="1"/>
  <c r="V457" i="1"/>
  <c r="Z456" i="1"/>
  <c r="Y456" i="1"/>
  <c r="X456" i="1"/>
  <c r="W456" i="1"/>
  <c r="V456" i="1"/>
  <c r="Z455" i="1"/>
  <c r="Y455" i="1"/>
  <c r="X455" i="1"/>
  <c r="W455" i="1"/>
  <c r="V455" i="1"/>
  <c r="Z454" i="1"/>
  <c r="Y454" i="1"/>
  <c r="X454" i="1"/>
  <c r="W454" i="1"/>
  <c r="V454" i="1"/>
  <c r="Z453" i="1"/>
  <c r="Y453" i="1"/>
  <c r="X453" i="1"/>
  <c r="W453" i="1"/>
  <c r="V453" i="1"/>
  <c r="Z452" i="1"/>
  <c r="Y452" i="1"/>
  <c r="X452" i="1"/>
  <c r="W452" i="1"/>
  <c r="V452" i="1"/>
  <c r="Z451" i="1"/>
  <c r="Y451" i="1"/>
  <c r="X451" i="1"/>
  <c r="W451" i="1"/>
  <c r="V451" i="1"/>
  <c r="Z450" i="1"/>
  <c r="Y450" i="1"/>
  <c r="X450" i="1"/>
  <c r="W450" i="1"/>
  <c r="V450" i="1"/>
  <c r="Z449" i="1"/>
  <c r="Y449" i="1"/>
  <c r="X449" i="1"/>
  <c r="W449" i="1"/>
  <c r="V449" i="1"/>
  <c r="Z448" i="1"/>
  <c r="Y448" i="1"/>
  <c r="X448" i="1"/>
  <c r="W448" i="1"/>
  <c r="V448" i="1"/>
  <c r="Z447" i="1"/>
  <c r="Y447" i="1"/>
  <c r="X447" i="1"/>
  <c r="W447" i="1"/>
  <c r="V447" i="1"/>
  <c r="Z446" i="1"/>
  <c r="Y446" i="1"/>
  <c r="X446" i="1"/>
  <c r="W446" i="1"/>
  <c r="V446" i="1"/>
  <c r="Z445" i="1"/>
  <c r="Y445" i="1"/>
  <c r="X445" i="1"/>
  <c r="W445" i="1"/>
  <c r="V445" i="1"/>
  <c r="Z444" i="1"/>
  <c r="Y444" i="1"/>
  <c r="X444" i="1"/>
  <c r="W444" i="1"/>
  <c r="V444" i="1"/>
  <c r="Z443" i="1"/>
  <c r="Y443" i="1"/>
  <c r="X443" i="1"/>
  <c r="W443" i="1"/>
  <c r="V443" i="1"/>
  <c r="Z442" i="1"/>
  <c r="Y442" i="1"/>
  <c r="X442" i="1"/>
  <c r="W442" i="1"/>
  <c r="V442" i="1"/>
  <c r="Z441" i="1"/>
  <c r="Y441" i="1"/>
  <c r="X441" i="1"/>
  <c r="W441" i="1"/>
  <c r="V441" i="1"/>
  <c r="Z440" i="1"/>
  <c r="Y440" i="1"/>
  <c r="X440" i="1"/>
  <c r="W440" i="1"/>
  <c r="V440" i="1"/>
  <c r="Z439" i="1"/>
  <c r="Y439" i="1"/>
  <c r="X439" i="1"/>
  <c r="W439" i="1"/>
  <c r="V439" i="1"/>
  <c r="Z438" i="1"/>
  <c r="Y438" i="1"/>
  <c r="X438" i="1"/>
  <c r="W438" i="1"/>
  <c r="V438" i="1"/>
  <c r="Z437" i="1"/>
  <c r="Y437" i="1"/>
  <c r="X437" i="1"/>
  <c r="W437" i="1"/>
  <c r="V437" i="1"/>
  <c r="Z436" i="1"/>
  <c r="Y436" i="1"/>
  <c r="X436" i="1"/>
  <c r="W436" i="1"/>
  <c r="V436" i="1"/>
  <c r="Z435" i="1"/>
  <c r="Y435" i="1"/>
  <c r="X435" i="1"/>
  <c r="W435" i="1"/>
  <c r="V435" i="1"/>
  <c r="Z434" i="1"/>
  <c r="Y434" i="1"/>
  <c r="X434" i="1"/>
  <c r="W434" i="1"/>
  <c r="V434" i="1"/>
  <c r="Z433" i="1"/>
  <c r="Y433" i="1"/>
  <c r="X433" i="1"/>
  <c r="W433" i="1"/>
  <c r="V433" i="1"/>
  <c r="Z432" i="1"/>
  <c r="Y432" i="1"/>
  <c r="X432" i="1"/>
  <c r="W432" i="1"/>
  <c r="V432" i="1"/>
  <c r="Z431" i="1"/>
  <c r="Y431" i="1"/>
  <c r="X431" i="1"/>
  <c r="W431" i="1"/>
  <c r="V431" i="1"/>
  <c r="Z430" i="1"/>
  <c r="Y430" i="1"/>
  <c r="X430" i="1"/>
  <c r="W430" i="1"/>
  <c r="V430" i="1"/>
  <c r="Z429" i="1"/>
  <c r="Y429" i="1"/>
  <c r="X429" i="1"/>
  <c r="W429" i="1"/>
  <c r="V429" i="1"/>
  <c r="Z428" i="1"/>
  <c r="Y428" i="1"/>
  <c r="X428" i="1"/>
  <c r="W428" i="1"/>
  <c r="V428" i="1"/>
  <c r="Z427" i="1"/>
  <c r="Y427" i="1"/>
  <c r="X427" i="1"/>
  <c r="W427" i="1"/>
  <c r="V427" i="1"/>
  <c r="Z426" i="1"/>
  <c r="Y426" i="1"/>
  <c r="X426" i="1"/>
  <c r="W426" i="1"/>
  <c r="V426" i="1"/>
  <c r="Z425" i="1"/>
  <c r="Y425" i="1"/>
  <c r="X425" i="1"/>
  <c r="W425" i="1"/>
  <c r="V425" i="1"/>
  <c r="Z424" i="1"/>
  <c r="Y424" i="1"/>
  <c r="X424" i="1"/>
  <c r="W424" i="1"/>
  <c r="V424" i="1"/>
  <c r="Z423" i="1"/>
  <c r="Y423" i="1"/>
  <c r="X423" i="1"/>
  <c r="W423" i="1"/>
  <c r="V423" i="1"/>
  <c r="Z422" i="1"/>
  <c r="Y422" i="1"/>
  <c r="X422" i="1"/>
  <c r="W422" i="1"/>
  <c r="V422" i="1"/>
  <c r="Z421" i="1"/>
  <c r="Y421" i="1"/>
  <c r="X421" i="1"/>
  <c r="W421" i="1"/>
  <c r="V421" i="1"/>
  <c r="Z420" i="1"/>
  <c r="Y420" i="1"/>
  <c r="X420" i="1"/>
  <c r="W420" i="1"/>
  <c r="V420" i="1"/>
  <c r="Z419" i="1"/>
  <c r="Y419" i="1"/>
  <c r="X419" i="1"/>
  <c r="W419" i="1"/>
  <c r="V419" i="1"/>
  <c r="Z418" i="1"/>
  <c r="Y418" i="1"/>
  <c r="X418" i="1"/>
  <c r="W418" i="1"/>
  <c r="V418" i="1"/>
  <c r="Z417" i="1"/>
  <c r="Y417" i="1"/>
  <c r="X417" i="1"/>
  <c r="W417" i="1"/>
  <c r="V417" i="1"/>
  <c r="Z416" i="1"/>
  <c r="Y416" i="1"/>
  <c r="X416" i="1"/>
  <c r="W416" i="1"/>
  <c r="V416" i="1"/>
  <c r="Z415" i="1"/>
  <c r="Y415" i="1"/>
  <c r="X415" i="1"/>
  <c r="W415" i="1"/>
  <c r="V415" i="1"/>
  <c r="Z414" i="1"/>
  <c r="Y414" i="1"/>
  <c r="X414" i="1"/>
  <c r="W414" i="1"/>
  <c r="V414" i="1"/>
  <c r="Z413" i="1"/>
  <c r="Y413" i="1"/>
  <c r="X413" i="1"/>
  <c r="W413" i="1"/>
  <c r="V413" i="1"/>
  <c r="Z412" i="1"/>
  <c r="Y412" i="1"/>
  <c r="X412" i="1"/>
  <c r="W412" i="1"/>
  <c r="V412" i="1"/>
  <c r="Z411" i="1"/>
  <c r="Y411" i="1"/>
  <c r="X411" i="1"/>
  <c r="W411" i="1"/>
  <c r="V411" i="1"/>
  <c r="Z410" i="1"/>
  <c r="Y410" i="1"/>
  <c r="X410" i="1"/>
  <c r="W410" i="1"/>
  <c r="V410" i="1"/>
  <c r="Z409" i="1"/>
  <c r="Y409" i="1"/>
  <c r="X409" i="1"/>
  <c r="W409" i="1"/>
  <c r="V409" i="1"/>
  <c r="Z408" i="1"/>
  <c r="Y408" i="1"/>
  <c r="X408" i="1"/>
  <c r="W408" i="1"/>
  <c r="V408" i="1"/>
  <c r="Z407" i="1"/>
  <c r="Y407" i="1"/>
  <c r="X407" i="1"/>
  <c r="W407" i="1"/>
  <c r="V407" i="1"/>
  <c r="Z406" i="1"/>
  <c r="Y406" i="1"/>
  <c r="X406" i="1"/>
  <c r="W406" i="1"/>
  <c r="V406" i="1"/>
  <c r="Z405" i="1"/>
  <c r="Y405" i="1"/>
  <c r="X405" i="1"/>
  <c r="W405" i="1"/>
  <c r="V405" i="1"/>
  <c r="Z404" i="1"/>
  <c r="Y404" i="1"/>
  <c r="X404" i="1"/>
  <c r="W404" i="1"/>
  <c r="V404" i="1"/>
  <c r="Z403" i="1"/>
  <c r="Y403" i="1"/>
  <c r="X403" i="1"/>
  <c r="W403" i="1"/>
  <c r="V403" i="1"/>
  <c r="Z402" i="1"/>
  <c r="Y402" i="1"/>
  <c r="X402" i="1"/>
  <c r="W402" i="1"/>
  <c r="V402" i="1"/>
  <c r="Z401" i="1"/>
  <c r="Y401" i="1"/>
  <c r="X401" i="1"/>
  <c r="W401" i="1"/>
  <c r="V401" i="1"/>
  <c r="Z400" i="1"/>
  <c r="Y400" i="1"/>
  <c r="X400" i="1"/>
  <c r="W400" i="1"/>
  <c r="V400" i="1"/>
  <c r="Z399" i="1"/>
  <c r="Y399" i="1"/>
  <c r="X399" i="1"/>
  <c r="W399" i="1"/>
  <c r="V399" i="1"/>
  <c r="Z398" i="1"/>
  <c r="Y398" i="1"/>
  <c r="X398" i="1"/>
  <c r="W398" i="1"/>
  <c r="V398" i="1"/>
  <c r="Z397" i="1"/>
  <c r="Y397" i="1"/>
  <c r="X397" i="1"/>
  <c r="W397" i="1"/>
  <c r="V397" i="1"/>
  <c r="Z396" i="1"/>
  <c r="Y396" i="1"/>
  <c r="X396" i="1"/>
  <c r="W396" i="1"/>
  <c r="V396" i="1"/>
  <c r="Z395" i="1"/>
  <c r="Y395" i="1"/>
  <c r="X395" i="1"/>
  <c r="W395" i="1"/>
  <c r="V395" i="1"/>
  <c r="Z394" i="1"/>
  <c r="Y394" i="1"/>
  <c r="X394" i="1"/>
  <c r="W394" i="1"/>
  <c r="V394" i="1"/>
  <c r="Z393" i="1"/>
  <c r="Y393" i="1"/>
  <c r="X393" i="1"/>
  <c r="W393" i="1"/>
  <c r="V393" i="1"/>
  <c r="Z392" i="1"/>
  <c r="Y392" i="1"/>
  <c r="X392" i="1"/>
  <c r="W392" i="1"/>
  <c r="V392" i="1"/>
  <c r="Z391" i="1"/>
  <c r="Y391" i="1"/>
  <c r="X391" i="1"/>
  <c r="W391" i="1"/>
  <c r="V391" i="1"/>
  <c r="Z390" i="1"/>
  <c r="Y390" i="1"/>
  <c r="X390" i="1"/>
  <c r="W390" i="1"/>
  <c r="V390" i="1"/>
  <c r="Z389" i="1"/>
  <c r="Y389" i="1"/>
  <c r="X389" i="1"/>
  <c r="W389" i="1"/>
  <c r="V389" i="1"/>
  <c r="Z388" i="1"/>
  <c r="Y388" i="1"/>
  <c r="X388" i="1"/>
  <c r="W388" i="1"/>
  <c r="V388" i="1"/>
  <c r="Z387" i="1"/>
  <c r="Y387" i="1"/>
  <c r="X387" i="1"/>
  <c r="W387" i="1"/>
  <c r="V387" i="1"/>
  <c r="Z386" i="1"/>
  <c r="Y386" i="1"/>
  <c r="X386" i="1"/>
  <c r="W386" i="1"/>
  <c r="V386" i="1"/>
  <c r="Z385" i="1"/>
  <c r="Y385" i="1"/>
  <c r="X385" i="1"/>
  <c r="W385" i="1"/>
  <c r="V385" i="1"/>
  <c r="Z384" i="1"/>
  <c r="Y384" i="1"/>
  <c r="X384" i="1"/>
  <c r="W384" i="1"/>
  <c r="V384" i="1"/>
  <c r="Z383" i="1"/>
  <c r="Y383" i="1"/>
  <c r="X383" i="1"/>
  <c r="W383" i="1"/>
  <c r="V383" i="1"/>
  <c r="Z382" i="1"/>
  <c r="Y382" i="1"/>
  <c r="X382" i="1"/>
  <c r="W382" i="1"/>
  <c r="V382" i="1"/>
  <c r="Z381" i="1"/>
  <c r="Y381" i="1"/>
  <c r="X381" i="1"/>
  <c r="W381" i="1"/>
  <c r="V381" i="1"/>
  <c r="Z380" i="1"/>
  <c r="Y380" i="1"/>
  <c r="X380" i="1"/>
  <c r="W380" i="1"/>
  <c r="V380" i="1"/>
  <c r="Z379" i="1"/>
  <c r="Y379" i="1"/>
  <c r="X379" i="1"/>
  <c r="W379" i="1"/>
  <c r="V379" i="1"/>
  <c r="Z378" i="1"/>
  <c r="Y378" i="1"/>
  <c r="X378" i="1"/>
  <c r="W378" i="1"/>
  <c r="V378" i="1"/>
  <c r="Z377" i="1"/>
  <c r="Y377" i="1"/>
  <c r="X377" i="1"/>
  <c r="W377" i="1"/>
  <c r="V377" i="1"/>
  <c r="Z376" i="1"/>
  <c r="Y376" i="1"/>
  <c r="X376" i="1"/>
  <c r="W376" i="1"/>
  <c r="V376" i="1"/>
  <c r="Z375" i="1"/>
  <c r="Y375" i="1"/>
  <c r="X375" i="1"/>
  <c r="W375" i="1"/>
  <c r="V375" i="1"/>
  <c r="Z374" i="1"/>
  <c r="Y374" i="1"/>
  <c r="X374" i="1"/>
  <c r="W374" i="1"/>
  <c r="V374" i="1"/>
  <c r="Z373" i="1"/>
  <c r="Y373" i="1"/>
  <c r="X373" i="1"/>
  <c r="W373" i="1"/>
  <c r="V373" i="1"/>
  <c r="Z372" i="1"/>
  <c r="Y372" i="1"/>
  <c r="X372" i="1"/>
  <c r="W372" i="1"/>
  <c r="V372" i="1"/>
  <c r="Z371" i="1"/>
  <c r="Y371" i="1"/>
  <c r="X371" i="1"/>
  <c r="W371" i="1"/>
  <c r="V371" i="1"/>
  <c r="Z370" i="1"/>
  <c r="Y370" i="1"/>
  <c r="X370" i="1"/>
  <c r="W370" i="1"/>
  <c r="V370" i="1"/>
  <c r="Z369" i="1"/>
  <c r="Y369" i="1"/>
  <c r="X369" i="1"/>
  <c r="W369" i="1"/>
  <c r="V369" i="1"/>
  <c r="Z368" i="1"/>
  <c r="Y368" i="1"/>
  <c r="X368" i="1"/>
  <c r="W368" i="1"/>
  <c r="V368" i="1"/>
  <c r="Z367" i="1"/>
  <c r="Y367" i="1"/>
  <c r="X367" i="1"/>
  <c r="W367" i="1"/>
  <c r="V367" i="1"/>
  <c r="Z366" i="1"/>
  <c r="Y366" i="1"/>
  <c r="X366" i="1"/>
  <c r="W366" i="1"/>
  <c r="V366" i="1"/>
  <c r="Z365" i="1"/>
  <c r="Y365" i="1"/>
  <c r="X365" i="1"/>
  <c r="W365" i="1"/>
  <c r="V365" i="1"/>
  <c r="Z364" i="1"/>
  <c r="Y364" i="1"/>
  <c r="X364" i="1"/>
  <c r="W364" i="1"/>
  <c r="V364" i="1"/>
  <c r="Z363" i="1"/>
  <c r="Y363" i="1"/>
  <c r="X363" i="1"/>
  <c r="W363" i="1"/>
  <c r="V363" i="1"/>
  <c r="Z362" i="1"/>
  <c r="Y362" i="1"/>
  <c r="X362" i="1"/>
  <c r="W362" i="1"/>
  <c r="V362" i="1"/>
  <c r="Z361" i="1"/>
  <c r="Y361" i="1"/>
  <c r="X361" i="1"/>
  <c r="W361" i="1"/>
  <c r="V361" i="1"/>
  <c r="Z360" i="1"/>
  <c r="Y360" i="1"/>
  <c r="X360" i="1"/>
  <c r="W360" i="1"/>
  <c r="V360" i="1"/>
  <c r="Z359" i="1"/>
  <c r="Y359" i="1"/>
  <c r="X359" i="1"/>
  <c r="W359" i="1"/>
  <c r="V359" i="1"/>
  <c r="Z358" i="1"/>
  <c r="Y358" i="1"/>
  <c r="X358" i="1"/>
  <c r="W358" i="1"/>
  <c r="V358" i="1"/>
  <c r="Z357" i="1"/>
  <c r="Y357" i="1"/>
  <c r="X357" i="1"/>
  <c r="W357" i="1"/>
  <c r="V357" i="1"/>
  <c r="Z356" i="1"/>
  <c r="Y356" i="1"/>
  <c r="X356" i="1"/>
  <c r="W356" i="1"/>
  <c r="V356" i="1"/>
  <c r="Z355" i="1"/>
  <c r="Y355" i="1"/>
  <c r="X355" i="1"/>
  <c r="W355" i="1"/>
  <c r="V355" i="1"/>
  <c r="Z354" i="1"/>
  <c r="Y354" i="1"/>
  <c r="X354" i="1"/>
  <c r="W354" i="1"/>
  <c r="V354" i="1"/>
  <c r="Z353" i="1"/>
  <c r="Y353" i="1"/>
  <c r="X353" i="1"/>
  <c r="W353" i="1"/>
  <c r="V353" i="1"/>
  <c r="Z352" i="1"/>
  <c r="Y352" i="1"/>
  <c r="X352" i="1"/>
  <c r="W352" i="1"/>
  <c r="V352" i="1"/>
  <c r="Z351" i="1"/>
  <c r="Y351" i="1"/>
  <c r="X351" i="1"/>
  <c r="W351" i="1"/>
  <c r="V351" i="1"/>
  <c r="Z350" i="1"/>
  <c r="Y350" i="1"/>
  <c r="X350" i="1"/>
  <c r="W350" i="1"/>
  <c r="V350" i="1"/>
  <c r="Z349" i="1"/>
  <c r="Y349" i="1"/>
  <c r="X349" i="1"/>
  <c r="W349" i="1"/>
  <c r="V349" i="1"/>
  <c r="Z348" i="1"/>
  <c r="Y348" i="1"/>
  <c r="X348" i="1"/>
  <c r="W348" i="1"/>
  <c r="V348" i="1"/>
  <c r="Z347" i="1"/>
  <c r="Y347" i="1"/>
  <c r="X347" i="1"/>
  <c r="W347" i="1"/>
  <c r="V347" i="1"/>
  <c r="Z346" i="1"/>
  <c r="Y346" i="1"/>
  <c r="X346" i="1"/>
  <c r="W346" i="1"/>
  <c r="V346" i="1"/>
  <c r="Z345" i="1"/>
  <c r="Y345" i="1"/>
  <c r="X345" i="1"/>
  <c r="W345" i="1"/>
  <c r="V345" i="1"/>
  <c r="Z344" i="1"/>
  <c r="Y344" i="1"/>
  <c r="X344" i="1"/>
  <c r="W344" i="1"/>
  <c r="V344" i="1"/>
  <c r="Z343" i="1"/>
  <c r="Y343" i="1"/>
  <c r="X343" i="1"/>
  <c r="W343" i="1"/>
  <c r="V343" i="1"/>
  <c r="Z342" i="1"/>
  <c r="Y342" i="1"/>
  <c r="X342" i="1"/>
  <c r="W342" i="1"/>
  <c r="V342" i="1"/>
  <c r="Z341" i="1"/>
  <c r="Y341" i="1"/>
  <c r="X341" i="1"/>
  <c r="W341" i="1"/>
  <c r="V341" i="1"/>
  <c r="Z340" i="1"/>
  <c r="Y340" i="1"/>
  <c r="X340" i="1"/>
  <c r="W340" i="1"/>
  <c r="V340" i="1"/>
  <c r="Z339" i="1"/>
  <c r="Y339" i="1"/>
  <c r="X339" i="1"/>
  <c r="W339" i="1"/>
  <c r="V339" i="1"/>
  <c r="Z338" i="1"/>
  <c r="Y338" i="1"/>
  <c r="X338" i="1"/>
  <c r="W338" i="1"/>
  <c r="V338" i="1"/>
  <c r="Z337" i="1"/>
  <c r="Y337" i="1"/>
  <c r="X337" i="1"/>
  <c r="W337" i="1"/>
  <c r="V337" i="1"/>
  <c r="Z336" i="1"/>
  <c r="Y336" i="1"/>
  <c r="X336" i="1"/>
  <c r="W336" i="1"/>
  <c r="V336" i="1"/>
  <c r="Z335" i="1"/>
  <c r="Y335" i="1"/>
  <c r="X335" i="1"/>
  <c r="W335" i="1"/>
  <c r="V335" i="1"/>
  <c r="Z334" i="1"/>
  <c r="Y334" i="1"/>
  <c r="X334" i="1"/>
  <c r="W334" i="1"/>
  <c r="V334" i="1"/>
  <c r="Z333" i="1"/>
  <c r="Y333" i="1"/>
  <c r="X333" i="1"/>
  <c r="W333" i="1"/>
  <c r="V333" i="1"/>
  <c r="Z332" i="1"/>
  <c r="Y332" i="1"/>
  <c r="X332" i="1"/>
  <c r="W332" i="1"/>
  <c r="V332" i="1"/>
  <c r="Z331" i="1"/>
  <c r="Y331" i="1"/>
  <c r="X331" i="1"/>
  <c r="W331" i="1"/>
  <c r="V331" i="1"/>
  <c r="Z330" i="1"/>
  <c r="Y330" i="1"/>
  <c r="X330" i="1"/>
  <c r="W330" i="1"/>
  <c r="V330" i="1"/>
  <c r="Z329" i="1"/>
  <c r="Y329" i="1"/>
  <c r="X329" i="1"/>
  <c r="W329" i="1"/>
  <c r="V329" i="1"/>
  <c r="Z328" i="1"/>
  <c r="Y328" i="1"/>
  <c r="X328" i="1"/>
  <c r="W328" i="1"/>
  <c r="V328" i="1"/>
  <c r="Z327" i="1"/>
  <c r="Y327" i="1"/>
  <c r="X327" i="1"/>
  <c r="W327" i="1"/>
  <c r="V327" i="1"/>
  <c r="Z326" i="1"/>
  <c r="Y326" i="1"/>
  <c r="X326" i="1"/>
  <c r="W326" i="1"/>
  <c r="V326" i="1"/>
  <c r="Z325" i="1"/>
  <c r="Y325" i="1"/>
  <c r="X325" i="1"/>
  <c r="W325" i="1"/>
  <c r="V325" i="1"/>
  <c r="Z324" i="1"/>
  <c r="Y324" i="1"/>
  <c r="X324" i="1"/>
  <c r="W324" i="1"/>
  <c r="V324" i="1"/>
  <c r="Z323" i="1"/>
  <c r="Y323" i="1"/>
  <c r="X323" i="1"/>
  <c r="W323" i="1"/>
  <c r="V323" i="1"/>
  <c r="Z322" i="1"/>
  <c r="Y322" i="1"/>
  <c r="X322" i="1"/>
  <c r="W322" i="1"/>
  <c r="V322" i="1"/>
  <c r="Z321" i="1"/>
  <c r="Y321" i="1"/>
  <c r="X321" i="1"/>
  <c r="W321" i="1"/>
  <c r="V321" i="1"/>
  <c r="Z320" i="1"/>
  <c r="Y320" i="1"/>
  <c r="X320" i="1"/>
  <c r="W320" i="1"/>
  <c r="V320" i="1"/>
  <c r="Z319" i="1"/>
  <c r="Y319" i="1"/>
  <c r="X319" i="1"/>
  <c r="W319" i="1"/>
  <c r="V319" i="1"/>
  <c r="Z318" i="1"/>
  <c r="Y318" i="1"/>
  <c r="X318" i="1"/>
  <c r="W318" i="1"/>
  <c r="V318" i="1"/>
  <c r="Z317" i="1"/>
  <c r="Y317" i="1"/>
  <c r="X317" i="1"/>
  <c r="W317" i="1"/>
  <c r="V317" i="1"/>
  <c r="Z316" i="1"/>
  <c r="Y316" i="1"/>
  <c r="X316" i="1"/>
  <c r="W316" i="1"/>
  <c r="V316" i="1"/>
  <c r="Z315" i="1"/>
  <c r="Y315" i="1"/>
  <c r="X315" i="1"/>
  <c r="W315" i="1"/>
  <c r="V315" i="1"/>
  <c r="Z314" i="1"/>
  <c r="Y314" i="1"/>
  <c r="X314" i="1"/>
  <c r="W314" i="1"/>
  <c r="V314" i="1"/>
  <c r="Z313" i="1"/>
  <c r="Y313" i="1"/>
  <c r="X313" i="1"/>
  <c r="W313" i="1"/>
  <c r="V313" i="1"/>
  <c r="Z312" i="1"/>
  <c r="Y312" i="1"/>
  <c r="X312" i="1"/>
  <c r="W312" i="1"/>
  <c r="V312" i="1"/>
  <c r="Z311" i="1"/>
  <c r="Y311" i="1"/>
  <c r="X311" i="1"/>
  <c r="W311" i="1"/>
  <c r="V311" i="1"/>
  <c r="Z310" i="1"/>
  <c r="Y310" i="1"/>
  <c r="X310" i="1"/>
  <c r="W310" i="1"/>
  <c r="V310" i="1"/>
  <c r="Z309" i="1"/>
  <c r="Y309" i="1"/>
  <c r="X309" i="1"/>
  <c r="W309" i="1"/>
  <c r="V309" i="1"/>
  <c r="Z308" i="1"/>
  <c r="Y308" i="1"/>
  <c r="X308" i="1"/>
  <c r="W308" i="1"/>
  <c r="V308" i="1"/>
  <c r="Z307" i="1"/>
  <c r="Y307" i="1"/>
  <c r="X307" i="1"/>
  <c r="W307" i="1"/>
  <c r="V307" i="1"/>
  <c r="Z306" i="1"/>
  <c r="Y306" i="1"/>
  <c r="X306" i="1"/>
  <c r="W306" i="1"/>
  <c r="V306" i="1"/>
  <c r="Z305" i="1"/>
  <c r="Y305" i="1"/>
  <c r="X305" i="1"/>
  <c r="W305" i="1"/>
  <c r="V305" i="1"/>
  <c r="Z304" i="1"/>
  <c r="Y304" i="1"/>
  <c r="X304" i="1"/>
  <c r="W304" i="1"/>
  <c r="V304" i="1"/>
  <c r="Z303" i="1"/>
  <c r="Y303" i="1"/>
  <c r="X303" i="1"/>
  <c r="W303" i="1"/>
  <c r="V303" i="1"/>
  <c r="Z302" i="1"/>
  <c r="Y302" i="1"/>
  <c r="X302" i="1"/>
  <c r="W302" i="1"/>
  <c r="V302" i="1"/>
  <c r="Z301" i="1"/>
  <c r="Y301" i="1"/>
  <c r="X301" i="1"/>
  <c r="W301" i="1"/>
  <c r="V301" i="1"/>
  <c r="Z300" i="1"/>
  <c r="Y300" i="1"/>
  <c r="X300" i="1"/>
  <c r="W300" i="1"/>
  <c r="V300" i="1"/>
  <c r="Z299" i="1"/>
  <c r="Y299" i="1"/>
  <c r="X299" i="1"/>
  <c r="W299" i="1"/>
  <c r="V299" i="1"/>
  <c r="Z298" i="1"/>
  <c r="Y298" i="1"/>
  <c r="X298" i="1"/>
  <c r="W298" i="1"/>
  <c r="V298" i="1"/>
  <c r="Z297" i="1"/>
  <c r="Y297" i="1"/>
  <c r="X297" i="1"/>
  <c r="W297" i="1"/>
  <c r="V297" i="1"/>
  <c r="Z296" i="1"/>
  <c r="Y296" i="1"/>
  <c r="X296" i="1"/>
  <c r="W296" i="1"/>
  <c r="V296" i="1"/>
  <c r="Z295" i="1"/>
  <c r="Y295" i="1"/>
  <c r="X295" i="1"/>
  <c r="W295" i="1"/>
  <c r="V295" i="1"/>
  <c r="Z294" i="1"/>
  <c r="Y294" i="1"/>
  <c r="X294" i="1"/>
  <c r="W294" i="1"/>
  <c r="V294" i="1"/>
  <c r="Z293" i="1"/>
  <c r="Y293" i="1"/>
  <c r="X293" i="1"/>
  <c r="W293" i="1"/>
  <c r="V293" i="1"/>
  <c r="Z292" i="1"/>
  <c r="Y292" i="1"/>
  <c r="X292" i="1"/>
  <c r="W292" i="1"/>
  <c r="V292" i="1"/>
  <c r="Z291" i="1"/>
  <c r="Y291" i="1"/>
  <c r="X291" i="1"/>
  <c r="W291" i="1"/>
  <c r="V291" i="1"/>
  <c r="Z290" i="1"/>
  <c r="Y290" i="1"/>
  <c r="X290" i="1"/>
  <c r="W290" i="1"/>
  <c r="V290" i="1"/>
  <c r="Z289" i="1"/>
  <c r="Y289" i="1"/>
  <c r="X289" i="1"/>
  <c r="W289" i="1"/>
  <c r="V289" i="1"/>
  <c r="Z288" i="1"/>
  <c r="Y288" i="1"/>
  <c r="X288" i="1"/>
  <c r="W288" i="1"/>
  <c r="V288" i="1"/>
  <c r="Z287" i="1"/>
  <c r="Y287" i="1"/>
  <c r="X287" i="1"/>
  <c r="W287" i="1"/>
  <c r="V287" i="1"/>
  <c r="Z286" i="1"/>
  <c r="Y286" i="1"/>
  <c r="X286" i="1"/>
  <c r="W286" i="1"/>
  <c r="V286" i="1"/>
  <c r="Z285" i="1"/>
  <c r="Y285" i="1"/>
  <c r="X285" i="1"/>
  <c r="W285" i="1"/>
  <c r="V285" i="1"/>
  <c r="Z284" i="1"/>
  <c r="Y284" i="1"/>
  <c r="X284" i="1"/>
  <c r="W284" i="1"/>
  <c r="V284" i="1"/>
  <c r="Z283" i="1"/>
  <c r="Y283" i="1"/>
  <c r="X283" i="1"/>
  <c r="W283" i="1"/>
  <c r="V283" i="1"/>
  <c r="Z282" i="1"/>
  <c r="Y282" i="1"/>
  <c r="X282" i="1"/>
  <c r="W282" i="1"/>
  <c r="V282" i="1"/>
  <c r="Z281" i="1"/>
  <c r="Y281" i="1"/>
  <c r="X281" i="1"/>
  <c r="W281" i="1"/>
  <c r="V281" i="1"/>
  <c r="Z280" i="1"/>
  <c r="Y280" i="1"/>
  <c r="X280" i="1"/>
  <c r="W280" i="1"/>
  <c r="V280" i="1"/>
  <c r="Z279" i="1"/>
  <c r="Y279" i="1"/>
  <c r="X279" i="1"/>
  <c r="W279" i="1"/>
  <c r="V279" i="1"/>
  <c r="Z278" i="1"/>
  <c r="Y278" i="1"/>
  <c r="X278" i="1"/>
  <c r="W278" i="1"/>
  <c r="V278" i="1"/>
  <c r="Z277" i="1"/>
  <c r="Y277" i="1"/>
  <c r="X277" i="1"/>
  <c r="W277" i="1"/>
  <c r="V277" i="1"/>
  <c r="Z276" i="1"/>
  <c r="Y276" i="1"/>
  <c r="X276" i="1"/>
  <c r="W276" i="1"/>
  <c r="V276" i="1"/>
  <c r="Z275" i="1"/>
  <c r="Y275" i="1"/>
  <c r="X275" i="1"/>
  <c r="W275" i="1"/>
  <c r="V275" i="1"/>
  <c r="Z274" i="1"/>
  <c r="Y274" i="1"/>
  <c r="X274" i="1"/>
  <c r="W274" i="1"/>
  <c r="V274" i="1"/>
  <c r="Z273" i="1"/>
  <c r="Y273" i="1"/>
  <c r="X273" i="1"/>
  <c r="W273" i="1"/>
  <c r="V273" i="1"/>
  <c r="Z272" i="1"/>
  <c r="Y272" i="1"/>
  <c r="X272" i="1"/>
  <c r="W272" i="1"/>
  <c r="V272" i="1"/>
  <c r="Z271" i="1"/>
  <c r="Y271" i="1"/>
  <c r="X271" i="1"/>
  <c r="W271" i="1"/>
  <c r="V271" i="1"/>
  <c r="Z270" i="1"/>
  <c r="Y270" i="1"/>
  <c r="X270" i="1"/>
  <c r="W270" i="1"/>
  <c r="V270" i="1"/>
  <c r="Z269" i="1"/>
  <c r="Y269" i="1"/>
  <c r="X269" i="1"/>
  <c r="W269" i="1"/>
  <c r="V269" i="1"/>
  <c r="Z268" i="1"/>
  <c r="Y268" i="1"/>
  <c r="X268" i="1"/>
  <c r="W268" i="1"/>
  <c r="V268" i="1"/>
  <c r="Z267" i="1"/>
  <c r="Y267" i="1"/>
  <c r="X267" i="1"/>
  <c r="W267" i="1"/>
  <c r="V267" i="1"/>
  <c r="Z266" i="1"/>
  <c r="Y266" i="1"/>
  <c r="X266" i="1"/>
  <c r="W266" i="1"/>
  <c r="V266" i="1"/>
  <c r="Z265" i="1"/>
  <c r="Y265" i="1"/>
  <c r="X265" i="1"/>
  <c r="W265" i="1"/>
  <c r="V265" i="1"/>
  <c r="Z264" i="1"/>
  <c r="Y264" i="1"/>
  <c r="X264" i="1"/>
  <c r="W264" i="1"/>
  <c r="V264" i="1"/>
  <c r="Z263" i="1"/>
  <c r="Y263" i="1"/>
  <c r="X263" i="1"/>
  <c r="W263" i="1"/>
  <c r="V263" i="1"/>
  <c r="Z262" i="1"/>
  <c r="Y262" i="1"/>
  <c r="X262" i="1"/>
  <c r="W262" i="1"/>
  <c r="V262" i="1"/>
  <c r="Z261" i="1"/>
  <c r="Y261" i="1"/>
  <c r="X261" i="1"/>
  <c r="W261" i="1"/>
  <c r="V261" i="1"/>
  <c r="Z260" i="1"/>
  <c r="Y260" i="1"/>
  <c r="X260" i="1"/>
  <c r="W260" i="1"/>
  <c r="V260" i="1"/>
  <c r="Z259" i="1"/>
  <c r="Y259" i="1"/>
  <c r="X259" i="1"/>
  <c r="W259" i="1"/>
  <c r="V259" i="1"/>
  <c r="Z258" i="1"/>
  <c r="Y258" i="1"/>
  <c r="X258" i="1"/>
  <c r="W258" i="1"/>
  <c r="V258" i="1"/>
  <c r="Z257" i="1"/>
  <c r="Y257" i="1"/>
  <c r="X257" i="1"/>
  <c r="W257" i="1"/>
  <c r="V257" i="1"/>
  <c r="Z256" i="1"/>
  <c r="Y256" i="1"/>
  <c r="X256" i="1"/>
  <c r="W256" i="1"/>
  <c r="V256" i="1"/>
  <c r="Z255" i="1"/>
  <c r="Y255" i="1"/>
  <c r="X255" i="1"/>
  <c r="W255" i="1"/>
  <c r="V255" i="1"/>
  <c r="Z254" i="1"/>
  <c r="Y254" i="1"/>
  <c r="X254" i="1"/>
  <c r="W254" i="1"/>
  <c r="V254" i="1"/>
  <c r="Z253" i="1"/>
  <c r="Y253" i="1"/>
  <c r="X253" i="1"/>
  <c r="W253" i="1"/>
  <c r="V253" i="1"/>
  <c r="Z252" i="1"/>
  <c r="Y252" i="1"/>
  <c r="X252" i="1"/>
  <c r="W252" i="1"/>
  <c r="V252" i="1"/>
  <c r="Z251" i="1"/>
  <c r="Y251" i="1"/>
  <c r="X251" i="1"/>
  <c r="W251" i="1"/>
  <c r="V251" i="1"/>
  <c r="Z250" i="1"/>
  <c r="Y250" i="1"/>
  <c r="X250" i="1"/>
  <c r="W250" i="1"/>
  <c r="V250" i="1"/>
  <c r="Z249" i="1"/>
  <c r="Y249" i="1"/>
  <c r="X249" i="1"/>
  <c r="W249" i="1"/>
  <c r="V249" i="1"/>
  <c r="Z248" i="1"/>
  <c r="Y248" i="1"/>
  <c r="X248" i="1"/>
  <c r="W248" i="1"/>
  <c r="V248" i="1"/>
  <c r="Z247" i="1"/>
  <c r="Y247" i="1"/>
  <c r="X247" i="1"/>
  <c r="W247" i="1"/>
  <c r="V247" i="1"/>
  <c r="Z246" i="1"/>
  <c r="Y246" i="1"/>
  <c r="X246" i="1"/>
  <c r="W246" i="1"/>
  <c r="V246" i="1"/>
  <c r="Z245" i="1"/>
  <c r="Y245" i="1"/>
  <c r="X245" i="1"/>
  <c r="W245" i="1"/>
  <c r="V245" i="1"/>
  <c r="Z244" i="1"/>
  <c r="Y244" i="1"/>
  <c r="X244" i="1"/>
  <c r="W244" i="1"/>
  <c r="V244" i="1"/>
  <c r="Z243" i="1"/>
  <c r="Y243" i="1"/>
  <c r="X243" i="1"/>
  <c r="W243" i="1"/>
  <c r="V243" i="1"/>
  <c r="Z242" i="1"/>
  <c r="Y242" i="1"/>
  <c r="X242" i="1"/>
  <c r="W242" i="1"/>
  <c r="V242" i="1"/>
  <c r="Z241" i="1"/>
  <c r="Y241" i="1"/>
  <c r="X241" i="1"/>
  <c r="W241" i="1"/>
  <c r="V241" i="1"/>
  <c r="Z240" i="1"/>
  <c r="Y240" i="1"/>
  <c r="X240" i="1"/>
  <c r="W240" i="1"/>
  <c r="V240" i="1"/>
  <c r="Z239" i="1"/>
  <c r="Y239" i="1"/>
  <c r="X239" i="1"/>
  <c r="W239" i="1"/>
  <c r="V239" i="1"/>
  <c r="Z238" i="1"/>
  <c r="Y238" i="1"/>
  <c r="X238" i="1"/>
  <c r="W238" i="1"/>
  <c r="V238" i="1"/>
  <c r="Z237" i="1"/>
  <c r="Y237" i="1"/>
  <c r="X237" i="1"/>
  <c r="W237" i="1"/>
  <c r="V237" i="1"/>
  <c r="Z236" i="1"/>
  <c r="Y236" i="1"/>
  <c r="X236" i="1"/>
  <c r="W236" i="1"/>
  <c r="V236" i="1"/>
  <c r="Z235" i="1"/>
  <c r="Y235" i="1"/>
  <c r="X235" i="1"/>
  <c r="W235" i="1"/>
  <c r="V235" i="1"/>
  <c r="Z234" i="1"/>
  <c r="Y234" i="1"/>
  <c r="X234" i="1"/>
  <c r="W234" i="1"/>
  <c r="V234" i="1"/>
  <c r="Z233" i="1"/>
  <c r="Y233" i="1"/>
  <c r="X233" i="1"/>
  <c r="W233" i="1"/>
  <c r="V233" i="1"/>
  <c r="Z232" i="1"/>
  <c r="Y232" i="1"/>
  <c r="X232" i="1"/>
  <c r="W232" i="1"/>
  <c r="V232" i="1"/>
  <c r="Z231" i="1"/>
  <c r="Y231" i="1"/>
  <c r="X231" i="1"/>
  <c r="W231" i="1"/>
  <c r="V231" i="1"/>
  <c r="Z230" i="1"/>
  <c r="Y230" i="1"/>
  <c r="X230" i="1"/>
  <c r="W230" i="1"/>
  <c r="V230" i="1"/>
  <c r="Z229" i="1"/>
  <c r="Y229" i="1"/>
  <c r="X229" i="1"/>
  <c r="W229" i="1"/>
  <c r="V229" i="1"/>
  <c r="Z228" i="1"/>
  <c r="Y228" i="1"/>
  <c r="X228" i="1"/>
  <c r="W228" i="1"/>
  <c r="V228" i="1"/>
  <c r="Z227" i="1"/>
  <c r="Y227" i="1"/>
  <c r="X227" i="1"/>
  <c r="W227" i="1"/>
  <c r="V227" i="1"/>
  <c r="Z226" i="1"/>
  <c r="Y226" i="1"/>
  <c r="X226" i="1"/>
  <c r="W226" i="1"/>
  <c r="V226" i="1"/>
  <c r="Z225" i="1"/>
  <c r="Y225" i="1"/>
  <c r="X225" i="1"/>
  <c r="W225" i="1"/>
  <c r="V225" i="1"/>
  <c r="Z224" i="1"/>
  <c r="Y224" i="1"/>
  <c r="X224" i="1"/>
  <c r="W224" i="1"/>
  <c r="V224" i="1"/>
  <c r="Z223" i="1"/>
  <c r="Y223" i="1"/>
  <c r="X223" i="1"/>
  <c r="W223" i="1"/>
  <c r="V223" i="1"/>
  <c r="Z222" i="1"/>
  <c r="Y222" i="1"/>
  <c r="X222" i="1"/>
  <c r="W222" i="1"/>
  <c r="V222" i="1"/>
  <c r="Z221" i="1"/>
  <c r="Y221" i="1"/>
  <c r="X221" i="1"/>
  <c r="W221" i="1"/>
  <c r="V221" i="1"/>
  <c r="Z220" i="1"/>
  <c r="Y220" i="1"/>
  <c r="X220" i="1"/>
  <c r="W220" i="1"/>
  <c r="V220" i="1"/>
  <c r="Z219" i="1"/>
  <c r="Y219" i="1"/>
  <c r="X219" i="1"/>
  <c r="W219" i="1"/>
  <c r="V219" i="1"/>
  <c r="Z218" i="1"/>
  <c r="Y218" i="1"/>
  <c r="X218" i="1"/>
  <c r="W218" i="1"/>
  <c r="V218" i="1"/>
  <c r="Z217" i="1"/>
  <c r="Y217" i="1"/>
  <c r="X217" i="1"/>
  <c r="W217" i="1"/>
  <c r="V217" i="1"/>
  <c r="Z216" i="1"/>
  <c r="Y216" i="1"/>
  <c r="X216" i="1"/>
  <c r="W216" i="1"/>
  <c r="V216" i="1"/>
  <c r="Z215" i="1"/>
  <c r="Y215" i="1"/>
  <c r="X215" i="1"/>
  <c r="W215" i="1"/>
  <c r="V215" i="1"/>
  <c r="Z214" i="1"/>
  <c r="Y214" i="1"/>
  <c r="X214" i="1"/>
  <c r="W214" i="1"/>
  <c r="V214" i="1"/>
  <c r="Z213" i="1"/>
  <c r="Y213" i="1"/>
  <c r="X213" i="1"/>
  <c r="W213" i="1"/>
  <c r="V213" i="1"/>
  <c r="Z212" i="1"/>
  <c r="Y212" i="1"/>
  <c r="X212" i="1"/>
  <c r="W212" i="1"/>
  <c r="V212" i="1"/>
  <c r="Z211" i="1"/>
  <c r="Y211" i="1"/>
  <c r="X211" i="1"/>
  <c r="W211" i="1"/>
  <c r="V211" i="1"/>
  <c r="Z210" i="1"/>
  <c r="Y210" i="1"/>
  <c r="X210" i="1"/>
  <c r="W210" i="1"/>
  <c r="V210" i="1"/>
  <c r="Z209" i="1"/>
  <c r="Y209" i="1"/>
  <c r="X209" i="1"/>
  <c r="W209" i="1"/>
  <c r="V209" i="1"/>
  <c r="Z208" i="1"/>
  <c r="Y208" i="1"/>
  <c r="X208" i="1"/>
  <c r="W208" i="1"/>
  <c r="V208" i="1"/>
  <c r="Z207" i="1"/>
  <c r="Y207" i="1"/>
  <c r="X207" i="1"/>
  <c r="W207" i="1"/>
  <c r="V207" i="1"/>
  <c r="Z206" i="1"/>
  <c r="Y206" i="1"/>
  <c r="X206" i="1"/>
  <c r="W206" i="1"/>
  <c r="V206" i="1"/>
  <c r="Z205" i="1"/>
  <c r="Y205" i="1"/>
  <c r="X205" i="1"/>
  <c r="W205" i="1"/>
  <c r="V205" i="1"/>
  <c r="Z204" i="1"/>
  <c r="Y204" i="1"/>
  <c r="X204" i="1"/>
  <c r="W204" i="1"/>
  <c r="V204" i="1"/>
  <c r="Z203" i="1"/>
  <c r="Y203" i="1"/>
  <c r="X203" i="1"/>
  <c r="W203" i="1"/>
  <c r="V203" i="1"/>
  <c r="Z202" i="1"/>
  <c r="Y202" i="1"/>
  <c r="X202" i="1"/>
  <c r="W202" i="1"/>
  <c r="V202" i="1"/>
  <c r="Z201" i="1"/>
  <c r="Y201" i="1"/>
  <c r="X201" i="1"/>
  <c r="W201" i="1"/>
  <c r="V201" i="1"/>
  <c r="Z200" i="1"/>
  <c r="Y200" i="1"/>
  <c r="X200" i="1"/>
  <c r="W200" i="1"/>
  <c r="V200" i="1"/>
  <c r="Z199" i="1"/>
  <c r="Y199" i="1"/>
  <c r="X199" i="1"/>
  <c r="W199" i="1"/>
  <c r="V199" i="1"/>
  <c r="Z198" i="1"/>
  <c r="Y198" i="1"/>
  <c r="X198" i="1"/>
  <c r="W198" i="1"/>
  <c r="V198" i="1"/>
  <c r="Z197" i="1"/>
  <c r="Y197" i="1"/>
  <c r="X197" i="1"/>
  <c r="W197" i="1"/>
  <c r="V197" i="1"/>
  <c r="Z196" i="1"/>
  <c r="Y196" i="1"/>
  <c r="X196" i="1"/>
  <c r="W196" i="1"/>
  <c r="V196" i="1"/>
  <c r="Z195" i="1"/>
  <c r="Y195" i="1"/>
  <c r="X195" i="1"/>
  <c r="W195" i="1"/>
  <c r="V195" i="1"/>
  <c r="Z194" i="1"/>
  <c r="Y194" i="1"/>
  <c r="X194" i="1"/>
  <c r="W194" i="1"/>
  <c r="V194" i="1"/>
  <c r="Z193" i="1"/>
  <c r="Y193" i="1"/>
  <c r="X193" i="1"/>
  <c r="W193" i="1"/>
  <c r="V193" i="1"/>
  <c r="Z192" i="1"/>
  <c r="Y192" i="1"/>
  <c r="X192" i="1"/>
  <c r="W192" i="1"/>
  <c r="V192" i="1"/>
  <c r="Z191" i="1"/>
  <c r="Y191" i="1"/>
  <c r="X191" i="1"/>
  <c r="W191" i="1"/>
  <c r="V191" i="1"/>
  <c r="Z190" i="1"/>
  <c r="Y190" i="1"/>
  <c r="X190" i="1"/>
  <c r="W190" i="1"/>
  <c r="V190" i="1"/>
  <c r="Z189" i="1"/>
  <c r="Y189" i="1"/>
  <c r="X189" i="1"/>
  <c r="W189" i="1"/>
  <c r="V189" i="1"/>
  <c r="Z188" i="1"/>
  <c r="Y188" i="1"/>
  <c r="X188" i="1"/>
  <c r="W188" i="1"/>
  <c r="V188" i="1"/>
  <c r="Z187" i="1"/>
  <c r="Y187" i="1"/>
  <c r="X187" i="1"/>
  <c r="W187" i="1"/>
  <c r="V187" i="1"/>
  <c r="Z186" i="1"/>
  <c r="Y186" i="1"/>
  <c r="X186" i="1"/>
  <c r="W186" i="1"/>
  <c r="V186" i="1"/>
  <c r="Z185" i="1"/>
  <c r="Y185" i="1"/>
  <c r="X185" i="1"/>
  <c r="W185" i="1"/>
  <c r="V185" i="1"/>
  <c r="Z184" i="1"/>
  <c r="Y184" i="1"/>
  <c r="X184" i="1"/>
  <c r="W184" i="1"/>
  <c r="V184" i="1"/>
  <c r="Z183" i="1"/>
  <c r="Y183" i="1"/>
  <c r="X183" i="1"/>
  <c r="W183" i="1"/>
  <c r="V183" i="1"/>
  <c r="Z182" i="1"/>
  <c r="Y182" i="1"/>
  <c r="X182" i="1"/>
  <c r="W182" i="1"/>
  <c r="V182" i="1"/>
  <c r="Z181" i="1"/>
  <c r="Y181" i="1"/>
  <c r="X181" i="1"/>
  <c r="W181" i="1"/>
  <c r="V181" i="1"/>
  <c r="Z180" i="1"/>
  <c r="Y180" i="1"/>
  <c r="X180" i="1"/>
  <c r="W180" i="1"/>
  <c r="V180" i="1"/>
  <c r="Z179" i="1"/>
  <c r="Y179" i="1"/>
  <c r="X179" i="1"/>
  <c r="W179" i="1"/>
  <c r="V179" i="1"/>
  <c r="Z178" i="1"/>
  <c r="Y178" i="1"/>
  <c r="X178" i="1"/>
  <c r="W178" i="1"/>
  <c r="V178" i="1"/>
  <c r="Z177" i="1"/>
  <c r="Y177" i="1"/>
  <c r="X177" i="1"/>
  <c r="W177" i="1"/>
  <c r="V177" i="1"/>
  <c r="Z176" i="1"/>
  <c r="Y176" i="1"/>
  <c r="X176" i="1"/>
  <c r="W176" i="1"/>
  <c r="V176" i="1"/>
  <c r="Z175" i="1"/>
  <c r="Y175" i="1"/>
  <c r="X175" i="1"/>
  <c r="W175" i="1"/>
  <c r="V175" i="1"/>
  <c r="Z174" i="1"/>
  <c r="Y174" i="1"/>
  <c r="X174" i="1"/>
  <c r="W174" i="1"/>
  <c r="V174" i="1"/>
  <c r="Z173" i="1"/>
  <c r="Y173" i="1"/>
  <c r="X173" i="1"/>
  <c r="W173" i="1"/>
  <c r="V173" i="1"/>
  <c r="Z172" i="1"/>
  <c r="Y172" i="1"/>
  <c r="X172" i="1"/>
  <c r="W172" i="1"/>
  <c r="V172" i="1"/>
  <c r="Z171" i="1"/>
  <c r="Y171" i="1"/>
  <c r="X171" i="1"/>
  <c r="W171" i="1"/>
  <c r="V171" i="1"/>
  <c r="Z170" i="1"/>
  <c r="Y170" i="1"/>
  <c r="X170" i="1"/>
  <c r="W170" i="1"/>
  <c r="V170" i="1"/>
  <c r="Z169" i="1"/>
  <c r="Y169" i="1"/>
  <c r="X169" i="1"/>
  <c r="W169" i="1"/>
  <c r="V169" i="1"/>
  <c r="Z168" i="1"/>
  <c r="Y168" i="1"/>
  <c r="X168" i="1"/>
  <c r="W168" i="1"/>
  <c r="V168" i="1"/>
  <c r="Z167" i="1"/>
  <c r="Y167" i="1"/>
  <c r="X167" i="1"/>
  <c r="W167" i="1"/>
  <c r="V167" i="1"/>
  <c r="Z166" i="1"/>
  <c r="Y166" i="1"/>
  <c r="X166" i="1"/>
  <c r="W166" i="1"/>
  <c r="V166" i="1"/>
  <c r="Z165" i="1"/>
  <c r="Y165" i="1"/>
  <c r="X165" i="1"/>
  <c r="W165" i="1"/>
  <c r="V165" i="1"/>
  <c r="Z164" i="1"/>
  <c r="Y164" i="1"/>
  <c r="X164" i="1"/>
  <c r="W164" i="1"/>
  <c r="V164" i="1"/>
  <c r="Z163" i="1"/>
  <c r="Y163" i="1"/>
  <c r="X163" i="1"/>
  <c r="W163" i="1"/>
  <c r="V163" i="1"/>
  <c r="Z162" i="1"/>
  <c r="Y162" i="1"/>
  <c r="X162" i="1"/>
  <c r="W162" i="1"/>
  <c r="V162" i="1"/>
  <c r="Z161" i="1"/>
  <c r="Y161" i="1"/>
  <c r="X161" i="1"/>
  <c r="W161" i="1"/>
  <c r="V161" i="1"/>
  <c r="Z160" i="1"/>
  <c r="Y160" i="1"/>
  <c r="X160" i="1"/>
  <c r="W160" i="1"/>
  <c r="V160" i="1"/>
  <c r="Z159" i="1"/>
  <c r="Y159" i="1"/>
  <c r="X159" i="1"/>
  <c r="W159" i="1"/>
  <c r="V159" i="1"/>
  <c r="Z158" i="1"/>
  <c r="Y158" i="1"/>
  <c r="X158" i="1"/>
  <c r="W158" i="1"/>
  <c r="V158" i="1"/>
  <c r="Z157" i="1"/>
  <c r="Y157" i="1"/>
  <c r="X157" i="1"/>
  <c r="W157" i="1"/>
  <c r="V157" i="1"/>
  <c r="Z156" i="1"/>
  <c r="Y156" i="1"/>
  <c r="X156" i="1"/>
  <c r="W156" i="1"/>
  <c r="V156" i="1"/>
  <c r="Z155" i="1"/>
  <c r="Y155" i="1"/>
  <c r="X155" i="1"/>
  <c r="W155" i="1"/>
  <c r="V155" i="1"/>
  <c r="Z154" i="1"/>
  <c r="Y154" i="1"/>
  <c r="X154" i="1"/>
  <c r="W154" i="1"/>
  <c r="V154" i="1"/>
  <c r="Z153" i="1"/>
  <c r="Y153" i="1"/>
  <c r="X153" i="1"/>
  <c r="W153" i="1"/>
  <c r="V153" i="1"/>
  <c r="Z152" i="1"/>
  <c r="Y152" i="1"/>
  <c r="X152" i="1"/>
  <c r="W152" i="1"/>
  <c r="V152" i="1"/>
  <c r="Z151" i="1"/>
  <c r="Y151" i="1"/>
  <c r="X151" i="1"/>
  <c r="W151" i="1"/>
  <c r="V151" i="1"/>
  <c r="Z150" i="1"/>
  <c r="Y150" i="1"/>
  <c r="X150" i="1"/>
  <c r="W150" i="1"/>
  <c r="V150" i="1"/>
  <c r="Z149" i="1"/>
  <c r="Y149" i="1"/>
  <c r="X149" i="1"/>
  <c r="W149" i="1"/>
  <c r="V149" i="1"/>
  <c r="Z148" i="1"/>
  <c r="Y148" i="1"/>
  <c r="X148" i="1"/>
  <c r="W148" i="1"/>
  <c r="V148" i="1"/>
  <c r="Z147" i="1"/>
  <c r="Y147" i="1"/>
  <c r="X147" i="1"/>
  <c r="W147" i="1"/>
  <c r="V147" i="1"/>
  <c r="Z146" i="1"/>
  <c r="Y146" i="1"/>
  <c r="X146" i="1"/>
  <c r="W146" i="1"/>
  <c r="V146" i="1"/>
  <c r="Z145" i="1"/>
  <c r="Y145" i="1"/>
  <c r="X145" i="1"/>
  <c r="W145" i="1"/>
  <c r="V145" i="1"/>
  <c r="Z144" i="1"/>
  <c r="Y144" i="1"/>
  <c r="X144" i="1"/>
  <c r="W144" i="1"/>
  <c r="V144" i="1"/>
  <c r="Z143" i="1"/>
  <c r="Y143" i="1"/>
  <c r="X143" i="1"/>
  <c r="W143" i="1"/>
  <c r="V143" i="1"/>
  <c r="Z142" i="1"/>
  <c r="Y142" i="1"/>
  <c r="X142" i="1"/>
  <c r="W142" i="1"/>
  <c r="V142" i="1"/>
  <c r="Z141" i="1"/>
  <c r="Y141" i="1"/>
  <c r="X141" i="1"/>
  <c r="W141" i="1"/>
  <c r="V141" i="1"/>
  <c r="Z140" i="1"/>
  <c r="Y140" i="1"/>
  <c r="X140" i="1"/>
  <c r="W140" i="1"/>
  <c r="V140" i="1"/>
  <c r="Z139" i="1"/>
  <c r="Y139" i="1"/>
  <c r="X139" i="1"/>
  <c r="W139" i="1"/>
  <c r="V139" i="1"/>
  <c r="Z138" i="1"/>
  <c r="Y138" i="1"/>
  <c r="X138" i="1"/>
  <c r="W138" i="1"/>
  <c r="V138" i="1"/>
  <c r="Z137" i="1"/>
  <c r="Y137" i="1"/>
  <c r="X137" i="1"/>
  <c r="W137" i="1"/>
  <c r="V137" i="1"/>
  <c r="Z136" i="1"/>
  <c r="Y136" i="1"/>
  <c r="X136" i="1"/>
  <c r="W136" i="1"/>
  <c r="V136" i="1"/>
  <c r="Z135" i="1"/>
  <c r="Y135" i="1"/>
  <c r="X135" i="1"/>
  <c r="W135" i="1"/>
  <c r="V135" i="1"/>
  <c r="Z134" i="1"/>
  <c r="Y134" i="1"/>
  <c r="X134" i="1"/>
  <c r="W134" i="1"/>
  <c r="V134" i="1"/>
  <c r="Z133" i="1"/>
  <c r="Y133" i="1"/>
  <c r="X133" i="1"/>
  <c r="W133" i="1"/>
  <c r="V133" i="1"/>
  <c r="Z132" i="1"/>
  <c r="Y132" i="1"/>
  <c r="X132" i="1"/>
  <c r="W132" i="1"/>
  <c r="V132" i="1"/>
  <c r="Z131" i="1"/>
  <c r="Y131" i="1"/>
  <c r="X131" i="1"/>
  <c r="W131" i="1"/>
  <c r="V131" i="1"/>
  <c r="Z130" i="1"/>
  <c r="Y130" i="1"/>
  <c r="X130" i="1"/>
  <c r="W130" i="1"/>
  <c r="V130" i="1"/>
  <c r="Z129" i="1"/>
  <c r="Y129" i="1"/>
  <c r="X129" i="1"/>
  <c r="W129" i="1"/>
  <c r="V129" i="1"/>
  <c r="Z128" i="1"/>
  <c r="Y128" i="1"/>
  <c r="X128" i="1"/>
  <c r="W128" i="1"/>
  <c r="V128" i="1"/>
  <c r="Z127" i="1"/>
  <c r="Y127" i="1"/>
  <c r="X127" i="1"/>
  <c r="W127" i="1"/>
  <c r="V127" i="1"/>
  <c r="Z126" i="1"/>
  <c r="Y126" i="1"/>
  <c r="X126" i="1"/>
  <c r="W126" i="1"/>
  <c r="V126" i="1"/>
  <c r="Z125" i="1"/>
  <c r="Y125" i="1"/>
  <c r="X125" i="1"/>
  <c r="W125" i="1"/>
  <c r="V125" i="1"/>
  <c r="Z124" i="1"/>
  <c r="Y124" i="1"/>
  <c r="X124" i="1"/>
  <c r="W124" i="1"/>
  <c r="V124" i="1"/>
  <c r="Z123" i="1"/>
  <c r="Y123" i="1"/>
  <c r="X123" i="1"/>
  <c r="W123" i="1"/>
  <c r="V123" i="1"/>
  <c r="Z122" i="1"/>
  <c r="Y122" i="1"/>
  <c r="X122" i="1"/>
  <c r="W122" i="1"/>
  <c r="V122" i="1"/>
  <c r="Z121" i="1"/>
  <c r="Y121" i="1"/>
  <c r="X121" i="1"/>
  <c r="W121" i="1"/>
  <c r="V121" i="1"/>
  <c r="Z120" i="1"/>
  <c r="Y120" i="1"/>
  <c r="X120" i="1"/>
  <c r="W120" i="1"/>
  <c r="V120" i="1"/>
  <c r="Z119" i="1"/>
  <c r="Y119" i="1"/>
  <c r="X119" i="1"/>
  <c r="W119" i="1"/>
  <c r="V119" i="1"/>
  <c r="Z118" i="1"/>
  <c r="Y118" i="1"/>
  <c r="X118" i="1"/>
  <c r="W118" i="1"/>
  <c r="V118" i="1"/>
  <c r="Z117" i="1"/>
  <c r="Y117" i="1"/>
  <c r="X117" i="1"/>
  <c r="W117" i="1"/>
  <c r="V117" i="1"/>
  <c r="Z116" i="1"/>
  <c r="Y116" i="1"/>
  <c r="X116" i="1"/>
  <c r="W116" i="1"/>
  <c r="V116" i="1"/>
  <c r="Z115" i="1"/>
  <c r="Y115" i="1"/>
  <c r="X115" i="1"/>
  <c r="W115" i="1"/>
  <c r="V115" i="1"/>
  <c r="Z114" i="1"/>
  <c r="Y114" i="1"/>
  <c r="X114" i="1"/>
  <c r="W114" i="1"/>
  <c r="V114" i="1"/>
  <c r="Z113" i="1"/>
  <c r="Y113" i="1"/>
  <c r="X113" i="1"/>
  <c r="W113" i="1"/>
  <c r="V113" i="1"/>
  <c r="Z112" i="1"/>
  <c r="Y112" i="1"/>
  <c r="X112" i="1"/>
  <c r="W112" i="1"/>
  <c r="V112" i="1"/>
  <c r="Z111" i="1"/>
  <c r="Y111" i="1"/>
  <c r="X111" i="1"/>
  <c r="W111" i="1"/>
  <c r="V111" i="1"/>
  <c r="Z110" i="1"/>
  <c r="Y110" i="1"/>
  <c r="X110" i="1"/>
  <c r="W110" i="1"/>
  <c r="V110" i="1"/>
  <c r="Z109" i="1"/>
  <c r="Y109" i="1"/>
  <c r="X109" i="1"/>
  <c r="W109" i="1"/>
  <c r="V109" i="1"/>
  <c r="Z108" i="1"/>
  <c r="Y108" i="1"/>
  <c r="X108" i="1"/>
  <c r="W108" i="1"/>
  <c r="V108" i="1"/>
  <c r="Z107" i="1"/>
  <c r="Y107" i="1"/>
  <c r="X107" i="1"/>
  <c r="W107" i="1"/>
  <c r="V107" i="1"/>
  <c r="Z106" i="1"/>
  <c r="Y106" i="1"/>
  <c r="X106" i="1"/>
  <c r="W106" i="1"/>
  <c r="V106" i="1"/>
  <c r="Z105" i="1"/>
  <c r="Y105" i="1"/>
  <c r="X105" i="1"/>
  <c r="W105" i="1"/>
  <c r="V105" i="1"/>
  <c r="Z104" i="1"/>
  <c r="Y104" i="1"/>
  <c r="X104" i="1"/>
  <c r="W104" i="1"/>
  <c r="V104" i="1"/>
  <c r="Z103" i="1"/>
  <c r="Y103" i="1"/>
  <c r="X103" i="1"/>
  <c r="W103" i="1"/>
  <c r="V103" i="1"/>
  <c r="Z102" i="1"/>
  <c r="Y102" i="1"/>
  <c r="X102" i="1"/>
  <c r="W102" i="1"/>
  <c r="V102" i="1"/>
  <c r="Z101" i="1"/>
  <c r="Y101" i="1"/>
  <c r="X101" i="1"/>
  <c r="W101" i="1"/>
  <c r="V101" i="1"/>
  <c r="Z100" i="1"/>
  <c r="Y100" i="1"/>
  <c r="X100" i="1"/>
  <c r="W100" i="1"/>
  <c r="V100" i="1"/>
  <c r="Z99" i="1"/>
  <c r="Y99" i="1"/>
  <c r="X99" i="1"/>
  <c r="W99" i="1"/>
  <c r="V99" i="1"/>
  <c r="Z98" i="1"/>
  <c r="Y98" i="1"/>
  <c r="X98" i="1"/>
  <c r="W98" i="1"/>
  <c r="V98" i="1"/>
  <c r="Z97" i="1"/>
  <c r="Y97" i="1"/>
  <c r="X97" i="1"/>
  <c r="W97" i="1"/>
  <c r="V97" i="1"/>
  <c r="Z96" i="1"/>
  <c r="Y96" i="1"/>
  <c r="X96" i="1"/>
  <c r="W96" i="1"/>
  <c r="V96" i="1"/>
  <c r="Z95" i="1"/>
  <c r="Y95" i="1"/>
  <c r="X95" i="1"/>
  <c r="W95" i="1"/>
  <c r="V95" i="1"/>
  <c r="Z94" i="1"/>
  <c r="Y94" i="1"/>
  <c r="X94" i="1"/>
  <c r="W94" i="1"/>
  <c r="V94" i="1"/>
  <c r="Z93" i="1"/>
  <c r="Y93" i="1"/>
  <c r="X93" i="1"/>
  <c r="W93" i="1"/>
  <c r="V93" i="1"/>
  <c r="Z92" i="1"/>
  <c r="Y92" i="1"/>
  <c r="X92" i="1"/>
  <c r="W92" i="1"/>
  <c r="V92" i="1"/>
  <c r="Z91" i="1"/>
  <c r="Y91" i="1"/>
  <c r="X91" i="1"/>
  <c r="W91" i="1"/>
  <c r="V91" i="1"/>
  <c r="Z90" i="1"/>
  <c r="Y90" i="1"/>
  <c r="X90" i="1"/>
  <c r="W90" i="1"/>
  <c r="V90" i="1"/>
  <c r="Z89" i="1"/>
  <c r="Y89" i="1"/>
  <c r="X89" i="1"/>
  <c r="W89" i="1"/>
  <c r="V89" i="1"/>
  <c r="Z88" i="1"/>
  <c r="Y88" i="1"/>
  <c r="X88" i="1"/>
  <c r="W88" i="1"/>
  <c r="V88" i="1"/>
  <c r="Z87" i="1"/>
  <c r="Y87" i="1"/>
  <c r="X87" i="1"/>
  <c r="W87" i="1"/>
  <c r="V87" i="1"/>
  <c r="Z86" i="1"/>
  <c r="Y86" i="1"/>
  <c r="X86" i="1"/>
  <c r="W86" i="1"/>
  <c r="V86" i="1"/>
  <c r="Z85" i="1"/>
  <c r="Y85" i="1"/>
  <c r="X85" i="1"/>
  <c r="W85" i="1"/>
  <c r="V85" i="1"/>
  <c r="Z84" i="1"/>
  <c r="Y84" i="1"/>
  <c r="X84" i="1"/>
  <c r="W84" i="1"/>
  <c r="V84" i="1"/>
  <c r="Z83" i="1"/>
  <c r="Y83" i="1"/>
  <c r="X83" i="1"/>
  <c r="W83" i="1"/>
  <c r="V83" i="1"/>
  <c r="Z82" i="1"/>
  <c r="Y82" i="1"/>
  <c r="X82" i="1"/>
  <c r="W82" i="1"/>
  <c r="V82" i="1"/>
  <c r="Z81" i="1"/>
  <c r="Y81" i="1"/>
  <c r="X81" i="1"/>
  <c r="W81" i="1"/>
  <c r="V81" i="1"/>
  <c r="Z80" i="1"/>
  <c r="Y80" i="1"/>
  <c r="X80" i="1"/>
  <c r="W80" i="1"/>
  <c r="V80" i="1"/>
  <c r="Z79" i="1"/>
  <c r="Y79" i="1"/>
  <c r="X79" i="1"/>
  <c r="W79" i="1"/>
  <c r="V79" i="1"/>
  <c r="Z78" i="1"/>
  <c r="Y78" i="1"/>
  <c r="X78" i="1"/>
  <c r="W78" i="1"/>
  <c r="V78" i="1"/>
  <c r="Z77" i="1"/>
  <c r="Y77" i="1"/>
  <c r="X77" i="1"/>
  <c r="W77" i="1"/>
  <c r="V77" i="1"/>
  <c r="Z76" i="1"/>
  <c r="Y76" i="1"/>
  <c r="X76" i="1"/>
  <c r="W76" i="1"/>
  <c r="V76" i="1"/>
  <c r="Z75" i="1"/>
  <c r="Y75" i="1"/>
  <c r="X75" i="1"/>
  <c r="W75" i="1"/>
  <c r="V75" i="1"/>
  <c r="Z74" i="1"/>
  <c r="Y74" i="1"/>
  <c r="X74" i="1"/>
  <c r="W74" i="1"/>
  <c r="V74" i="1"/>
  <c r="Z73" i="1"/>
  <c r="Y73" i="1"/>
  <c r="X73" i="1"/>
  <c r="W73" i="1"/>
  <c r="V73" i="1"/>
  <c r="Z72" i="1"/>
  <c r="Y72" i="1"/>
  <c r="X72" i="1"/>
  <c r="W72" i="1"/>
  <c r="V72" i="1"/>
  <c r="Z71" i="1"/>
  <c r="Y71" i="1"/>
  <c r="X71" i="1"/>
  <c r="W71" i="1"/>
  <c r="V71" i="1"/>
  <c r="Z70" i="1"/>
  <c r="Y70" i="1"/>
  <c r="X70" i="1"/>
  <c r="W70" i="1"/>
  <c r="V70" i="1"/>
  <c r="Z69" i="1"/>
  <c r="Y69" i="1"/>
  <c r="X69" i="1"/>
  <c r="W69" i="1"/>
  <c r="V69" i="1"/>
  <c r="Z68" i="1"/>
  <c r="Y68" i="1"/>
  <c r="X68" i="1"/>
  <c r="W68" i="1"/>
  <c r="V68" i="1"/>
  <c r="Z67" i="1"/>
  <c r="Y67" i="1"/>
  <c r="X67" i="1"/>
  <c r="W67" i="1"/>
  <c r="V67" i="1"/>
  <c r="Z66" i="1"/>
  <c r="Y66" i="1"/>
  <c r="X66" i="1"/>
  <c r="W66" i="1"/>
  <c r="V66" i="1"/>
  <c r="Z65" i="1"/>
  <c r="Y65" i="1"/>
  <c r="X65" i="1"/>
  <c r="W65" i="1"/>
  <c r="V65" i="1"/>
  <c r="Z64" i="1"/>
  <c r="Y64" i="1"/>
  <c r="X64" i="1"/>
  <c r="W64" i="1"/>
  <c r="V64" i="1"/>
  <c r="Z63" i="1"/>
  <c r="Y63" i="1"/>
  <c r="X63" i="1"/>
  <c r="W63" i="1"/>
  <c r="V63" i="1"/>
  <c r="Z62" i="1"/>
  <c r="Y62" i="1"/>
  <c r="X62" i="1"/>
  <c r="W62" i="1"/>
  <c r="V62" i="1"/>
  <c r="Z61" i="1"/>
  <c r="Y61" i="1"/>
  <c r="X61" i="1"/>
  <c r="W61" i="1"/>
  <c r="V61" i="1"/>
  <c r="Z60" i="1"/>
  <c r="Y60" i="1"/>
  <c r="X60" i="1"/>
  <c r="W60" i="1"/>
  <c r="V60" i="1"/>
  <c r="Z59" i="1"/>
  <c r="Y59" i="1"/>
  <c r="X59" i="1"/>
  <c r="W59" i="1"/>
  <c r="V59" i="1"/>
  <c r="Z58" i="1"/>
  <c r="Y58" i="1"/>
  <c r="X58" i="1"/>
  <c r="W58" i="1"/>
  <c r="V58" i="1"/>
  <c r="Z57" i="1"/>
  <c r="Y57" i="1"/>
  <c r="X57" i="1"/>
  <c r="W57" i="1"/>
  <c r="V57" i="1"/>
  <c r="Z56" i="1"/>
  <c r="Y56" i="1"/>
  <c r="X56" i="1"/>
  <c r="W56" i="1"/>
  <c r="V56" i="1"/>
  <c r="Z55" i="1"/>
  <c r="Y55" i="1"/>
  <c r="X55" i="1"/>
  <c r="W55" i="1"/>
  <c r="V55" i="1"/>
  <c r="Z54" i="1"/>
  <c r="Y54" i="1"/>
  <c r="X54" i="1"/>
  <c r="W54" i="1"/>
  <c r="V54" i="1"/>
  <c r="Z53" i="1"/>
  <c r="Y53" i="1"/>
  <c r="X53" i="1"/>
  <c r="W53" i="1"/>
  <c r="V53" i="1"/>
  <c r="Z52" i="1"/>
  <c r="Y52" i="1"/>
  <c r="X52" i="1"/>
  <c r="W52" i="1"/>
  <c r="V52" i="1"/>
  <c r="Z51" i="1"/>
  <c r="Y51" i="1"/>
  <c r="X51" i="1"/>
  <c r="W51" i="1"/>
  <c r="V51" i="1"/>
  <c r="Z50" i="1"/>
  <c r="Y50" i="1"/>
  <c r="X50" i="1"/>
  <c r="W50" i="1"/>
  <c r="V50" i="1"/>
  <c r="Z49" i="1"/>
  <c r="Y49" i="1"/>
  <c r="X49" i="1"/>
  <c r="W49" i="1"/>
  <c r="V49" i="1"/>
  <c r="Z48" i="1"/>
  <c r="Y48" i="1"/>
  <c r="X48" i="1"/>
  <c r="W48" i="1"/>
  <c r="V48" i="1"/>
  <c r="Z47" i="1"/>
  <c r="Y47" i="1"/>
  <c r="X47" i="1"/>
  <c r="W47" i="1"/>
  <c r="V47" i="1"/>
  <c r="Z46" i="1"/>
  <c r="Y46" i="1"/>
  <c r="X46" i="1"/>
  <c r="W46" i="1"/>
  <c r="V46" i="1"/>
  <c r="Z45" i="1"/>
  <c r="Y45" i="1"/>
  <c r="X45" i="1"/>
  <c r="W45" i="1"/>
  <c r="V45" i="1"/>
  <c r="Z44" i="1"/>
  <c r="Y44" i="1"/>
  <c r="X44" i="1"/>
  <c r="W44" i="1"/>
  <c r="V44" i="1"/>
  <c r="Z43" i="1"/>
  <c r="Y43" i="1"/>
  <c r="X43" i="1"/>
  <c r="W43" i="1"/>
  <c r="V43" i="1"/>
  <c r="Z42" i="1"/>
  <c r="Y42" i="1"/>
  <c r="X42" i="1"/>
  <c r="W42" i="1"/>
  <c r="V42" i="1"/>
  <c r="Z41" i="1"/>
  <c r="Y41" i="1"/>
  <c r="X41" i="1"/>
  <c r="W41" i="1"/>
  <c r="V41" i="1"/>
  <c r="Z40" i="1"/>
  <c r="Y40" i="1"/>
  <c r="X40" i="1"/>
  <c r="W40" i="1"/>
  <c r="V40" i="1"/>
  <c r="Z39" i="1"/>
  <c r="Y39" i="1"/>
  <c r="X39" i="1"/>
  <c r="W39" i="1"/>
  <c r="V39" i="1"/>
  <c r="Z38" i="1"/>
  <c r="Y38" i="1"/>
  <c r="X38" i="1"/>
  <c r="W38" i="1"/>
  <c r="V38" i="1"/>
  <c r="Z37" i="1"/>
  <c r="Y37" i="1"/>
  <c r="X37" i="1"/>
  <c r="W37" i="1"/>
  <c r="V37" i="1"/>
  <c r="Z36" i="1"/>
  <c r="Y36" i="1"/>
  <c r="X36" i="1"/>
  <c r="W36" i="1"/>
  <c r="V36" i="1"/>
  <c r="Z35" i="1"/>
  <c r="Y35" i="1"/>
  <c r="X35" i="1"/>
  <c r="W35" i="1"/>
  <c r="V35" i="1"/>
  <c r="Z34" i="1"/>
  <c r="Y34" i="1"/>
  <c r="X34" i="1"/>
  <c r="W34" i="1"/>
  <c r="V34" i="1"/>
  <c r="Z33" i="1"/>
  <c r="Y33" i="1"/>
  <c r="X33" i="1"/>
  <c r="W33" i="1"/>
  <c r="V33" i="1"/>
  <c r="Z32" i="1"/>
  <c r="Y32" i="1"/>
  <c r="X32" i="1"/>
  <c r="W32" i="1"/>
  <c r="V32" i="1"/>
  <c r="Z31" i="1"/>
  <c r="Y31" i="1"/>
  <c r="X31" i="1"/>
  <c r="W31" i="1"/>
  <c r="V31" i="1"/>
  <c r="Z30" i="1"/>
  <c r="Y30" i="1"/>
  <c r="X30" i="1"/>
  <c r="W30" i="1"/>
  <c r="V30" i="1"/>
  <c r="Z29" i="1"/>
  <c r="Y29" i="1"/>
  <c r="X29" i="1"/>
  <c r="W29" i="1"/>
  <c r="V29" i="1"/>
  <c r="Z28" i="1"/>
  <c r="Y28" i="1"/>
  <c r="X28" i="1"/>
  <c r="W28" i="1"/>
  <c r="V28" i="1"/>
  <c r="Z27" i="1"/>
  <c r="Y27" i="1"/>
  <c r="X27" i="1"/>
  <c r="W27" i="1"/>
  <c r="V27" i="1"/>
  <c r="Z26" i="1"/>
  <c r="Y26" i="1"/>
  <c r="X26" i="1"/>
  <c r="W26" i="1"/>
  <c r="V26" i="1"/>
  <c r="Z25" i="1"/>
  <c r="Y25" i="1"/>
  <c r="X25" i="1"/>
  <c r="W25" i="1"/>
  <c r="V25" i="1"/>
  <c r="Z24" i="1"/>
  <c r="Y24" i="1"/>
  <c r="X24" i="1"/>
  <c r="W24" i="1"/>
  <c r="V24" i="1"/>
  <c r="Z23" i="1"/>
  <c r="Y23" i="1"/>
  <c r="X23" i="1"/>
  <c r="W23" i="1"/>
  <c r="V23" i="1"/>
  <c r="Z22" i="1"/>
  <c r="Y22" i="1"/>
  <c r="X22" i="1"/>
  <c r="W22" i="1"/>
  <c r="V22" i="1"/>
  <c r="Z21" i="1"/>
  <c r="Y21" i="1"/>
  <c r="X21" i="1"/>
  <c r="W21" i="1"/>
  <c r="V21" i="1"/>
  <c r="Z20" i="1"/>
  <c r="Y20" i="1"/>
  <c r="X20" i="1"/>
  <c r="W20" i="1"/>
  <c r="V20" i="1"/>
  <c r="Z19" i="1"/>
  <c r="Y19" i="1"/>
  <c r="X19" i="1"/>
  <c r="W19" i="1"/>
  <c r="V19" i="1"/>
  <c r="Z18" i="1"/>
  <c r="Y18" i="1"/>
  <c r="X18" i="1"/>
  <c r="W18" i="1"/>
  <c r="V18" i="1"/>
  <c r="Z17" i="1"/>
  <c r="Y17" i="1"/>
  <c r="X17" i="1"/>
  <c r="W17" i="1"/>
  <c r="V17" i="1"/>
  <c r="Z16" i="1"/>
  <c r="Y16" i="1"/>
  <c r="X16" i="1"/>
  <c r="W16" i="1"/>
  <c r="V16" i="1"/>
  <c r="Z15" i="1"/>
  <c r="Y15" i="1"/>
  <c r="X15" i="1"/>
  <c r="W15" i="1"/>
  <c r="V15" i="1"/>
  <c r="Z14" i="1"/>
  <c r="Y14" i="1"/>
  <c r="X14" i="1"/>
  <c r="W14" i="1"/>
  <c r="V14" i="1"/>
  <c r="Z13" i="1"/>
  <c r="Y13" i="1"/>
  <c r="X13" i="1"/>
  <c r="W13" i="1"/>
  <c r="V13" i="1"/>
  <c r="Z12" i="1"/>
  <c r="Y12" i="1"/>
  <c r="X12" i="1"/>
  <c r="W12" i="1"/>
  <c r="V12" i="1"/>
  <c r="Z11" i="1"/>
  <c r="Y11" i="1"/>
  <c r="X11" i="1"/>
  <c r="W11" i="1"/>
  <c r="V11" i="1"/>
  <c r="Z10" i="1"/>
  <c r="Y10" i="1"/>
  <c r="X10" i="1"/>
  <c r="W10" i="1"/>
  <c r="V10" i="1"/>
  <c r="Z9" i="1"/>
  <c r="Y9" i="1"/>
  <c r="X9" i="1"/>
  <c r="W9" i="1"/>
  <c r="V9" i="1"/>
  <c r="Z8" i="1"/>
  <c r="Y8" i="1"/>
  <c r="X8" i="1"/>
  <c r="W8" i="1"/>
  <c r="V8" i="1"/>
  <c r="Z7" i="1"/>
  <c r="Y7" i="1"/>
  <c r="X7" i="1"/>
  <c r="W7" i="1"/>
  <c r="V7" i="1"/>
  <c r="Z6" i="1"/>
  <c r="Y6" i="1"/>
  <c r="X6" i="1"/>
  <c r="W6" i="1"/>
  <c r="V6" i="1"/>
  <c r="Z5" i="1"/>
  <c r="Y5" i="1"/>
  <c r="X5" i="1"/>
  <c r="W5" i="1"/>
  <c r="V5" i="1"/>
  <c r="Z4" i="1"/>
  <c r="Y4" i="1"/>
  <c r="X4" i="1"/>
  <c r="W4" i="1"/>
  <c r="V4" i="1"/>
  <c r="Z3" i="1"/>
  <c r="Y3" i="1"/>
  <c r="X3" i="1"/>
  <c r="W3" i="1"/>
  <c r="V3" i="1"/>
  <c r="Z2" i="1"/>
  <c r="Y2" i="1"/>
  <c r="X2" i="1"/>
  <c r="W2" i="1"/>
  <c r="V2" i="1"/>
  <c r="D15" i="2" a="1"/>
  <c r="D15" i="2" s="1"/>
  <c r="C15" i="2" a="1"/>
  <c r="C15" i="2" s="1"/>
  <c r="B13" i="2" a="1"/>
  <c r="B13" i="2" s="1"/>
  <c r="D14" i="2"/>
  <c r="C14" i="2"/>
  <c r="B14" i="2"/>
  <c r="B12" i="2"/>
  <c r="D13" i="2" a="1"/>
  <c r="D13" i="2" s="1"/>
  <c r="C13" i="2" a="1"/>
  <c r="C13" i="2" s="1"/>
  <c r="B11" i="2" a="1"/>
  <c r="B11" i="2" s="1"/>
  <c r="D12" i="2"/>
  <c r="C12" i="2"/>
  <c r="B10" i="2"/>
  <c r="D11" i="2" a="1"/>
  <c r="D11" i="2" s="1"/>
  <c r="C11" i="2" a="1"/>
  <c r="C11" i="2" s="1"/>
  <c r="B9" i="2" a="1"/>
  <c r="B9" i="2" s="1"/>
  <c r="D10" i="2"/>
  <c r="C10" i="2"/>
  <c r="B8" i="2"/>
  <c r="D9" i="2" a="1"/>
  <c r="D9" i="2" s="1"/>
  <c r="C9" i="2" a="1"/>
  <c r="C9" i="2" s="1"/>
  <c r="B7" i="2" a="1"/>
  <c r="B7" i="2" s="1"/>
  <c r="D8" i="2"/>
  <c r="C8" i="2"/>
  <c r="B6" i="2"/>
  <c r="T1687" i="1"/>
  <c r="S1687" i="1"/>
  <c r="T1686" i="1"/>
  <c r="S1686" i="1"/>
  <c r="T1685" i="1"/>
  <c r="S1685" i="1"/>
  <c r="T1684" i="1"/>
  <c r="S1684" i="1"/>
  <c r="T1683" i="1"/>
  <c r="S1683" i="1"/>
  <c r="T1682" i="1"/>
  <c r="S1682" i="1"/>
  <c r="T1681" i="1"/>
  <c r="S1681" i="1"/>
  <c r="T1680" i="1"/>
  <c r="S1680" i="1"/>
  <c r="T1679" i="1"/>
  <c r="S1679" i="1"/>
  <c r="T1678" i="1"/>
  <c r="S1678" i="1"/>
  <c r="T1677" i="1"/>
  <c r="S1677" i="1"/>
  <c r="T1676" i="1"/>
  <c r="S1676" i="1"/>
  <c r="T1675" i="1"/>
  <c r="S1675" i="1"/>
  <c r="T1674" i="1"/>
  <c r="S1674" i="1"/>
  <c r="T1673" i="1"/>
  <c r="S1673" i="1"/>
  <c r="T1672" i="1"/>
  <c r="S1672" i="1"/>
  <c r="T1671" i="1"/>
  <c r="S1671" i="1"/>
  <c r="T1670" i="1"/>
  <c r="S1670" i="1"/>
  <c r="T1669" i="1"/>
  <c r="S1669" i="1"/>
  <c r="T1668" i="1"/>
  <c r="S1668" i="1"/>
  <c r="T1667" i="1"/>
  <c r="S1667" i="1"/>
  <c r="T1666" i="1"/>
  <c r="S1666" i="1"/>
  <c r="T1665" i="1"/>
  <c r="S1665" i="1"/>
  <c r="T1664" i="1"/>
  <c r="S1664" i="1"/>
  <c r="T1663" i="1"/>
  <c r="S1663" i="1"/>
  <c r="T1662" i="1"/>
  <c r="S1662" i="1"/>
  <c r="T1661" i="1"/>
  <c r="S1661" i="1"/>
  <c r="T1660" i="1"/>
  <c r="S1660" i="1"/>
  <c r="T1659" i="1"/>
  <c r="S1659" i="1"/>
  <c r="T1658" i="1"/>
  <c r="S1658" i="1"/>
  <c r="T1657" i="1"/>
  <c r="S1657" i="1"/>
  <c r="T1656" i="1"/>
  <c r="S1656" i="1"/>
  <c r="T1655" i="1"/>
  <c r="S1655" i="1"/>
  <c r="T1654" i="1"/>
  <c r="S1654" i="1"/>
  <c r="T1653" i="1"/>
  <c r="S1653" i="1"/>
  <c r="T1652" i="1"/>
  <c r="S1652" i="1"/>
  <c r="T1651" i="1"/>
  <c r="S1651" i="1"/>
  <c r="T1650" i="1"/>
  <c r="S1650" i="1"/>
  <c r="T1649" i="1"/>
  <c r="S1649" i="1"/>
  <c r="T1648" i="1"/>
  <c r="S1648" i="1"/>
  <c r="T1647" i="1"/>
  <c r="S1647" i="1"/>
  <c r="T1646" i="1"/>
  <c r="S1646" i="1"/>
  <c r="T1645" i="1"/>
  <c r="S1645" i="1"/>
  <c r="T1644" i="1"/>
  <c r="S1644" i="1"/>
  <c r="T1643" i="1"/>
  <c r="S1643" i="1"/>
  <c r="T1642" i="1"/>
  <c r="S1642" i="1"/>
  <c r="T1641" i="1"/>
  <c r="S1641" i="1"/>
  <c r="T1640" i="1"/>
  <c r="S1640" i="1"/>
  <c r="T1639" i="1"/>
  <c r="S1639" i="1"/>
  <c r="T1638" i="1"/>
  <c r="S1638" i="1"/>
  <c r="T1637" i="1"/>
  <c r="S1637" i="1"/>
  <c r="T1636" i="1"/>
  <c r="S1636" i="1"/>
  <c r="T1635" i="1"/>
  <c r="S1635" i="1"/>
  <c r="T1634" i="1"/>
  <c r="S1634" i="1"/>
  <c r="T1633" i="1"/>
  <c r="S1633" i="1"/>
  <c r="T1632" i="1"/>
  <c r="S1632" i="1"/>
  <c r="T1631" i="1"/>
  <c r="S1631" i="1"/>
  <c r="T1630" i="1"/>
  <c r="S1630" i="1"/>
  <c r="T1629" i="1"/>
  <c r="S1629" i="1"/>
  <c r="T1628" i="1"/>
  <c r="S1628" i="1"/>
  <c r="T1627" i="1"/>
  <c r="S1627" i="1"/>
  <c r="T1626" i="1"/>
  <c r="S1626" i="1"/>
  <c r="T1625" i="1"/>
  <c r="S1625" i="1"/>
  <c r="T1624" i="1"/>
  <c r="S1624" i="1"/>
  <c r="T1623" i="1"/>
  <c r="S1623" i="1"/>
  <c r="T1622" i="1"/>
  <c r="S1622" i="1"/>
  <c r="T1621" i="1"/>
  <c r="S1621" i="1"/>
  <c r="T1620" i="1"/>
  <c r="S1620" i="1"/>
  <c r="T1619" i="1"/>
  <c r="S1619" i="1"/>
  <c r="T1618" i="1"/>
  <c r="S1618" i="1"/>
  <c r="T1617" i="1"/>
  <c r="S1617" i="1"/>
  <c r="T1616" i="1"/>
  <c r="S1616" i="1"/>
  <c r="T1615" i="1"/>
  <c r="S1615" i="1"/>
  <c r="T1614" i="1"/>
  <c r="S1614" i="1"/>
  <c r="T1613" i="1"/>
  <c r="S1613" i="1"/>
  <c r="T1612" i="1"/>
  <c r="S1612" i="1"/>
  <c r="T1611" i="1"/>
  <c r="S1611" i="1"/>
  <c r="T1610" i="1"/>
  <c r="S1610" i="1"/>
  <c r="T1609" i="1"/>
  <c r="S1609" i="1"/>
  <c r="T1608" i="1"/>
  <c r="S1608" i="1"/>
  <c r="T1607" i="1"/>
  <c r="S1607" i="1"/>
  <c r="T1606" i="1"/>
  <c r="S1606" i="1"/>
  <c r="T1605" i="1"/>
  <c r="S1605" i="1"/>
  <c r="T1604" i="1"/>
  <c r="S1604" i="1"/>
  <c r="T1603" i="1"/>
  <c r="S1603" i="1"/>
  <c r="T1602" i="1"/>
  <c r="S1602" i="1"/>
  <c r="T1601" i="1"/>
  <c r="S1601" i="1"/>
  <c r="T1600" i="1"/>
  <c r="S1600" i="1"/>
  <c r="T1599" i="1"/>
  <c r="S1599" i="1"/>
  <c r="T1598" i="1"/>
  <c r="S1598" i="1"/>
  <c r="T1597" i="1"/>
  <c r="S1597" i="1"/>
  <c r="T1596" i="1"/>
  <c r="S1596" i="1"/>
  <c r="T1595" i="1"/>
  <c r="S1595" i="1"/>
  <c r="T1594" i="1"/>
  <c r="S1594" i="1"/>
  <c r="T1593" i="1"/>
  <c r="S1593" i="1"/>
  <c r="T1592" i="1"/>
  <c r="S1592" i="1"/>
  <c r="T1591" i="1"/>
  <c r="S1591" i="1"/>
  <c r="T1590" i="1"/>
  <c r="S1590" i="1"/>
  <c r="T1589" i="1"/>
  <c r="S1589" i="1"/>
  <c r="T1588" i="1"/>
  <c r="S1588" i="1"/>
  <c r="T1587" i="1"/>
  <c r="S1587" i="1"/>
  <c r="T1586" i="1"/>
  <c r="S1586" i="1"/>
  <c r="T1585" i="1"/>
  <c r="S1585" i="1"/>
  <c r="T1584" i="1"/>
  <c r="S1584" i="1"/>
  <c r="T1583" i="1"/>
  <c r="S1583" i="1"/>
  <c r="T1582" i="1"/>
  <c r="S1582" i="1"/>
  <c r="T1581" i="1"/>
  <c r="S1581" i="1"/>
  <c r="T1580" i="1"/>
  <c r="S1580" i="1"/>
  <c r="T1579" i="1"/>
  <c r="S1579" i="1"/>
  <c r="T1578" i="1"/>
  <c r="S1578" i="1"/>
  <c r="T1577" i="1"/>
  <c r="S1577" i="1"/>
  <c r="T1576" i="1"/>
  <c r="S1576" i="1"/>
  <c r="T1575" i="1"/>
  <c r="S1575" i="1"/>
  <c r="T1574" i="1"/>
  <c r="S1574" i="1"/>
  <c r="T1573" i="1"/>
  <c r="S1573" i="1"/>
  <c r="T1572" i="1"/>
  <c r="S1572" i="1"/>
  <c r="T1571" i="1"/>
  <c r="S1571" i="1"/>
  <c r="T1570" i="1"/>
  <c r="S1570" i="1"/>
  <c r="T1569" i="1"/>
  <c r="S1569" i="1"/>
  <c r="T1568" i="1"/>
  <c r="S1568" i="1"/>
  <c r="T1567" i="1"/>
  <c r="S1567" i="1"/>
  <c r="T1566" i="1"/>
  <c r="S1566" i="1"/>
  <c r="T1565" i="1"/>
  <c r="S1565" i="1"/>
  <c r="T1564" i="1"/>
  <c r="S1564" i="1"/>
  <c r="T1563" i="1"/>
  <c r="S1563" i="1"/>
  <c r="T1562" i="1"/>
  <c r="S1562" i="1"/>
  <c r="T1561" i="1"/>
  <c r="S1561" i="1"/>
  <c r="T1560" i="1"/>
  <c r="S1560" i="1"/>
  <c r="T1559" i="1"/>
  <c r="S1559" i="1"/>
  <c r="T1558" i="1"/>
  <c r="S1558" i="1"/>
  <c r="T1557" i="1"/>
  <c r="S1557" i="1"/>
  <c r="T1556" i="1"/>
  <c r="S1556" i="1"/>
  <c r="T1555" i="1"/>
  <c r="S1555" i="1"/>
  <c r="T1554" i="1"/>
  <c r="S1554" i="1"/>
  <c r="T1553" i="1"/>
  <c r="S1553" i="1"/>
  <c r="T1552" i="1"/>
  <c r="S1552" i="1"/>
  <c r="T1551" i="1"/>
  <c r="S1551" i="1"/>
  <c r="T1550" i="1"/>
  <c r="S1550" i="1"/>
  <c r="T1549" i="1"/>
  <c r="S1549" i="1"/>
  <c r="T1548" i="1"/>
  <c r="S1548" i="1"/>
  <c r="T1547" i="1"/>
  <c r="S1547" i="1"/>
  <c r="T1546" i="1"/>
  <c r="S1546" i="1"/>
  <c r="T1545" i="1"/>
  <c r="S1545" i="1"/>
  <c r="T1544" i="1"/>
  <c r="S1544" i="1"/>
  <c r="T1543" i="1"/>
  <c r="S1543" i="1"/>
  <c r="T1542" i="1"/>
  <c r="S1542" i="1"/>
  <c r="T1541" i="1"/>
  <c r="S1541" i="1"/>
  <c r="T1540" i="1"/>
  <c r="S1540" i="1"/>
  <c r="T1539" i="1"/>
  <c r="S1539" i="1"/>
  <c r="T1538" i="1"/>
  <c r="S1538" i="1"/>
  <c r="T1537" i="1"/>
  <c r="S1537" i="1"/>
  <c r="T1536" i="1"/>
  <c r="S1536" i="1"/>
  <c r="T1535" i="1"/>
  <c r="S1535" i="1"/>
  <c r="T1534" i="1"/>
  <c r="S1534" i="1"/>
  <c r="T1533" i="1"/>
  <c r="S1533" i="1"/>
  <c r="T1532" i="1"/>
  <c r="S1532" i="1"/>
  <c r="T1531" i="1"/>
  <c r="S1531" i="1"/>
  <c r="T1530" i="1"/>
  <c r="S1530" i="1"/>
  <c r="T1529" i="1"/>
  <c r="S1529" i="1"/>
  <c r="T1528" i="1"/>
  <c r="S1528" i="1"/>
  <c r="T1527" i="1"/>
  <c r="S1527" i="1"/>
  <c r="T1526" i="1"/>
  <c r="S1526" i="1"/>
  <c r="T1525" i="1"/>
  <c r="S1525" i="1"/>
  <c r="T1524" i="1"/>
  <c r="S1524" i="1"/>
  <c r="T1523" i="1"/>
  <c r="S1523" i="1"/>
  <c r="T1522" i="1"/>
  <c r="S1522" i="1"/>
  <c r="T1521" i="1"/>
  <c r="S1521" i="1"/>
  <c r="T1520" i="1"/>
  <c r="S1520" i="1"/>
  <c r="T1519" i="1"/>
  <c r="S1519" i="1"/>
  <c r="T1518" i="1"/>
  <c r="S1518" i="1"/>
  <c r="T1517" i="1"/>
  <c r="S1517" i="1"/>
  <c r="T1516" i="1"/>
  <c r="S1516" i="1"/>
  <c r="T1515" i="1"/>
  <c r="S1515" i="1"/>
  <c r="T1514" i="1"/>
  <c r="S1514" i="1"/>
  <c r="T1513" i="1"/>
  <c r="S1513" i="1"/>
  <c r="T1512" i="1"/>
  <c r="S1512" i="1"/>
  <c r="T1511" i="1"/>
  <c r="S1511" i="1"/>
  <c r="T1510" i="1"/>
  <c r="S1510" i="1"/>
  <c r="T1509" i="1"/>
  <c r="S1509" i="1"/>
  <c r="T1508" i="1"/>
  <c r="S1508" i="1"/>
  <c r="T1507" i="1"/>
  <c r="S1507" i="1"/>
  <c r="T1506" i="1"/>
  <c r="S1506" i="1"/>
  <c r="T1505" i="1"/>
  <c r="S1505" i="1"/>
  <c r="T1504" i="1"/>
  <c r="S1504" i="1"/>
  <c r="T1503" i="1"/>
  <c r="S1503" i="1"/>
  <c r="T1502" i="1"/>
  <c r="S1502" i="1"/>
  <c r="T1501" i="1"/>
  <c r="S1501" i="1"/>
  <c r="T1500" i="1"/>
  <c r="S1500" i="1"/>
  <c r="T1499" i="1"/>
  <c r="S1499" i="1"/>
  <c r="T1498" i="1"/>
  <c r="S1498" i="1"/>
  <c r="T1497" i="1"/>
  <c r="S1497" i="1"/>
  <c r="T1496" i="1"/>
  <c r="S1496" i="1"/>
  <c r="T1495" i="1"/>
  <c r="S1495" i="1"/>
  <c r="T1494" i="1"/>
  <c r="S1494" i="1"/>
  <c r="T1493" i="1"/>
  <c r="S1493" i="1"/>
  <c r="T1492" i="1"/>
  <c r="S1492" i="1"/>
  <c r="T1491" i="1"/>
  <c r="S1491" i="1"/>
  <c r="T1490" i="1"/>
  <c r="S1490" i="1"/>
  <c r="T1489" i="1"/>
  <c r="S1489" i="1"/>
  <c r="T1488" i="1"/>
  <c r="S1488" i="1"/>
  <c r="T1487" i="1"/>
  <c r="S1487" i="1"/>
  <c r="T1486" i="1"/>
  <c r="S1486" i="1"/>
  <c r="T1485" i="1"/>
  <c r="S1485" i="1"/>
  <c r="T1484" i="1"/>
  <c r="S1484" i="1"/>
  <c r="T1483" i="1"/>
  <c r="S1483" i="1"/>
  <c r="T1482" i="1"/>
  <c r="S1482" i="1"/>
  <c r="T1481" i="1"/>
  <c r="S1481" i="1"/>
  <c r="T1480" i="1"/>
  <c r="S1480" i="1"/>
  <c r="T1479" i="1"/>
  <c r="S1479" i="1"/>
  <c r="T1478" i="1"/>
  <c r="S1478" i="1"/>
  <c r="T1477" i="1"/>
  <c r="S1477" i="1"/>
  <c r="T1476" i="1"/>
  <c r="S1476" i="1"/>
  <c r="T1475" i="1"/>
  <c r="S1475" i="1"/>
  <c r="T1474" i="1"/>
  <c r="S1474" i="1"/>
  <c r="T1473" i="1"/>
  <c r="S1473" i="1"/>
  <c r="T1472" i="1"/>
  <c r="S1472" i="1"/>
  <c r="T1471" i="1"/>
  <c r="S1471" i="1"/>
  <c r="T1470" i="1"/>
  <c r="S1470" i="1"/>
  <c r="T1469" i="1"/>
  <c r="S1469" i="1"/>
  <c r="T1468" i="1"/>
  <c r="S1468" i="1"/>
  <c r="T1467" i="1"/>
  <c r="S1467" i="1"/>
  <c r="T1466" i="1"/>
  <c r="S1466" i="1"/>
  <c r="T1465" i="1"/>
  <c r="S1465" i="1"/>
  <c r="T1464" i="1"/>
  <c r="S1464" i="1"/>
  <c r="T1463" i="1"/>
  <c r="S1463" i="1"/>
  <c r="T1462" i="1"/>
  <c r="S1462" i="1"/>
  <c r="T1461" i="1"/>
  <c r="S1461" i="1"/>
  <c r="T1460" i="1"/>
  <c r="S1460" i="1"/>
  <c r="T1459" i="1"/>
  <c r="S1459" i="1"/>
  <c r="T1458" i="1"/>
  <c r="S1458" i="1"/>
  <c r="T1457" i="1"/>
  <c r="S1457" i="1"/>
  <c r="T1456" i="1"/>
  <c r="S1456" i="1"/>
  <c r="T1455" i="1"/>
  <c r="S1455" i="1"/>
  <c r="T1454" i="1"/>
  <c r="S1454" i="1"/>
  <c r="T1453" i="1"/>
  <c r="S1453" i="1"/>
  <c r="T1452" i="1"/>
  <c r="S1452" i="1"/>
  <c r="T1451" i="1"/>
  <c r="S1451" i="1"/>
  <c r="T1450" i="1"/>
  <c r="S1450" i="1"/>
  <c r="T1449" i="1"/>
  <c r="S1449" i="1"/>
  <c r="T1448" i="1"/>
  <c r="S1448" i="1"/>
  <c r="T1447" i="1"/>
  <c r="S1447" i="1"/>
  <c r="T1446" i="1"/>
  <c r="S1446" i="1"/>
  <c r="T1445" i="1"/>
  <c r="S1445" i="1"/>
  <c r="T1444" i="1"/>
  <c r="S1444" i="1"/>
  <c r="T1443" i="1"/>
  <c r="S1443" i="1"/>
  <c r="T1442" i="1"/>
  <c r="S1442" i="1"/>
  <c r="T1441" i="1"/>
  <c r="S1441" i="1"/>
  <c r="T1440" i="1"/>
  <c r="S1440" i="1"/>
  <c r="T1439" i="1"/>
  <c r="S1439" i="1"/>
  <c r="T1438" i="1"/>
  <c r="S1438" i="1"/>
  <c r="T1437" i="1"/>
  <c r="S1437" i="1"/>
  <c r="T1436" i="1"/>
  <c r="S1436" i="1"/>
  <c r="T1435" i="1"/>
  <c r="S1435" i="1"/>
  <c r="T1434" i="1"/>
  <c r="S1434" i="1"/>
  <c r="T1433" i="1"/>
  <c r="S1433" i="1"/>
  <c r="T1432" i="1"/>
  <c r="S1432" i="1"/>
  <c r="T1431" i="1"/>
  <c r="S1431" i="1"/>
  <c r="T1430" i="1"/>
  <c r="S1430" i="1"/>
  <c r="T1429" i="1"/>
  <c r="S1429" i="1"/>
  <c r="T1428" i="1"/>
  <c r="S1428" i="1"/>
  <c r="T1427" i="1"/>
  <c r="S1427" i="1"/>
  <c r="T1426" i="1"/>
  <c r="S1426" i="1"/>
  <c r="T1425" i="1"/>
  <c r="S1425" i="1"/>
  <c r="T1424" i="1"/>
  <c r="S1424" i="1"/>
  <c r="T1423" i="1"/>
  <c r="S1423" i="1"/>
  <c r="T1422" i="1"/>
  <c r="S1422" i="1"/>
  <c r="T1421" i="1"/>
  <c r="S1421" i="1"/>
  <c r="T1420" i="1"/>
  <c r="S1420" i="1"/>
  <c r="T1419" i="1"/>
  <c r="S1419" i="1"/>
  <c r="T1418" i="1"/>
  <c r="S1418" i="1"/>
  <c r="T1417" i="1"/>
  <c r="S1417" i="1"/>
  <c r="T1416" i="1"/>
  <c r="S1416" i="1"/>
  <c r="T1415" i="1"/>
  <c r="S1415" i="1"/>
  <c r="T1414" i="1"/>
  <c r="S1414" i="1"/>
  <c r="T1413" i="1"/>
  <c r="S1413" i="1"/>
  <c r="T1412" i="1"/>
  <c r="S1412" i="1"/>
  <c r="T1411" i="1"/>
  <c r="S1411" i="1"/>
  <c r="T1410" i="1"/>
  <c r="S1410" i="1"/>
  <c r="T1409" i="1"/>
  <c r="S1409" i="1"/>
  <c r="T1408" i="1"/>
  <c r="S1408" i="1"/>
  <c r="T1407" i="1"/>
  <c r="S1407" i="1"/>
  <c r="T1406" i="1"/>
  <c r="S1406" i="1"/>
  <c r="T1405" i="1"/>
  <c r="S1405" i="1"/>
  <c r="T1404" i="1"/>
  <c r="S1404" i="1"/>
  <c r="T1403" i="1"/>
  <c r="S1403" i="1"/>
  <c r="T1402" i="1"/>
  <c r="S1402" i="1"/>
  <c r="T1401" i="1"/>
  <c r="S1401" i="1"/>
  <c r="T1400" i="1"/>
  <c r="S1400" i="1"/>
  <c r="T1399" i="1"/>
  <c r="S1399" i="1"/>
  <c r="T1398" i="1"/>
  <c r="S1398" i="1"/>
  <c r="T1397" i="1"/>
  <c r="S1397" i="1"/>
  <c r="T1396" i="1"/>
  <c r="S1396" i="1"/>
  <c r="T1395" i="1"/>
  <c r="S1395" i="1"/>
  <c r="T1394" i="1"/>
  <c r="S1394" i="1"/>
  <c r="T1393" i="1"/>
  <c r="S1393" i="1"/>
  <c r="T1392" i="1"/>
  <c r="S1392" i="1"/>
  <c r="T1391" i="1"/>
  <c r="S1391" i="1"/>
  <c r="T1390" i="1"/>
  <c r="S1390" i="1"/>
  <c r="T1389" i="1"/>
  <c r="S1389" i="1"/>
  <c r="T1388" i="1"/>
  <c r="S1388" i="1"/>
  <c r="T1387" i="1"/>
  <c r="S1387" i="1"/>
  <c r="T1386" i="1"/>
  <c r="S1386" i="1"/>
  <c r="T1385" i="1"/>
  <c r="S1385" i="1"/>
  <c r="T1384" i="1"/>
  <c r="S1384" i="1"/>
  <c r="T1383" i="1"/>
  <c r="S1383" i="1"/>
  <c r="T1382" i="1"/>
  <c r="S1382" i="1"/>
  <c r="T1381" i="1"/>
  <c r="S1381" i="1"/>
  <c r="T1380" i="1"/>
  <c r="S1380" i="1"/>
  <c r="T1379" i="1"/>
  <c r="S1379" i="1"/>
  <c r="T1378" i="1"/>
  <c r="S1378" i="1"/>
  <c r="T1377" i="1"/>
  <c r="S1377" i="1"/>
  <c r="T1376" i="1"/>
  <c r="S1376" i="1"/>
  <c r="T1375" i="1"/>
  <c r="S1375" i="1"/>
  <c r="T1374" i="1"/>
  <c r="S1374" i="1"/>
  <c r="T1373" i="1"/>
  <c r="S1373" i="1"/>
  <c r="T1372" i="1"/>
  <c r="S1372" i="1"/>
  <c r="T1371" i="1"/>
  <c r="S1371" i="1"/>
  <c r="T1370" i="1"/>
  <c r="S1370" i="1"/>
  <c r="T1369" i="1"/>
  <c r="S1369" i="1"/>
  <c r="T1368" i="1"/>
  <c r="S1368" i="1"/>
  <c r="T1367" i="1"/>
  <c r="S1367" i="1"/>
  <c r="T1366" i="1"/>
  <c r="S1366" i="1"/>
  <c r="T1365" i="1"/>
  <c r="S1365" i="1"/>
  <c r="T1364" i="1"/>
  <c r="S1364" i="1"/>
  <c r="T1363" i="1"/>
  <c r="S1363" i="1"/>
  <c r="T1362" i="1"/>
  <c r="S1362" i="1"/>
  <c r="T1361" i="1"/>
  <c r="S1361" i="1"/>
  <c r="T1360" i="1"/>
  <c r="S1360" i="1"/>
  <c r="T1359" i="1"/>
  <c r="S1359" i="1"/>
  <c r="T1358" i="1"/>
  <c r="S1358" i="1"/>
  <c r="T1357" i="1"/>
  <c r="S1357" i="1"/>
  <c r="T1356" i="1"/>
  <c r="S1356" i="1"/>
  <c r="T1355" i="1"/>
  <c r="S1355" i="1"/>
  <c r="T1354" i="1"/>
  <c r="S1354" i="1"/>
  <c r="T1353" i="1"/>
  <c r="S1353" i="1"/>
  <c r="T1352" i="1"/>
  <c r="S1352" i="1"/>
  <c r="T1351" i="1"/>
  <c r="S1351" i="1"/>
  <c r="T1350" i="1"/>
  <c r="S1350" i="1"/>
  <c r="T1349" i="1"/>
  <c r="S1349" i="1"/>
  <c r="T1348" i="1"/>
  <c r="S1348" i="1"/>
  <c r="T1347" i="1"/>
  <c r="S1347" i="1"/>
  <c r="T1346" i="1"/>
  <c r="S1346" i="1"/>
  <c r="T1345" i="1"/>
  <c r="S1345" i="1"/>
  <c r="T1344" i="1"/>
  <c r="S1344" i="1"/>
  <c r="T1343" i="1"/>
  <c r="S1343" i="1"/>
  <c r="T1342" i="1"/>
  <c r="S1342" i="1"/>
  <c r="T1341" i="1"/>
  <c r="S1341" i="1"/>
  <c r="T1340" i="1"/>
  <c r="S1340" i="1"/>
  <c r="T1339" i="1"/>
  <c r="S1339" i="1"/>
  <c r="T1338" i="1"/>
  <c r="S1338" i="1"/>
  <c r="T1337" i="1"/>
  <c r="S1337" i="1"/>
  <c r="T1336" i="1"/>
  <c r="S1336" i="1"/>
  <c r="T1335" i="1"/>
  <c r="S1335" i="1"/>
  <c r="T1334" i="1"/>
  <c r="S1334" i="1"/>
  <c r="T1333" i="1"/>
  <c r="S1333" i="1"/>
  <c r="T1332" i="1"/>
  <c r="S1332" i="1"/>
  <c r="T1331" i="1"/>
  <c r="S1331" i="1"/>
  <c r="T1330" i="1"/>
  <c r="S1330" i="1"/>
  <c r="T1329" i="1"/>
  <c r="S1329" i="1"/>
  <c r="T1328" i="1"/>
  <c r="S1328" i="1"/>
  <c r="T1327" i="1"/>
  <c r="S1327" i="1"/>
  <c r="T1326" i="1"/>
  <c r="S1326" i="1"/>
  <c r="T1325" i="1"/>
  <c r="S1325" i="1"/>
  <c r="T1324" i="1"/>
  <c r="S1324" i="1"/>
  <c r="T1323" i="1"/>
  <c r="S1323" i="1"/>
  <c r="T1322" i="1"/>
  <c r="S1322" i="1"/>
  <c r="T1321" i="1"/>
  <c r="S1321" i="1"/>
  <c r="T1320" i="1"/>
  <c r="S1320" i="1"/>
  <c r="T1319" i="1"/>
  <c r="S1319" i="1"/>
  <c r="T1318" i="1"/>
  <c r="S1318" i="1"/>
  <c r="T1317" i="1"/>
  <c r="S1317" i="1"/>
  <c r="T1316" i="1"/>
  <c r="S1316" i="1"/>
  <c r="T1315" i="1"/>
  <c r="S1315" i="1"/>
  <c r="T1314" i="1"/>
  <c r="S1314" i="1"/>
  <c r="T1313" i="1"/>
  <c r="S1313" i="1"/>
  <c r="T1312" i="1"/>
  <c r="S1312" i="1"/>
  <c r="T1311" i="1"/>
  <c r="S1311" i="1"/>
  <c r="T1310" i="1"/>
  <c r="S1310" i="1"/>
  <c r="T1309" i="1"/>
  <c r="S1309" i="1"/>
  <c r="T1308" i="1"/>
  <c r="S1308" i="1"/>
  <c r="T1307" i="1"/>
  <c r="S1307" i="1"/>
  <c r="T1306" i="1"/>
  <c r="S1306" i="1"/>
  <c r="T1305" i="1"/>
  <c r="S1305" i="1"/>
  <c r="T1304" i="1"/>
  <c r="S1304" i="1"/>
  <c r="T1303" i="1"/>
  <c r="S1303" i="1"/>
  <c r="T1302" i="1"/>
  <c r="S1302" i="1"/>
  <c r="T1301" i="1"/>
  <c r="S1301" i="1"/>
  <c r="T1300" i="1"/>
  <c r="S1300" i="1"/>
  <c r="T1299" i="1"/>
  <c r="S1299" i="1"/>
  <c r="T1298" i="1"/>
  <c r="S1298" i="1"/>
  <c r="T1297" i="1"/>
  <c r="S1297" i="1"/>
  <c r="T1296" i="1"/>
  <c r="S1296" i="1"/>
  <c r="T1295" i="1"/>
  <c r="S1295" i="1"/>
  <c r="T1294" i="1"/>
  <c r="S1294" i="1"/>
  <c r="T1293" i="1"/>
  <c r="S1293" i="1"/>
  <c r="T1292" i="1"/>
  <c r="S1292" i="1"/>
  <c r="T1291" i="1"/>
  <c r="S1291" i="1"/>
  <c r="T1290" i="1"/>
  <c r="S1290" i="1"/>
  <c r="T1289" i="1"/>
  <c r="S1289" i="1"/>
  <c r="T1288" i="1"/>
  <c r="S1288" i="1"/>
  <c r="T1287" i="1"/>
  <c r="S1287" i="1"/>
  <c r="T1286" i="1"/>
  <c r="S1286" i="1"/>
  <c r="T1285" i="1"/>
  <c r="S1285" i="1"/>
  <c r="T1284" i="1"/>
  <c r="S1284" i="1"/>
  <c r="T1283" i="1"/>
  <c r="S1283" i="1"/>
  <c r="T1282" i="1"/>
  <c r="S1282" i="1"/>
  <c r="T1281" i="1"/>
  <c r="S1281" i="1"/>
  <c r="T1280" i="1"/>
  <c r="S1280" i="1"/>
  <c r="T1279" i="1"/>
  <c r="S1279" i="1"/>
  <c r="T1278" i="1"/>
  <c r="S1278" i="1"/>
  <c r="T1277" i="1"/>
  <c r="S1277" i="1"/>
  <c r="T1276" i="1"/>
  <c r="S1276" i="1"/>
  <c r="T1275" i="1"/>
  <c r="S1275" i="1"/>
  <c r="T1274" i="1"/>
  <c r="S1274" i="1"/>
  <c r="T1273" i="1"/>
  <c r="S1273" i="1"/>
  <c r="T1272" i="1"/>
  <c r="S1272" i="1"/>
  <c r="T1271" i="1"/>
  <c r="S1271" i="1"/>
  <c r="T1270" i="1"/>
  <c r="S1270" i="1"/>
  <c r="T1269" i="1"/>
  <c r="S1269" i="1"/>
  <c r="T1268" i="1"/>
  <c r="S1268" i="1"/>
  <c r="T1267" i="1"/>
  <c r="S1267" i="1"/>
  <c r="T1266" i="1"/>
  <c r="S1266" i="1"/>
  <c r="T1265" i="1"/>
  <c r="S1265" i="1"/>
  <c r="T1264" i="1"/>
  <c r="S1264" i="1"/>
  <c r="T1263" i="1"/>
  <c r="S1263" i="1"/>
  <c r="T1262" i="1"/>
  <c r="S1262" i="1"/>
  <c r="T1261" i="1"/>
  <c r="S1261" i="1"/>
  <c r="T1260" i="1"/>
  <c r="S1260" i="1"/>
  <c r="T1259" i="1"/>
  <c r="S1259" i="1"/>
  <c r="T1258" i="1"/>
  <c r="S1258" i="1"/>
  <c r="T1257" i="1"/>
  <c r="S1257" i="1"/>
  <c r="T1256" i="1"/>
  <c r="S1256" i="1"/>
  <c r="T1255" i="1"/>
  <c r="S1255" i="1"/>
  <c r="T1254" i="1"/>
  <c r="S1254" i="1"/>
  <c r="T1253" i="1"/>
  <c r="S1253" i="1"/>
  <c r="T1252" i="1"/>
  <c r="S1252" i="1"/>
  <c r="T1251" i="1"/>
  <c r="S1251" i="1"/>
  <c r="T1250" i="1"/>
  <c r="S1250" i="1"/>
  <c r="T1249" i="1"/>
  <c r="S1249" i="1"/>
  <c r="T1248" i="1"/>
  <c r="S1248" i="1"/>
  <c r="T1247" i="1"/>
  <c r="S1247" i="1"/>
  <c r="T1246" i="1"/>
  <c r="S1246" i="1"/>
  <c r="T1245" i="1"/>
  <c r="S1245" i="1"/>
  <c r="T1244" i="1"/>
  <c r="S1244" i="1"/>
  <c r="T1243" i="1"/>
  <c r="S1243" i="1"/>
  <c r="T1242" i="1"/>
  <c r="S1242" i="1"/>
  <c r="T1241" i="1"/>
  <c r="S1241" i="1"/>
  <c r="T1240" i="1"/>
  <c r="S1240" i="1"/>
  <c r="T1239" i="1"/>
  <c r="S1239" i="1"/>
  <c r="T1238" i="1"/>
  <c r="S1238" i="1"/>
  <c r="T1237" i="1"/>
  <c r="S1237" i="1"/>
  <c r="T1236" i="1"/>
  <c r="S1236" i="1"/>
  <c r="T1235" i="1"/>
  <c r="S1235" i="1"/>
  <c r="T1234" i="1"/>
  <c r="S1234" i="1"/>
  <c r="T1233" i="1"/>
  <c r="S1233" i="1"/>
  <c r="T1232" i="1"/>
  <c r="S1232" i="1"/>
  <c r="T1231" i="1"/>
  <c r="S1231" i="1"/>
  <c r="T1230" i="1"/>
  <c r="S1230" i="1"/>
  <c r="T1229" i="1"/>
  <c r="S1229" i="1"/>
  <c r="T1228" i="1"/>
  <c r="S1228" i="1"/>
  <c r="T1227" i="1"/>
  <c r="S1227" i="1"/>
  <c r="T1226" i="1"/>
  <c r="S1226" i="1"/>
  <c r="T1225" i="1"/>
  <c r="S1225" i="1"/>
  <c r="T1224" i="1"/>
  <c r="S1224" i="1"/>
  <c r="T1223" i="1"/>
  <c r="S1223" i="1"/>
  <c r="T1222" i="1"/>
  <c r="S1222" i="1"/>
  <c r="T1221" i="1"/>
  <c r="S1221" i="1"/>
  <c r="T1220" i="1"/>
  <c r="S1220" i="1"/>
  <c r="T1219" i="1"/>
  <c r="S1219" i="1"/>
  <c r="T1218" i="1"/>
  <c r="S1218" i="1"/>
  <c r="T1217" i="1"/>
  <c r="S1217" i="1"/>
  <c r="T1216" i="1"/>
  <c r="S1216" i="1"/>
  <c r="T1215" i="1"/>
  <c r="S1215" i="1"/>
  <c r="T1214" i="1"/>
  <c r="S1214" i="1"/>
  <c r="T1213" i="1"/>
  <c r="S1213" i="1"/>
  <c r="T1212" i="1"/>
  <c r="S1212" i="1"/>
  <c r="T1211" i="1"/>
  <c r="S1211" i="1"/>
  <c r="T1210" i="1"/>
  <c r="S1210" i="1"/>
  <c r="T1209" i="1"/>
  <c r="S1209" i="1"/>
  <c r="T1208" i="1"/>
  <c r="S1208" i="1"/>
  <c r="T1207" i="1"/>
  <c r="S1207" i="1"/>
  <c r="T1206" i="1"/>
  <c r="S1206" i="1"/>
  <c r="T1205" i="1"/>
  <c r="S1205" i="1"/>
  <c r="T1204" i="1"/>
  <c r="S1204" i="1"/>
  <c r="T1203" i="1"/>
  <c r="S1203" i="1"/>
  <c r="T1202" i="1"/>
  <c r="S1202" i="1"/>
  <c r="T1201" i="1"/>
  <c r="S1201" i="1"/>
  <c r="T1200" i="1"/>
  <c r="S1200" i="1"/>
  <c r="T1199" i="1"/>
  <c r="S1199" i="1"/>
  <c r="T1198" i="1"/>
  <c r="S1198" i="1"/>
  <c r="T1197" i="1"/>
  <c r="S1197" i="1"/>
  <c r="T1196" i="1"/>
  <c r="S1196" i="1"/>
  <c r="T1195" i="1"/>
  <c r="S1195" i="1"/>
  <c r="T1194" i="1"/>
  <c r="S1194" i="1"/>
  <c r="T1193" i="1"/>
  <c r="S1193" i="1"/>
  <c r="T1192" i="1"/>
  <c r="S1192" i="1"/>
  <c r="T1191" i="1"/>
  <c r="S1191" i="1"/>
  <c r="T1190" i="1"/>
  <c r="S1190" i="1"/>
  <c r="T1189" i="1"/>
  <c r="S1189" i="1"/>
  <c r="T1188" i="1"/>
  <c r="S1188" i="1"/>
  <c r="T1187" i="1"/>
  <c r="S1187" i="1"/>
  <c r="T1186" i="1"/>
  <c r="S1186" i="1"/>
  <c r="T1185" i="1"/>
  <c r="S1185" i="1"/>
  <c r="T1184" i="1"/>
  <c r="S1184" i="1"/>
  <c r="T1183" i="1"/>
  <c r="S1183" i="1"/>
  <c r="T1182" i="1"/>
  <c r="S1182" i="1"/>
  <c r="T1181" i="1"/>
  <c r="S1181" i="1"/>
  <c r="T1180" i="1"/>
  <c r="S1180" i="1"/>
  <c r="T1179" i="1"/>
  <c r="S1179" i="1"/>
  <c r="T1178" i="1"/>
  <c r="S1178" i="1"/>
  <c r="T1177" i="1"/>
  <c r="S1177" i="1"/>
  <c r="T1176" i="1"/>
  <c r="S1176" i="1"/>
  <c r="T1175" i="1"/>
  <c r="S1175" i="1"/>
  <c r="T1174" i="1"/>
  <c r="S1174" i="1"/>
  <c r="T1173" i="1"/>
  <c r="S1173" i="1"/>
  <c r="T1172" i="1"/>
  <c r="S1172" i="1"/>
  <c r="T1171" i="1"/>
  <c r="S1171" i="1"/>
  <c r="T1170" i="1"/>
  <c r="S1170" i="1"/>
  <c r="T1169" i="1"/>
  <c r="S1169" i="1"/>
  <c r="T1168" i="1"/>
  <c r="S1168" i="1"/>
  <c r="T1167" i="1"/>
  <c r="S1167" i="1"/>
  <c r="T1166" i="1"/>
  <c r="S1166" i="1"/>
  <c r="T1165" i="1"/>
  <c r="S1165" i="1"/>
  <c r="T1164" i="1"/>
  <c r="S1164" i="1"/>
  <c r="T1163" i="1"/>
  <c r="S1163" i="1"/>
  <c r="T1162" i="1"/>
  <c r="S1162" i="1"/>
  <c r="T1161" i="1"/>
  <c r="S1161" i="1"/>
  <c r="T1160" i="1"/>
  <c r="S1160" i="1"/>
  <c r="T1159" i="1"/>
  <c r="S1159" i="1"/>
  <c r="T1158" i="1"/>
  <c r="S1158" i="1"/>
  <c r="T1157" i="1"/>
  <c r="S1157" i="1"/>
  <c r="T1156" i="1"/>
  <c r="S1156" i="1"/>
  <c r="T1155" i="1"/>
  <c r="S1155" i="1"/>
  <c r="T1154" i="1"/>
  <c r="S1154" i="1"/>
  <c r="T1153" i="1"/>
  <c r="S1153" i="1"/>
  <c r="T1152" i="1"/>
  <c r="S1152" i="1"/>
  <c r="T1151" i="1"/>
  <c r="S1151" i="1"/>
  <c r="T1150" i="1"/>
  <c r="S1150" i="1"/>
  <c r="T1149" i="1"/>
  <c r="S1149" i="1"/>
  <c r="T1148" i="1"/>
  <c r="S1148" i="1"/>
  <c r="T1147" i="1"/>
  <c r="S1147" i="1"/>
  <c r="T1146" i="1"/>
  <c r="S1146" i="1"/>
  <c r="T1145" i="1"/>
  <c r="S1145" i="1"/>
  <c r="T1144" i="1"/>
  <c r="S1144" i="1"/>
  <c r="T1143" i="1"/>
  <c r="S1143" i="1"/>
  <c r="T1142" i="1"/>
  <c r="S1142" i="1"/>
  <c r="T1141" i="1"/>
  <c r="S1141" i="1"/>
  <c r="T1140" i="1"/>
  <c r="S1140" i="1"/>
  <c r="T1139" i="1"/>
  <c r="S1139" i="1"/>
  <c r="T1138" i="1"/>
  <c r="S1138" i="1"/>
  <c r="T1137" i="1"/>
  <c r="S1137" i="1"/>
  <c r="T1136" i="1"/>
  <c r="S1136" i="1"/>
  <c r="T1135" i="1"/>
  <c r="S1135" i="1"/>
  <c r="T1134" i="1"/>
  <c r="S1134" i="1"/>
  <c r="T1133" i="1"/>
  <c r="S1133" i="1"/>
  <c r="T1132" i="1"/>
  <c r="S1132" i="1"/>
  <c r="T1131" i="1"/>
  <c r="S1131" i="1"/>
  <c r="T1130" i="1"/>
  <c r="S1130" i="1"/>
  <c r="T1129" i="1"/>
  <c r="S1129" i="1"/>
  <c r="T1128" i="1"/>
  <c r="S1128" i="1"/>
  <c r="T1127" i="1"/>
  <c r="S1127" i="1"/>
  <c r="T1126" i="1"/>
  <c r="S1126" i="1"/>
  <c r="T1125" i="1"/>
  <c r="S1125" i="1"/>
  <c r="T1124" i="1"/>
  <c r="S1124" i="1"/>
  <c r="T1123" i="1"/>
  <c r="S1123" i="1"/>
  <c r="T1122" i="1"/>
  <c r="S1122" i="1"/>
  <c r="T1121" i="1"/>
  <c r="S1121" i="1"/>
  <c r="T1120" i="1"/>
  <c r="S1120" i="1"/>
  <c r="T1119" i="1"/>
  <c r="S1119" i="1"/>
  <c r="T1118" i="1"/>
  <c r="S1118" i="1"/>
  <c r="T1117" i="1"/>
  <c r="S1117" i="1"/>
  <c r="T1116" i="1"/>
  <c r="S1116" i="1"/>
  <c r="T1115" i="1"/>
  <c r="S1115" i="1"/>
  <c r="T1114" i="1"/>
  <c r="S1114" i="1"/>
  <c r="T1113" i="1"/>
  <c r="S1113" i="1"/>
  <c r="T1112" i="1"/>
  <c r="S1112" i="1"/>
  <c r="T1111" i="1"/>
  <c r="S1111" i="1"/>
  <c r="T1110" i="1"/>
  <c r="S1110" i="1"/>
  <c r="T1109" i="1"/>
  <c r="S1109" i="1"/>
  <c r="T1108" i="1"/>
  <c r="S1108" i="1"/>
  <c r="T1107" i="1"/>
  <c r="S1107" i="1"/>
  <c r="T1106" i="1"/>
  <c r="S1106" i="1"/>
  <c r="T1105" i="1"/>
  <c r="S1105" i="1"/>
  <c r="T1104" i="1"/>
  <c r="S1104" i="1"/>
  <c r="T1103" i="1"/>
  <c r="S1103" i="1"/>
  <c r="T1102" i="1"/>
  <c r="S1102" i="1"/>
  <c r="T1101" i="1"/>
  <c r="S1101" i="1"/>
  <c r="T1100" i="1"/>
  <c r="S1100" i="1"/>
  <c r="T1099" i="1"/>
  <c r="S1099" i="1"/>
  <c r="T1098" i="1"/>
  <c r="S1098" i="1"/>
  <c r="T1097" i="1"/>
  <c r="S1097" i="1"/>
  <c r="T1096" i="1"/>
  <c r="S1096" i="1"/>
  <c r="T1095" i="1"/>
  <c r="S1095" i="1"/>
  <c r="T1094" i="1"/>
  <c r="S1094" i="1"/>
  <c r="T1093" i="1"/>
  <c r="S1093" i="1"/>
  <c r="T1092" i="1"/>
  <c r="S1092" i="1"/>
  <c r="T1091" i="1"/>
  <c r="S1091" i="1"/>
  <c r="T1090" i="1"/>
  <c r="S1090" i="1"/>
  <c r="T1089" i="1"/>
  <c r="S1089" i="1"/>
  <c r="T1088" i="1"/>
  <c r="S1088" i="1"/>
  <c r="T1087" i="1"/>
  <c r="S1087" i="1"/>
  <c r="T1086" i="1"/>
  <c r="S1086" i="1"/>
  <c r="T1085" i="1"/>
  <c r="S1085" i="1"/>
  <c r="T1084" i="1"/>
  <c r="S1084" i="1"/>
  <c r="T1083" i="1"/>
  <c r="S1083" i="1"/>
  <c r="T1082" i="1"/>
  <c r="S1082" i="1"/>
  <c r="T1081" i="1"/>
  <c r="S1081" i="1"/>
  <c r="T1080" i="1"/>
  <c r="S1080" i="1"/>
  <c r="T1079" i="1"/>
  <c r="S1079" i="1"/>
  <c r="T1078" i="1"/>
  <c r="S1078" i="1"/>
  <c r="T1077" i="1"/>
  <c r="S1077" i="1"/>
  <c r="T1076" i="1"/>
  <c r="S1076" i="1"/>
  <c r="T1075" i="1"/>
  <c r="S1075" i="1"/>
  <c r="T1074" i="1"/>
  <c r="S1074" i="1"/>
  <c r="T1073" i="1"/>
  <c r="S1073" i="1"/>
  <c r="T1072" i="1"/>
  <c r="S1072" i="1"/>
  <c r="T1071" i="1"/>
  <c r="S1071" i="1"/>
  <c r="T1070" i="1"/>
  <c r="S1070" i="1"/>
  <c r="T1069" i="1"/>
  <c r="S1069" i="1"/>
  <c r="T1068" i="1"/>
  <c r="S1068" i="1"/>
  <c r="T1067" i="1"/>
  <c r="S1067" i="1"/>
  <c r="T1066" i="1"/>
  <c r="S1066" i="1"/>
  <c r="T1065" i="1"/>
  <c r="S1065" i="1"/>
  <c r="T1064" i="1"/>
  <c r="S1064" i="1"/>
  <c r="T1063" i="1"/>
  <c r="S1063" i="1"/>
  <c r="T1062" i="1"/>
  <c r="S1062" i="1"/>
  <c r="T1061" i="1"/>
  <c r="S1061" i="1"/>
  <c r="T1060" i="1"/>
  <c r="S1060" i="1"/>
  <c r="T1059" i="1"/>
  <c r="S1059" i="1"/>
  <c r="T1058" i="1"/>
  <c r="S1058" i="1"/>
  <c r="T1057" i="1"/>
  <c r="S1057" i="1"/>
  <c r="T1056" i="1"/>
  <c r="S1056" i="1"/>
  <c r="T1055" i="1"/>
  <c r="S1055" i="1"/>
  <c r="T1054" i="1"/>
  <c r="S1054" i="1"/>
  <c r="T1053" i="1"/>
  <c r="S1053" i="1"/>
  <c r="T1052" i="1"/>
  <c r="S1052" i="1"/>
  <c r="T1051" i="1"/>
  <c r="S1051" i="1"/>
  <c r="T1050" i="1"/>
  <c r="S1050" i="1"/>
  <c r="T1049" i="1"/>
  <c r="S1049" i="1"/>
  <c r="T1048" i="1"/>
  <c r="S1048" i="1"/>
  <c r="T1047" i="1"/>
  <c r="S1047" i="1"/>
  <c r="T1046" i="1"/>
  <c r="S1046" i="1"/>
  <c r="T1045" i="1"/>
  <c r="S1045" i="1"/>
  <c r="T1044" i="1"/>
  <c r="S1044" i="1"/>
  <c r="T1043" i="1"/>
  <c r="S1043" i="1"/>
  <c r="T1042" i="1"/>
  <c r="S1042" i="1"/>
  <c r="T1041" i="1"/>
  <c r="S1041" i="1"/>
  <c r="T1040" i="1"/>
  <c r="S1040" i="1"/>
  <c r="T1039" i="1"/>
  <c r="S1039" i="1"/>
  <c r="T1038" i="1"/>
  <c r="S1038" i="1"/>
  <c r="T1037" i="1"/>
  <c r="S1037" i="1"/>
  <c r="T1036" i="1"/>
  <c r="S1036" i="1"/>
  <c r="T1035" i="1"/>
  <c r="S1035" i="1"/>
  <c r="T1034" i="1"/>
  <c r="S1034" i="1"/>
  <c r="T1033" i="1"/>
  <c r="S1033" i="1"/>
  <c r="T1032" i="1"/>
  <c r="S1032" i="1"/>
  <c r="T1031" i="1"/>
  <c r="S1031" i="1"/>
  <c r="T1030" i="1"/>
  <c r="S1030" i="1"/>
  <c r="T1029" i="1"/>
  <c r="S1029" i="1"/>
  <c r="T1028" i="1"/>
  <c r="S1028" i="1"/>
  <c r="T1027" i="1"/>
  <c r="S1027" i="1"/>
  <c r="T1026" i="1"/>
  <c r="S1026" i="1"/>
  <c r="T1025" i="1"/>
  <c r="S1025" i="1"/>
  <c r="T1024" i="1"/>
  <c r="S1024" i="1"/>
  <c r="T1023" i="1"/>
  <c r="S1023" i="1"/>
  <c r="T1022" i="1"/>
  <c r="S1022" i="1"/>
  <c r="T1021" i="1"/>
  <c r="S1021" i="1"/>
  <c r="T1020" i="1"/>
  <c r="S1020" i="1"/>
  <c r="T1019" i="1"/>
  <c r="S1019" i="1"/>
  <c r="T1018" i="1"/>
  <c r="S1018" i="1"/>
  <c r="T1017" i="1"/>
  <c r="S1017" i="1"/>
  <c r="T1016" i="1"/>
  <c r="S1016" i="1"/>
  <c r="T1015" i="1"/>
  <c r="S1015" i="1"/>
  <c r="T1014" i="1"/>
  <c r="S1014" i="1"/>
  <c r="T1013" i="1"/>
  <c r="S1013" i="1"/>
  <c r="T1012" i="1"/>
  <c r="S1012" i="1"/>
  <c r="T1011" i="1"/>
  <c r="S1011" i="1"/>
  <c r="T1010" i="1"/>
  <c r="S1010" i="1"/>
  <c r="T1009" i="1"/>
  <c r="S1009" i="1"/>
  <c r="T1008" i="1"/>
  <c r="S1008" i="1"/>
  <c r="T1007" i="1"/>
  <c r="S1007" i="1"/>
  <c r="T1006" i="1"/>
  <c r="S1006" i="1"/>
  <c r="T1005" i="1"/>
  <c r="S1005" i="1"/>
  <c r="T1004" i="1"/>
  <c r="S1004" i="1"/>
  <c r="T1003" i="1"/>
  <c r="S1003" i="1"/>
  <c r="T1002" i="1"/>
  <c r="S1002" i="1"/>
  <c r="T1001" i="1"/>
  <c r="S1001" i="1"/>
  <c r="T1000" i="1"/>
  <c r="S1000" i="1"/>
  <c r="T999" i="1"/>
  <c r="S999" i="1"/>
  <c r="T998" i="1"/>
  <c r="S998" i="1"/>
  <c r="T997" i="1"/>
  <c r="S997" i="1"/>
  <c r="T996" i="1"/>
  <c r="S996" i="1"/>
  <c r="T995" i="1"/>
  <c r="S995" i="1"/>
  <c r="T994" i="1"/>
  <c r="S994" i="1"/>
  <c r="T993" i="1"/>
  <c r="S993" i="1"/>
  <c r="T992" i="1"/>
  <c r="S992" i="1"/>
  <c r="T991" i="1"/>
  <c r="S991" i="1"/>
  <c r="T990" i="1"/>
  <c r="S990" i="1"/>
  <c r="T989" i="1"/>
  <c r="S989" i="1"/>
  <c r="T988" i="1"/>
  <c r="S988" i="1"/>
  <c r="T987" i="1"/>
  <c r="S987" i="1"/>
  <c r="T986" i="1"/>
  <c r="S986" i="1"/>
  <c r="T985" i="1"/>
  <c r="S985" i="1"/>
  <c r="T984" i="1"/>
  <c r="S984" i="1"/>
  <c r="T983" i="1"/>
  <c r="S983" i="1"/>
  <c r="T982" i="1"/>
  <c r="S982" i="1"/>
  <c r="T981" i="1"/>
  <c r="S981" i="1"/>
  <c r="T980" i="1"/>
  <c r="S980" i="1"/>
  <c r="T979" i="1"/>
  <c r="S979" i="1"/>
  <c r="T978" i="1"/>
  <c r="S978" i="1"/>
  <c r="T977" i="1"/>
  <c r="S977" i="1"/>
  <c r="T976" i="1"/>
  <c r="S976" i="1"/>
  <c r="T975" i="1"/>
  <c r="S975" i="1"/>
  <c r="T974" i="1"/>
  <c r="S974" i="1"/>
  <c r="T973" i="1"/>
  <c r="S973" i="1"/>
  <c r="T972" i="1"/>
  <c r="S972" i="1"/>
  <c r="T971" i="1"/>
  <c r="S971" i="1"/>
  <c r="T970" i="1"/>
  <c r="S970" i="1"/>
  <c r="T969" i="1"/>
  <c r="S969" i="1"/>
  <c r="T968" i="1"/>
  <c r="S968" i="1"/>
  <c r="T967" i="1"/>
  <c r="S967" i="1"/>
  <c r="T966" i="1"/>
  <c r="S966" i="1"/>
  <c r="T965" i="1"/>
  <c r="S965" i="1"/>
  <c r="T964" i="1"/>
  <c r="S964" i="1"/>
  <c r="T963" i="1"/>
  <c r="S963" i="1"/>
  <c r="T962" i="1"/>
  <c r="S962" i="1"/>
  <c r="T961" i="1"/>
  <c r="S961" i="1"/>
  <c r="T960" i="1"/>
  <c r="S960" i="1"/>
  <c r="T959" i="1"/>
  <c r="S959" i="1"/>
  <c r="T958" i="1"/>
  <c r="S958" i="1"/>
  <c r="T957" i="1"/>
  <c r="S957" i="1"/>
  <c r="T956" i="1"/>
  <c r="S956" i="1"/>
  <c r="T955" i="1"/>
  <c r="S955" i="1"/>
  <c r="T954" i="1"/>
  <c r="S954" i="1"/>
  <c r="T953" i="1"/>
  <c r="S953" i="1"/>
  <c r="T952" i="1"/>
  <c r="S952" i="1"/>
  <c r="T951" i="1"/>
  <c r="S951" i="1"/>
  <c r="T950" i="1"/>
  <c r="S950" i="1"/>
  <c r="T949" i="1"/>
  <c r="S949" i="1"/>
  <c r="T948" i="1"/>
  <c r="S948" i="1"/>
  <c r="T947" i="1"/>
  <c r="S947" i="1"/>
  <c r="T946" i="1"/>
  <c r="S946" i="1"/>
  <c r="T945" i="1"/>
  <c r="S945" i="1"/>
  <c r="T944" i="1"/>
  <c r="S944" i="1"/>
  <c r="T943" i="1"/>
  <c r="S943" i="1"/>
  <c r="T942" i="1"/>
  <c r="S942" i="1"/>
  <c r="T941" i="1"/>
  <c r="S941" i="1"/>
  <c r="T940" i="1"/>
  <c r="S940" i="1"/>
  <c r="T939" i="1"/>
  <c r="S939" i="1"/>
  <c r="T938" i="1"/>
  <c r="S938" i="1"/>
  <c r="T937" i="1"/>
  <c r="S937" i="1"/>
  <c r="T936" i="1"/>
  <c r="S936" i="1"/>
  <c r="T935" i="1"/>
  <c r="S935" i="1"/>
  <c r="T934" i="1"/>
  <c r="S934" i="1"/>
  <c r="T933" i="1"/>
  <c r="S933" i="1"/>
  <c r="T932" i="1"/>
  <c r="S932" i="1"/>
  <c r="T931" i="1"/>
  <c r="S931" i="1"/>
  <c r="T930" i="1"/>
  <c r="S930" i="1"/>
  <c r="T929" i="1"/>
  <c r="S929" i="1"/>
  <c r="T928" i="1"/>
  <c r="S928" i="1"/>
  <c r="T927" i="1"/>
  <c r="S927" i="1"/>
  <c r="T926" i="1"/>
  <c r="S926" i="1"/>
  <c r="T925" i="1"/>
  <c r="S925" i="1"/>
  <c r="T924" i="1"/>
  <c r="S924" i="1"/>
  <c r="T923" i="1"/>
  <c r="S923" i="1"/>
  <c r="T922" i="1"/>
  <c r="S922" i="1"/>
  <c r="T921" i="1"/>
  <c r="S921" i="1"/>
  <c r="T920" i="1"/>
  <c r="S920" i="1"/>
  <c r="T919" i="1"/>
  <c r="S919" i="1"/>
  <c r="T918" i="1"/>
  <c r="S918" i="1"/>
  <c r="T917" i="1"/>
  <c r="S917" i="1"/>
  <c r="T916" i="1"/>
  <c r="S916" i="1"/>
  <c r="T915" i="1"/>
  <c r="S915" i="1"/>
  <c r="T914" i="1"/>
  <c r="S914" i="1"/>
  <c r="T913" i="1"/>
  <c r="S913" i="1"/>
  <c r="T912" i="1"/>
  <c r="S912" i="1"/>
  <c r="T911" i="1"/>
  <c r="S911" i="1"/>
  <c r="T910" i="1"/>
  <c r="S910" i="1"/>
  <c r="T909" i="1"/>
  <c r="S909" i="1"/>
  <c r="T908" i="1"/>
  <c r="S908" i="1"/>
  <c r="T907" i="1"/>
  <c r="S907" i="1"/>
  <c r="T906" i="1"/>
  <c r="S906" i="1"/>
  <c r="T905" i="1"/>
  <c r="S905" i="1"/>
  <c r="T904" i="1"/>
  <c r="S904" i="1"/>
  <c r="T903" i="1"/>
  <c r="S903" i="1"/>
  <c r="T902" i="1"/>
  <c r="S902" i="1"/>
  <c r="T901" i="1"/>
  <c r="S901" i="1"/>
  <c r="T900" i="1"/>
  <c r="S900" i="1"/>
  <c r="T899" i="1"/>
  <c r="S899" i="1"/>
  <c r="T898" i="1"/>
  <c r="S898" i="1"/>
  <c r="T897" i="1"/>
  <c r="S897" i="1"/>
  <c r="T896" i="1"/>
  <c r="S896" i="1"/>
  <c r="T895" i="1"/>
  <c r="S895" i="1"/>
  <c r="T894" i="1"/>
  <c r="S894" i="1"/>
  <c r="T893" i="1"/>
  <c r="S893" i="1"/>
  <c r="T892" i="1"/>
  <c r="S892" i="1"/>
  <c r="T891" i="1"/>
  <c r="S891" i="1"/>
  <c r="T890" i="1"/>
  <c r="S890" i="1"/>
  <c r="T889" i="1"/>
  <c r="S889" i="1"/>
  <c r="T888" i="1"/>
  <c r="S888" i="1"/>
  <c r="T887" i="1"/>
  <c r="S887" i="1"/>
  <c r="T886" i="1"/>
  <c r="S886" i="1"/>
  <c r="T885" i="1"/>
  <c r="S885" i="1"/>
  <c r="T884" i="1"/>
  <c r="S884" i="1"/>
  <c r="T883" i="1"/>
  <c r="S883" i="1"/>
  <c r="T882" i="1"/>
  <c r="S882" i="1"/>
  <c r="T881" i="1"/>
  <c r="S881" i="1"/>
  <c r="T880" i="1"/>
  <c r="S880" i="1"/>
  <c r="T879" i="1"/>
  <c r="S879" i="1"/>
  <c r="T878" i="1"/>
  <c r="S878" i="1"/>
  <c r="T877" i="1"/>
  <c r="S877" i="1"/>
  <c r="T876" i="1"/>
  <c r="S876" i="1"/>
  <c r="T875" i="1"/>
  <c r="S875" i="1"/>
  <c r="T874" i="1"/>
  <c r="S874" i="1"/>
  <c r="T873" i="1"/>
  <c r="S873" i="1"/>
  <c r="T872" i="1"/>
  <c r="S872" i="1"/>
  <c r="T871" i="1"/>
  <c r="S871" i="1"/>
  <c r="T870" i="1"/>
  <c r="S870" i="1"/>
  <c r="T869" i="1"/>
  <c r="S869" i="1"/>
  <c r="T868" i="1"/>
  <c r="S868" i="1"/>
  <c r="T867" i="1"/>
  <c r="S867" i="1"/>
  <c r="T866" i="1"/>
  <c r="S866" i="1"/>
  <c r="T865" i="1"/>
  <c r="S865" i="1"/>
  <c r="T864" i="1"/>
  <c r="S864" i="1"/>
  <c r="T863" i="1"/>
  <c r="S863" i="1"/>
  <c r="T862" i="1"/>
  <c r="S862" i="1"/>
  <c r="T861" i="1"/>
  <c r="S861" i="1"/>
  <c r="T860" i="1"/>
  <c r="S860" i="1"/>
  <c r="T859" i="1"/>
  <c r="S859" i="1"/>
  <c r="T858" i="1"/>
  <c r="S858" i="1"/>
  <c r="T857" i="1"/>
  <c r="S857" i="1"/>
  <c r="T856" i="1"/>
  <c r="S856" i="1"/>
  <c r="T855" i="1"/>
  <c r="S855" i="1"/>
  <c r="T854" i="1"/>
  <c r="S854" i="1"/>
  <c r="T853" i="1"/>
  <c r="S853" i="1"/>
  <c r="T852" i="1"/>
  <c r="S852" i="1"/>
  <c r="T851" i="1"/>
  <c r="S851" i="1"/>
  <c r="T850" i="1"/>
  <c r="S850" i="1"/>
  <c r="T849" i="1"/>
  <c r="S849" i="1"/>
  <c r="T848" i="1"/>
  <c r="S848" i="1"/>
  <c r="T847" i="1"/>
  <c r="S847" i="1"/>
  <c r="T846" i="1"/>
  <c r="S846" i="1"/>
  <c r="T845" i="1"/>
  <c r="S845" i="1"/>
  <c r="T844" i="1"/>
  <c r="S844" i="1"/>
  <c r="T843" i="1"/>
  <c r="S843" i="1"/>
  <c r="T842" i="1"/>
  <c r="S842" i="1"/>
  <c r="T841" i="1"/>
  <c r="S841" i="1"/>
  <c r="T840" i="1"/>
  <c r="S840" i="1"/>
  <c r="T839" i="1"/>
  <c r="S839" i="1"/>
  <c r="T838" i="1"/>
  <c r="S838" i="1"/>
  <c r="T837" i="1"/>
  <c r="S837" i="1"/>
  <c r="T836" i="1"/>
  <c r="S836" i="1"/>
  <c r="T835" i="1"/>
  <c r="S835" i="1"/>
  <c r="T834" i="1"/>
  <c r="S834" i="1"/>
  <c r="T833" i="1"/>
  <c r="S833" i="1"/>
  <c r="T832" i="1"/>
  <c r="S832" i="1"/>
  <c r="T831" i="1"/>
  <c r="S831" i="1"/>
  <c r="T830" i="1"/>
  <c r="S830" i="1"/>
  <c r="T829" i="1"/>
  <c r="S829" i="1"/>
  <c r="T828" i="1"/>
  <c r="S828" i="1"/>
  <c r="T827" i="1"/>
  <c r="S827" i="1"/>
  <c r="T826" i="1"/>
  <c r="S826" i="1"/>
  <c r="T825" i="1"/>
  <c r="S825" i="1"/>
  <c r="T824" i="1"/>
  <c r="S824" i="1"/>
  <c r="T823" i="1"/>
  <c r="S823" i="1"/>
  <c r="T822" i="1"/>
  <c r="S822" i="1"/>
  <c r="T821" i="1"/>
  <c r="S821" i="1"/>
  <c r="T820" i="1"/>
  <c r="S820" i="1"/>
  <c r="T819" i="1"/>
  <c r="S819" i="1"/>
  <c r="T818" i="1"/>
  <c r="S818" i="1"/>
  <c r="T817" i="1"/>
  <c r="S817" i="1"/>
  <c r="T816" i="1"/>
  <c r="S816" i="1"/>
  <c r="T815" i="1"/>
  <c r="S815" i="1"/>
  <c r="T814" i="1"/>
  <c r="S814" i="1"/>
  <c r="T813" i="1"/>
  <c r="S813" i="1"/>
  <c r="T812" i="1"/>
  <c r="S812" i="1"/>
  <c r="T811" i="1"/>
  <c r="S811" i="1"/>
  <c r="T810" i="1"/>
  <c r="S810" i="1"/>
  <c r="T809" i="1"/>
  <c r="S809" i="1"/>
  <c r="T808" i="1"/>
  <c r="S808" i="1"/>
  <c r="T807" i="1"/>
  <c r="S807" i="1"/>
  <c r="T806" i="1"/>
  <c r="S806" i="1"/>
  <c r="T805" i="1"/>
  <c r="S805" i="1"/>
  <c r="T804" i="1"/>
  <c r="S804" i="1"/>
  <c r="T803" i="1"/>
  <c r="S803" i="1"/>
  <c r="T802" i="1"/>
  <c r="S802" i="1"/>
  <c r="T801" i="1"/>
  <c r="S801" i="1"/>
  <c r="T800" i="1"/>
  <c r="S800" i="1"/>
  <c r="T799" i="1"/>
  <c r="S799" i="1"/>
  <c r="T798" i="1"/>
  <c r="S798" i="1"/>
  <c r="T797" i="1"/>
  <c r="S797" i="1"/>
  <c r="T796" i="1"/>
  <c r="S796" i="1"/>
  <c r="T795" i="1"/>
  <c r="S795" i="1"/>
  <c r="T794" i="1"/>
  <c r="S794" i="1"/>
  <c r="T793" i="1"/>
  <c r="S793" i="1"/>
  <c r="T792" i="1"/>
  <c r="S792" i="1"/>
  <c r="T791" i="1"/>
  <c r="S791" i="1"/>
  <c r="T790" i="1"/>
  <c r="S790" i="1"/>
  <c r="T789" i="1"/>
  <c r="S789" i="1"/>
  <c r="T788" i="1"/>
  <c r="S788" i="1"/>
  <c r="T787" i="1"/>
  <c r="S787" i="1"/>
  <c r="T786" i="1"/>
  <c r="S786" i="1"/>
  <c r="T785" i="1"/>
  <c r="S785" i="1"/>
  <c r="T784" i="1"/>
  <c r="S784" i="1"/>
  <c r="T783" i="1"/>
  <c r="S783" i="1"/>
  <c r="T782" i="1"/>
  <c r="S782" i="1"/>
  <c r="T781" i="1"/>
  <c r="S781" i="1"/>
  <c r="T780" i="1"/>
  <c r="S780" i="1"/>
  <c r="T779" i="1"/>
  <c r="S779" i="1"/>
  <c r="T778" i="1"/>
  <c r="S778" i="1"/>
  <c r="T777" i="1"/>
  <c r="S777" i="1"/>
  <c r="T776" i="1"/>
  <c r="S776" i="1"/>
  <c r="T775" i="1"/>
  <c r="S775" i="1"/>
  <c r="T774" i="1"/>
  <c r="S774" i="1"/>
  <c r="T773" i="1"/>
  <c r="S773" i="1"/>
  <c r="T772" i="1"/>
  <c r="S772" i="1"/>
  <c r="T771" i="1"/>
  <c r="S771" i="1"/>
  <c r="T770" i="1"/>
  <c r="S770" i="1"/>
  <c r="T769" i="1"/>
  <c r="S769" i="1"/>
  <c r="T768" i="1"/>
  <c r="S768" i="1"/>
  <c r="T767" i="1"/>
  <c r="S767" i="1"/>
  <c r="T766" i="1"/>
  <c r="S766" i="1"/>
  <c r="T765" i="1"/>
  <c r="S765" i="1"/>
  <c r="T764" i="1"/>
  <c r="S764" i="1"/>
  <c r="T763" i="1"/>
  <c r="S763" i="1"/>
  <c r="T762" i="1"/>
  <c r="S762" i="1"/>
  <c r="T761" i="1"/>
  <c r="S761" i="1"/>
  <c r="T760" i="1"/>
  <c r="S760" i="1"/>
  <c r="T759" i="1"/>
  <c r="S759" i="1"/>
  <c r="T758" i="1"/>
  <c r="S758" i="1"/>
  <c r="T757" i="1"/>
  <c r="S757" i="1"/>
  <c r="T756" i="1"/>
  <c r="S756" i="1"/>
  <c r="T755" i="1"/>
  <c r="S755" i="1"/>
  <c r="T754" i="1"/>
  <c r="S754" i="1"/>
  <c r="T753" i="1"/>
  <c r="S753" i="1"/>
  <c r="T752" i="1"/>
  <c r="S752" i="1"/>
  <c r="T751" i="1"/>
  <c r="S751" i="1"/>
  <c r="T750" i="1"/>
  <c r="S750" i="1"/>
  <c r="T749" i="1"/>
  <c r="S749" i="1"/>
  <c r="T748" i="1"/>
  <c r="S748" i="1"/>
  <c r="T747" i="1"/>
  <c r="S747" i="1"/>
  <c r="T746" i="1"/>
  <c r="S746" i="1"/>
  <c r="T745" i="1"/>
  <c r="S745" i="1"/>
  <c r="T744" i="1"/>
  <c r="S744" i="1"/>
  <c r="T743" i="1"/>
  <c r="S743" i="1"/>
  <c r="T742" i="1"/>
  <c r="S742" i="1"/>
  <c r="T741" i="1"/>
  <c r="S741" i="1"/>
  <c r="T740" i="1"/>
  <c r="S740" i="1"/>
  <c r="T739" i="1"/>
  <c r="S739" i="1"/>
  <c r="T738" i="1"/>
  <c r="S738" i="1"/>
  <c r="T737" i="1"/>
  <c r="S737" i="1"/>
  <c r="T736" i="1"/>
  <c r="S736" i="1"/>
  <c r="T735" i="1"/>
  <c r="S735" i="1"/>
  <c r="T734" i="1"/>
  <c r="S734" i="1"/>
  <c r="T733" i="1"/>
  <c r="S733" i="1"/>
  <c r="T732" i="1"/>
  <c r="S732" i="1"/>
  <c r="T731" i="1"/>
  <c r="S731" i="1"/>
  <c r="T730" i="1"/>
  <c r="S730" i="1"/>
  <c r="T729" i="1"/>
  <c r="S729" i="1"/>
  <c r="T728" i="1"/>
  <c r="S728" i="1"/>
  <c r="T727" i="1"/>
  <c r="S727" i="1"/>
  <c r="T726" i="1"/>
  <c r="S726" i="1"/>
  <c r="T725" i="1"/>
  <c r="S725" i="1"/>
  <c r="T724" i="1"/>
  <c r="S724" i="1"/>
  <c r="T723" i="1"/>
  <c r="S723" i="1"/>
  <c r="T722" i="1"/>
  <c r="S722" i="1"/>
  <c r="T721" i="1"/>
  <c r="S721" i="1"/>
  <c r="T720" i="1"/>
  <c r="S720" i="1"/>
  <c r="T719" i="1"/>
  <c r="S719" i="1"/>
  <c r="T718" i="1"/>
  <c r="S718" i="1"/>
  <c r="T717" i="1"/>
  <c r="S717" i="1"/>
  <c r="T716" i="1"/>
  <c r="S716" i="1"/>
  <c r="T715" i="1"/>
  <c r="S715" i="1"/>
  <c r="T714" i="1"/>
  <c r="S714" i="1"/>
  <c r="T713" i="1"/>
  <c r="S713" i="1"/>
  <c r="T712" i="1"/>
  <c r="S712" i="1"/>
  <c r="T711" i="1"/>
  <c r="S711" i="1"/>
  <c r="T710" i="1"/>
  <c r="S710" i="1"/>
  <c r="T709" i="1"/>
  <c r="S709" i="1"/>
  <c r="T708" i="1"/>
  <c r="S708" i="1"/>
  <c r="T707" i="1"/>
  <c r="S707" i="1"/>
  <c r="T706" i="1"/>
  <c r="S706" i="1"/>
  <c r="T705" i="1"/>
  <c r="S705" i="1"/>
  <c r="T704" i="1"/>
  <c r="S704" i="1"/>
  <c r="T703" i="1"/>
  <c r="S703" i="1"/>
  <c r="T702" i="1"/>
  <c r="S702" i="1"/>
  <c r="T701" i="1"/>
  <c r="S701" i="1"/>
  <c r="T700" i="1"/>
  <c r="S700" i="1"/>
  <c r="T699" i="1"/>
  <c r="S699" i="1"/>
  <c r="T698" i="1"/>
  <c r="S698" i="1"/>
  <c r="T697" i="1"/>
  <c r="S697" i="1"/>
  <c r="T696" i="1"/>
  <c r="S696" i="1"/>
  <c r="T695" i="1"/>
  <c r="S695" i="1"/>
  <c r="T694" i="1"/>
  <c r="S694" i="1"/>
  <c r="T693" i="1"/>
  <c r="S693" i="1"/>
  <c r="T692" i="1"/>
  <c r="S692" i="1"/>
  <c r="T691" i="1"/>
  <c r="S691" i="1"/>
  <c r="T690" i="1"/>
  <c r="S690" i="1"/>
  <c r="T689" i="1"/>
  <c r="S689" i="1"/>
  <c r="T688" i="1"/>
  <c r="S688" i="1"/>
  <c r="T687" i="1"/>
  <c r="S687" i="1"/>
  <c r="T686" i="1"/>
  <c r="S686" i="1"/>
  <c r="T685" i="1"/>
  <c r="S685" i="1"/>
  <c r="T684" i="1"/>
  <c r="S684" i="1"/>
  <c r="T683" i="1"/>
  <c r="S683" i="1"/>
  <c r="T682" i="1"/>
  <c r="S682" i="1"/>
  <c r="T681" i="1"/>
  <c r="S681" i="1"/>
  <c r="T680" i="1"/>
  <c r="S680" i="1"/>
  <c r="T679" i="1"/>
  <c r="S679" i="1"/>
  <c r="T678" i="1"/>
  <c r="S678" i="1"/>
  <c r="T677" i="1"/>
  <c r="S677" i="1"/>
  <c r="T676" i="1"/>
  <c r="S676" i="1"/>
  <c r="T675" i="1"/>
  <c r="S675" i="1"/>
  <c r="T674" i="1"/>
  <c r="S674" i="1"/>
  <c r="T673" i="1"/>
  <c r="S673" i="1"/>
  <c r="T672" i="1"/>
  <c r="S672" i="1"/>
  <c r="T671" i="1"/>
  <c r="S671" i="1"/>
  <c r="T670" i="1"/>
  <c r="S670" i="1"/>
  <c r="T669" i="1"/>
  <c r="S669" i="1"/>
  <c r="T668" i="1"/>
  <c r="S668" i="1"/>
  <c r="T667" i="1"/>
  <c r="S667" i="1"/>
  <c r="T666" i="1"/>
  <c r="S666" i="1"/>
  <c r="T665" i="1"/>
  <c r="S665" i="1"/>
  <c r="T664" i="1"/>
  <c r="S664" i="1"/>
  <c r="T663" i="1"/>
  <c r="S663" i="1"/>
  <c r="T662" i="1"/>
  <c r="S662" i="1"/>
  <c r="T661" i="1"/>
  <c r="S661" i="1"/>
  <c r="T660" i="1"/>
  <c r="S660" i="1"/>
  <c r="T659" i="1"/>
  <c r="S659" i="1"/>
  <c r="T658" i="1"/>
  <c r="S658" i="1"/>
  <c r="T657" i="1"/>
  <c r="S657" i="1"/>
  <c r="T656" i="1"/>
  <c r="S656" i="1"/>
  <c r="T655" i="1"/>
  <c r="S655" i="1"/>
  <c r="T654" i="1"/>
  <c r="S654" i="1"/>
  <c r="T653" i="1"/>
  <c r="S653" i="1"/>
  <c r="T652" i="1"/>
  <c r="S652" i="1"/>
  <c r="T651" i="1"/>
  <c r="S651" i="1"/>
  <c r="T650" i="1"/>
  <c r="S650" i="1"/>
  <c r="T649" i="1"/>
  <c r="S649" i="1"/>
  <c r="T648" i="1"/>
  <c r="S648" i="1"/>
  <c r="T647" i="1"/>
  <c r="S647" i="1"/>
  <c r="T646" i="1"/>
  <c r="S646" i="1"/>
  <c r="T645" i="1"/>
  <c r="S645" i="1"/>
  <c r="T644" i="1"/>
  <c r="S644" i="1"/>
  <c r="T643" i="1"/>
  <c r="S643" i="1"/>
  <c r="T642" i="1"/>
  <c r="S642" i="1"/>
  <c r="T641" i="1"/>
  <c r="S641" i="1"/>
  <c r="T640" i="1"/>
  <c r="S640" i="1"/>
  <c r="T639" i="1"/>
  <c r="S639" i="1"/>
  <c r="T638" i="1"/>
  <c r="S638" i="1"/>
  <c r="T637" i="1"/>
  <c r="S637" i="1"/>
  <c r="T636" i="1"/>
  <c r="S636" i="1"/>
  <c r="T635" i="1"/>
  <c r="S635" i="1"/>
  <c r="T634" i="1"/>
  <c r="S634" i="1"/>
  <c r="T633" i="1"/>
  <c r="S633" i="1"/>
  <c r="T632" i="1"/>
  <c r="S632" i="1"/>
  <c r="T631" i="1"/>
  <c r="S631" i="1"/>
  <c r="T630" i="1"/>
  <c r="S630" i="1"/>
  <c r="T629" i="1"/>
  <c r="S629" i="1"/>
  <c r="T628" i="1"/>
  <c r="S628" i="1"/>
  <c r="T627" i="1"/>
  <c r="S627" i="1"/>
  <c r="T626" i="1"/>
  <c r="S626" i="1"/>
  <c r="T625" i="1"/>
  <c r="S625" i="1"/>
  <c r="T624" i="1"/>
  <c r="S624" i="1"/>
  <c r="T623" i="1"/>
  <c r="S623" i="1"/>
  <c r="T622" i="1"/>
  <c r="S622" i="1"/>
  <c r="T621" i="1"/>
  <c r="S621" i="1"/>
  <c r="T620" i="1"/>
  <c r="S620" i="1"/>
  <c r="T619" i="1"/>
  <c r="S619" i="1"/>
  <c r="T618" i="1"/>
  <c r="S618" i="1"/>
  <c r="T617" i="1"/>
  <c r="S617" i="1"/>
  <c r="T616" i="1"/>
  <c r="S616" i="1"/>
  <c r="T615" i="1"/>
  <c r="S615" i="1"/>
  <c r="T614" i="1"/>
  <c r="S614" i="1"/>
  <c r="T613" i="1"/>
  <c r="S613" i="1"/>
  <c r="T612" i="1"/>
  <c r="S612" i="1"/>
  <c r="T611" i="1"/>
  <c r="S611" i="1"/>
  <c r="T610" i="1"/>
  <c r="S610" i="1"/>
  <c r="T609" i="1"/>
  <c r="S609" i="1"/>
  <c r="T608" i="1"/>
  <c r="S608" i="1"/>
  <c r="T607" i="1"/>
  <c r="S607" i="1"/>
  <c r="T606" i="1"/>
  <c r="S606" i="1"/>
  <c r="T605" i="1"/>
  <c r="S605" i="1"/>
  <c r="T604" i="1"/>
  <c r="S604" i="1"/>
  <c r="T603" i="1"/>
  <c r="S603" i="1"/>
  <c r="T602" i="1"/>
  <c r="S602" i="1"/>
  <c r="T601" i="1"/>
  <c r="S601" i="1"/>
  <c r="T600" i="1"/>
  <c r="S600" i="1"/>
  <c r="T599" i="1"/>
  <c r="S599" i="1"/>
  <c r="T598" i="1"/>
  <c r="S598" i="1"/>
  <c r="T597" i="1"/>
  <c r="S597" i="1"/>
  <c r="T596" i="1"/>
  <c r="S596" i="1"/>
  <c r="T595" i="1"/>
  <c r="S595" i="1"/>
  <c r="T594" i="1"/>
  <c r="S594" i="1"/>
  <c r="T593" i="1"/>
  <c r="S593" i="1"/>
  <c r="T592" i="1"/>
  <c r="S592" i="1"/>
  <c r="T591" i="1"/>
  <c r="S591" i="1"/>
  <c r="T590" i="1"/>
  <c r="S590" i="1"/>
  <c r="T589" i="1"/>
  <c r="S589" i="1"/>
  <c r="T588" i="1"/>
  <c r="S588" i="1"/>
  <c r="T587" i="1"/>
  <c r="S587" i="1"/>
  <c r="T586" i="1"/>
  <c r="S586" i="1"/>
  <c r="T585" i="1"/>
  <c r="S585" i="1"/>
  <c r="T584" i="1"/>
  <c r="S584" i="1"/>
  <c r="T583" i="1"/>
  <c r="S583" i="1"/>
  <c r="T582" i="1"/>
  <c r="S582" i="1"/>
  <c r="T581" i="1"/>
  <c r="S581" i="1"/>
  <c r="T580" i="1"/>
  <c r="S580" i="1"/>
  <c r="T579" i="1"/>
  <c r="S579" i="1"/>
  <c r="T578" i="1"/>
  <c r="S578" i="1"/>
  <c r="T577" i="1"/>
  <c r="S577" i="1"/>
  <c r="T576" i="1"/>
  <c r="S576" i="1"/>
  <c r="T575" i="1"/>
  <c r="S575" i="1"/>
  <c r="T574" i="1"/>
  <c r="S574" i="1"/>
  <c r="T573" i="1"/>
  <c r="S573" i="1"/>
  <c r="T572" i="1"/>
  <c r="S572" i="1"/>
  <c r="T571" i="1"/>
  <c r="S571" i="1"/>
  <c r="T570" i="1"/>
  <c r="S570" i="1"/>
  <c r="T569" i="1"/>
  <c r="S569" i="1"/>
  <c r="T568" i="1"/>
  <c r="S568" i="1"/>
  <c r="T567" i="1"/>
  <c r="S567" i="1"/>
  <c r="T566" i="1"/>
  <c r="S566" i="1"/>
  <c r="T565" i="1"/>
  <c r="S565" i="1"/>
  <c r="T564" i="1"/>
  <c r="S564" i="1"/>
  <c r="T563" i="1"/>
  <c r="S563" i="1"/>
  <c r="T562" i="1"/>
  <c r="S562" i="1"/>
  <c r="T561" i="1"/>
  <c r="S561" i="1"/>
  <c r="T560" i="1"/>
  <c r="S560" i="1"/>
  <c r="T559" i="1"/>
  <c r="S559" i="1"/>
  <c r="T558" i="1"/>
  <c r="S558" i="1"/>
  <c r="T557" i="1"/>
  <c r="S557" i="1"/>
  <c r="T556" i="1"/>
  <c r="S556" i="1"/>
  <c r="T555" i="1"/>
  <c r="S555" i="1"/>
  <c r="T554" i="1"/>
  <c r="S554" i="1"/>
  <c r="T553" i="1"/>
  <c r="S553" i="1"/>
  <c r="T552" i="1"/>
  <c r="S552" i="1"/>
  <c r="T551" i="1"/>
  <c r="S551" i="1"/>
  <c r="T550" i="1"/>
  <c r="S550" i="1"/>
  <c r="T549" i="1"/>
  <c r="S549" i="1"/>
  <c r="T548" i="1"/>
  <c r="S548" i="1"/>
  <c r="T547" i="1"/>
  <c r="S547" i="1"/>
  <c r="T546" i="1"/>
  <c r="S546" i="1"/>
  <c r="T545" i="1"/>
  <c r="S545" i="1"/>
  <c r="T544" i="1"/>
  <c r="S544" i="1"/>
  <c r="T543" i="1"/>
  <c r="S543" i="1"/>
  <c r="T542" i="1"/>
  <c r="S542" i="1"/>
  <c r="T541" i="1"/>
  <c r="S541" i="1"/>
  <c r="T540" i="1"/>
  <c r="S540" i="1"/>
  <c r="T539" i="1"/>
  <c r="S539" i="1"/>
  <c r="T538" i="1"/>
  <c r="S538" i="1"/>
  <c r="T537" i="1"/>
  <c r="S537" i="1"/>
  <c r="T536" i="1"/>
  <c r="S536" i="1"/>
  <c r="T535" i="1"/>
  <c r="S535" i="1"/>
  <c r="T534" i="1"/>
  <c r="S534" i="1"/>
  <c r="T533" i="1"/>
  <c r="S533" i="1"/>
  <c r="T532" i="1"/>
  <c r="S532" i="1"/>
  <c r="T531" i="1"/>
  <c r="S531" i="1"/>
  <c r="T530" i="1"/>
  <c r="S530" i="1"/>
  <c r="T529" i="1"/>
  <c r="S529" i="1"/>
  <c r="T528" i="1"/>
  <c r="S528" i="1"/>
  <c r="T527" i="1"/>
  <c r="S527" i="1"/>
  <c r="T526" i="1"/>
  <c r="S526" i="1"/>
  <c r="T525" i="1"/>
  <c r="S525" i="1"/>
  <c r="T524" i="1"/>
  <c r="S524" i="1"/>
  <c r="T523" i="1"/>
  <c r="S523" i="1"/>
  <c r="T522" i="1"/>
  <c r="S522" i="1"/>
  <c r="T521" i="1"/>
  <c r="S521" i="1"/>
  <c r="T520" i="1"/>
  <c r="S520" i="1"/>
  <c r="T519" i="1"/>
  <c r="S519" i="1"/>
  <c r="T518" i="1"/>
  <c r="S518" i="1"/>
  <c r="T517" i="1"/>
  <c r="S517" i="1"/>
  <c r="T516" i="1"/>
  <c r="S516" i="1"/>
  <c r="T515" i="1"/>
  <c r="S515" i="1"/>
  <c r="T514" i="1"/>
  <c r="S514" i="1"/>
  <c r="T513" i="1"/>
  <c r="S513" i="1"/>
  <c r="T512" i="1"/>
  <c r="S512" i="1"/>
  <c r="T511" i="1"/>
  <c r="S511" i="1"/>
  <c r="T510" i="1"/>
  <c r="S510" i="1"/>
  <c r="T509" i="1"/>
  <c r="S509" i="1"/>
  <c r="T508" i="1"/>
  <c r="S508" i="1"/>
  <c r="T507" i="1"/>
  <c r="S507" i="1"/>
  <c r="T506" i="1"/>
  <c r="S506" i="1"/>
  <c r="T505" i="1"/>
  <c r="S505" i="1"/>
  <c r="T504" i="1"/>
  <c r="S504" i="1"/>
  <c r="T503" i="1"/>
  <c r="S503" i="1"/>
  <c r="T502" i="1"/>
  <c r="S502" i="1"/>
  <c r="T501" i="1"/>
  <c r="S501" i="1"/>
  <c r="T500" i="1"/>
  <c r="S500" i="1"/>
  <c r="T499" i="1"/>
  <c r="S499" i="1"/>
  <c r="T498" i="1"/>
  <c r="S498" i="1"/>
  <c r="T497" i="1"/>
  <c r="S497" i="1"/>
  <c r="T496" i="1"/>
  <c r="S496" i="1"/>
  <c r="T495" i="1"/>
  <c r="S495" i="1"/>
  <c r="T494" i="1"/>
  <c r="S494" i="1"/>
  <c r="T493" i="1"/>
  <c r="S493" i="1"/>
  <c r="T492" i="1"/>
  <c r="S492" i="1"/>
  <c r="T491" i="1"/>
  <c r="S491" i="1"/>
  <c r="T490" i="1"/>
  <c r="S490" i="1"/>
  <c r="T489" i="1"/>
  <c r="S489" i="1"/>
  <c r="T488" i="1"/>
  <c r="S488" i="1"/>
  <c r="T487" i="1"/>
  <c r="S487" i="1"/>
  <c r="T486" i="1"/>
  <c r="S486" i="1"/>
  <c r="T485" i="1"/>
  <c r="S485" i="1"/>
  <c r="T484" i="1"/>
  <c r="S484" i="1"/>
  <c r="T483" i="1"/>
  <c r="S483" i="1"/>
  <c r="T482" i="1"/>
  <c r="S482" i="1"/>
  <c r="T481" i="1"/>
  <c r="S481" i="1"/>
  <c r="T480" i="1"/>
  <c r="S480" i="1"/>
  <c r="T479" i="1"/>
  <c r="S479" i="1"/>
  <c r="T478" i="1"/>
  <c r="S478" i="1"/>
  <c r="T477" i="1"/>
  <c r="S477" i="1"/>
  <c r="T476" i="1"/>
  <c r="S476" i="1"/>
  <c r="T475" i="1"/>
  <c r="S475" i="1"/>
  <c r="T474" i="1"/>
  <c r="S474" i="1"/>
  <c r="T473" i="1"/>
  <c r="S473" i="1"/>
  <c r="T472" i="1"/>
  <c r="S472" i="1"/>
  <c r="T471" i="1"/>
  <c r="S471" i="1"/>
  <c r="T470" i="1"/>
  <c r="S470" i="1"/>
  <c r="T469" i="1"/>
  <c r="S469" i="1"/>
  <c r="T468" i="1"/>
  <c r="S468" i="1"/>
  <c r="T467" i="1"/>
  <c r="S467" i="1"/>
  <c r="T466" i="1"/>
  <c r="S466" i="1"/>
  <c r="T465" i="1"/>
  <c r="S465" i="1"/>
  <c r="T464" i="1"/>
  <c r="S464" i="1"/>
  <c r="T463" i="1"/>
  <c r="S463" i="1"/>
  <c r="T462" i="1"/>
  <c r="S462" i="1"/>
  <c r="T461" i="1"/>
  <c r="S461" i="1"/>
  <c r="T460" i="1"/>
  <c r="S460" i="1"/>
  <c r="T459" i="1"/>
  <c r="S459" i="1"/>
  <c r="T458" i="1"/>
  <c r="S458" i="1"/>
  <c r="T457" i="1"/>
  <c r="S457" i="1"/>
  <c r="T456" i="1"/>
  <c r="S456" i="1"/>
  <c r="T455" i="1"/>
  <c r="S455" i="1"/>
  <c r="T454" i="1"/>
  <c r="S454" i="1"/>
  <c r="T453" i="1"/>
  <c r="S453" i="1"/>
  <c r="T452" i="1"/>
  <c r="S452" i="1"/>
  <c r="T451" i="1"/>
  <c r="S451" i="1"/>
  <c r="T450" i="1"/>
  <c r="S450" i="1"/>
  <c r="T449" i="1"/>
  <c r="S449" i="1"/>
  <c r="T448" i="1"/>
  <c r="S448" i="1"/>
  <c r="T447" i="1"/>
  <c r="S447" i="1"/>
  <c r="T446" i="1"/>
  <c r="S446" i="1"/>
  <c r="T445" i="1"/>
  <c r="S445" i="1"/>
  <c r="T444" i="1"/>
  <c r="S444" i="1"/>
  <c r="T443" i="1"/>
  <c r="S443" i="1"/>
  <c r="T442" i="1"/>
  <c r="S442" i="1"/>
  <c r="T441" i="1"/>
  <c r="S441" i="1"/>
  <c r="T440" i="1"/>
  <c r="S440" i="1"/>
  <c r="T439" i="1"/>
  <c r="S439" i="1"/>
  <c r="T438" i="1"/>
  <c r="S438" i="1"/>
  <c r="T437" i="1"/>
  <c r="S437" i="1"/>
  <c r="T436" i="1"/>
  <c r="S436" i="1"/>
  <c r="T435" i="1"/>
  <c r="S435" i="1"/>
  <c r="T434" i="1"/>
  <c r="S434" i="1"/>
  <c r="T433" i="1"/>
  <c r="S433" i="1"/>
  <c r="T432" i="1"/>
  <c r="S432" i="1"/>
  <c r="T431" i="1"/>
  <c r="S431" i="1"/>
  <c r="T430" i="1"/>
  <c r="S430" i="1"/>
  <c r="T429" i="1"/>
  <c r="S429" i="1"/>
  <c r="T428" i="1"/>
  <c r="S428" i="1"/>
  <c r="T427" i="1"/>
  <c r="S427" i="1"/>
  <c r="T426" i="1"/>
  <c r="S426" i="1"/>
  <c r="T425" i="1"/>
  <c r="S425" i="1"/>
  <c r="T424" i="1"/>
  <c r="S424" i="1"/>
  <c r="T423" i="1"/>
  <c r="S423" i="1"/>
  <c r="T422" i="1"/>
  <c r="S422" i="1"/>
  <c r="T421" i="1"/>
  <c r="S421" i="1"/>
  <c r="T420" i="1"/>
  <c r="S420" i="1"/>
  <c r="T419" i="1"/>
  <c r="S419" i="1"/>
  <c r="T418" i="1"/>
  <c r="S418" i="1"/>
  <c r="T417" i="1"/>
  <c r="S417" i="1"/>
  <c r="T416" i="1"/>
  <c r="S416" i="1"/>
  <c r="T415" i="1"/>
  <c r="S415" i="1"/>
  <c r="T414" i="1"/>
  <c r="S414" i="1"/>
  <c r="T413" i="1"/>
  <c r="S413" i="1"/>
  <c r="T412" i="1"/>
  <c r="S412" i="1"/>
  <c r="T411" i="1"/>
  <c r="S411" i="1"/>
  <c r="T410" i="1"/>
  <c r="S410" i="1"/>
  <c r="T409" i="1"/>
  <c r="S409" i="1"/>
  <c r="T408" i="1"/>
  <c r="S408" i="1"/>
  <c r="T407" i="1"/>
  <c r="S407" i="1"/>
  <c r="T406" i="1"/>
  <c r="S406" i="1"/>
  <c r="T405" i="1"/>
  <c r="S405" i="1"/>
  <c r="T404" i="1"/>
  <c r="S404" i="1"/>
  <c r="T403" i="1"/>
  <c r="S403" i="1"/>
  <c r="T402" i="1"/>
  <c r="S402" i="1"/>
  <c r="T401" i="1"/>
  <c r="S401" i="1"/>
  <c r="T400" i="1"/>
  <c r="S400" i="1"/>
  <c r="T399" i="1"/>
  <c r="S399" i="1"/>
  <c r="T398" i="1"/>
  <c r="S398" i="1"/>
  <c r="T397" i="1"/>
  <c r="S397" i="1"/>
  <c r="T396" i="1"/>
  <c r="S396" i="1"/>
  <c r="T395" i="1"/>
  <c r="S395" i="1"/>
  <c r="T394" i="1"/>
  <c r="S394" i="1"/>
  <c r="T393" i="1"/>
  <c r="S393" i="1"/>
  <c r="T392" i="1"/>
  <c r="S392" i="1"/>
  <c r="T391" i="1"/>
  <c r="S391" i="1"/>
  <c r="T390" i="1"/>
  <c r="S390" i="1"/>
  <c r="T389" i="1"/>
  <c r="S389" i="1"/>
  <c r="T388" i="1"/>
  <c r="S388" i="1"/>
  <c r="T387" i="1"/>
  <c r="S387" i="1"/>
  <c r="T386" i="1"/>
  <c r="S386" i="1"/>
  <c r="T385" i="1"/>
  <c r="S385" i="1"/>
  <c r="T384" i="1"/>
  <c r="S384" i="1"/>
  <c r="T383" i="1"/>
  <c r="S383" i="1"/>
  <c r="T382" i="1"/>
  <c r="S382" i="1"/>
  <c r="T381" i="1"/>
  <c r="S381" i="1"/>
  <c r="T380" i="1"/>
  <c r="S380" i="1"/>
  <c r="T379" i="1"/>
  <c r="S379" i="1"/>
  <c r="T378" i="1"/>
  <c r="S378" i="1"/>
  <c r="T377" i="1"/>
  <c r="S377" i="1"/>
  <c r="T376" i="1"/>
  <c r="S376" i="1"/>
  <c r="T375" i="1"/>
  <c r="S375" i="1"/>
  <c r="T374" i="1"/>
  <c r="S374" i="1"/>
  <c r="T373" i="1"/>
  <c r="S373" i="1"/>
  <c r="T372" i="1"/>
  <c r="S372" i="1"/>
  <c r="T371" i="1"/>
  <c r="S371" i="1"/>
  <c r="T370" i="1"/>
  <c r="S370" i="1"/>
  <c r="T369" i="1"/>
  <c r="S369" i="1"/>
  <c r="T368" i="1"/>
  <c r="S368" i="1"/>
  <c r="T367" i="1"/>
  <c r="S367" i="1"/>
  <c r="T366" i="1"/>
  <c r="S366" i="1"/>
  <c r="T365" i="1"/>
  <c r="S365" i="1"/>
  <c r="T364" i="1"/>
  <c r="S364" i="1"/>
  <c r="T363" i="1"/>
  <c r="S363" i="1"/>
  <c r="T362" i="1"/>
  <c r="S362" i="1"/>
  <c r="T361" i="1"/>
  <c r="S361" i="1"/>
  <c r="T360" i="1"/>
  <c r="S360" i="1"/>
  <c r="T359" i="1"/>
  <c r="S359" i="1"/>
  <c r="T358" i="1"/>
  <c r="S358" i="1"/>
  <c r="T357" i="1"/>
  <c r="S357" i="1"/>
  <c r="T356" i="1"/>
  <c r="S356" i="1"/>
  <c r="T355" i="1"/>
  <c r="S355" i="1"/>
  <c r="T354" i="1"/>
  <c r="S354" i="1"/>
  <c r="T353" i="1"/>
  <c r="S353" i="1"/>
  <c r="T352" i="1"/>
  <c r="S352" i="1"/>
  <c r="T351" i="1"/>
  <c r="S351" i="1"/>
  <c r="T350" i="1"/>
  <c r="S350" i="1"/>
  <c r="T349" i="1"/>
  <c r="S349" i="1"/>
  <c r="T348" i="1"/>
  <c r="S348" i="1"/>
  <c r="T347" i="1"/>
  <c r="S347" i="1"/>
  <c r="T346" i="1"/>
  <c r="S346" i="1"/>
  <c r="T345" i="1"/>
  <c r="S345" i="1"/>
  <c r="T344" i="1"/>
  <c r="S344" i="1"/>
  <c r="T343" i="1"/>
  <c r="S343" i="1"/>
  <c r="T342" i="1"/>
  <c r="S342" i="1"/>
  <c r="T341" i="1"/>
  <c r="S341" i="1"/>
  <c r="T340" i="1"/>
  <c r="S340" i="1"/>
  <c r="T339" i="1"/>
  <c r="S339" i="1"/>
  <c r="T338" i="1"/>
  <c r="S338" i="1"/>
  <c r="T337" i="1"/>
  <c r="S337" i="1"/>
  <c r="T336" i="1"/>
  <c r="S336" i="1"/>
  <c r="T335" i="1"/>
  <c r="S335" i="1"/>
  <c r="T334" i="1"/>
  <c r="S334" i="1"/>
  <c r="T333" i="1"/>
  <c r="S333" i="1"/>
  <c r="T332" i="1"/>
  <c r="S332" i="1"/>
  <c r="T331" i="1"/>
  <c r="S331" i="1"/>
  <c r="T330" i="1"/>
  <c r="S330" i="1"/>
  <c r="T329" i="1"/>
  <c r="S329" i="1"/>
  <c r="T328" i="1"/>
  <c r="S328" i="1"/>
  <c r="T327" i="1"/>
  <c r="S327" i="1"/>
  <c r="T326" i="1"/>
  <c r="S326" i="1"/>
  <c r="T325" i="1"/>
  <c r="S325" i="1"/>
  <c r="T324" i="1"/>
  <c r="S324" i="1"/>
  <c r="T323" i="1"/>
  <c r="S323" i="1"/>
  <c r="T322" i="1"/>
  <c r="S322" i="1"/>
  <c r="T321" i="1"/>
  <c r="S321" i="1"/>
  <c r="T320" i="1"/>
  <c r="S320" i="1"/>
  <c r="T319" i="1"/>
  <c r="S319" i="1"/>
  <c r="T318" i="1"/>
  <c r="S318" i="1"/>
  <c r="T317" i="1"/>
  <c r="S317" i="1"/>
  <c r="T316" i="1"/>
  <c r="S316" i="1"/>
  <c r="T315" i="1"/>
  <c r="S315" i="1"/>
  <c r="T314" i="1"/>
  <c r="S314" i="1"/>
  <c r="T313" i="1"/>
  <c r="S313" i="1"/>
  <c r="T312" i="1"/>
  <c r="S312" i="1"/>
  <c r="T311" i="1"/>
  <c r="S311" i="1"/>
  <c r="T310" i="1"/>
  <c r="S310" i="1"/>
  <c r="T309" i="1"/>
  <c r="S309" i="1"/>
  <c r="T308" i="1"/>
  <c r="S308" i="1"/>
  <c r="T307" i="1"/>
  <c r="S307" i="1"/>
  <c r="T306" i="1"/>
  <c r="S306" i="1"/>
  <c r="T305" i="1"/>
  <c r="S305" i="1"/>
  <c r="T304" i="1"/>
  <c r="S304" i="1"/>
  <c r="T303" i="1"/>
  <c r="S303" i="1"/>
  <c r="T302" i="1"/>
  <c r="S302" i="1"/>
  <c r="T301" i="1"/>
  <c r="S301" i="1"/>
  <c r="T300" i="1"/>
  <c r="S300" i="1"/>
  <c r="T299" i="1"/>
  <c r="S299" i="1"/>
  <c r="T298" i="1"/>
  <c r="S298" i="1"/>
  <c r="T297" i="1"/>
  <c r="S297" i="1"/>
  <c r="T296" i="1"/>
  <c r="S296" i="1"/>
  <c r="T295" i="1"/>
  <c r="S295" i="1"/>
  <c r="T294" i="1"/>
  <c r="S294" i="1"/>
  <c r="T293" i="1"/>
  <c r="S293" i="1"/>
  <c r="T292" i="1"/>
  <c r="S292" i="1"/>
  <c r="T291" i="1"/>
  <c r="S291" i="1"/>
  <c r="T290" i="1"/>
  <c r="S290" i="1"/>
  <c r="T289" i="1"/>
  <c r="S289" i="1"/>
  <c r="T288" i="1"/>
  <c r="S288" i="1"/>
  <c r="T287" i="1"/>
  <c r="S287" i="1"/>
  <c r="T286" i="1"/>
  <c r="S286" i="1"/>
  <c r="T285" i="1"/>
  <c r="S285" i="1"/>
  <c r="T284" i="1"/>
  <c r="S284" i="1"/>
  <c r="T283" i="1"/>
  <c r="S283" i="1"/>
  <c r="T282" i="1"/>
  <c r="S282" i="1"/>
  <c r="T281" i="1"/>
  <c r="S281" i="1"/>
  <c r="T280" i="1"/>
  <c r="S280" i="1"/>
  <c r="T279" i="1"/>
  <c r="S279" i="1"/>
  <c r="T278" i="1"/>
  <c r="S278" i="1"/>
  <c r="T277" i="1"/>
  <c r="S277" i="1"/>
  <c r="T276" i="1"/>
  <c r="S276" i="1"/>
  <c r="T275" i="1"/>
  <c r="S275" i="1"/>
  <c r="T274" i="1"/>
  <c r="S274" i="1"/>
  <c r="T273" i="1"/>
  <c r="S273" i="1"/>
  <c r="T272" i="1"/>
  <c r="S272" i="1"/>
  <c r="T271" i="1"/>
  <c r="S271" i="1"/>
  <c r="T270" i="1"/>
  <c r="S270" i="1"/>
  <c r="T269" i="1"/>
  <c r="S269" i="1"/>
  <c r="T268" i="1"/>
  <c r="S268" i="1"/>
  <c r="T267" i="1"/>
  <c r="S267" i="1"/>
  <c r="T266" i="1"/>
  <c r="S266" i="1"/>
  <c r="T265" i="1"/>
  <c r="S265" i="1"/>
  <c r="T264" i="1"/>
  <c r="S264" i="1"/>
  <c r="T263" i="1"/>
  <c r="S263" i="1"/>
  <c r="T262" i="1"/>
  <c r="S262" i="1"/>
  <c r="T261" i="1"/>
  <c r="S261" i="1"/>
  <c r="T260" i="1"/>
  <c r="S260" i="1"/>
  <c r="T259" i="1"/>
  <c r="S259" i="1"/>
  <c r="T258" i="1"/>
  <c r="S258" i="1"/>
  <c r="T257" i="1"/>
  <c r="S257" i="1"/>
  <c r="T256" i="1"/>
  <c r="S256" i="1"/>
  <c r="T255" i="1"/>
  <c r="S255" i="1"/>
  <c r="T254" i="1"/>
  <c r="S254" i="1"/>
  <c r="T253" i="1"/>
  <c r="S253" i="1"/>
  <c r="T252" i="1"/>
  <c r="S252" i="1"/>
  <c r="T251" i="1"/>
  <c r="S251" i="1"/>
  <c r="T250" i="1"/>
  <c r="S250" i="1"/>
  <c r="T249" i="1"/>
  <c r="S249" i="1"/>
  <c r="T248" i="1"/>
  <c r="S248" i="1"/>
  <c r="T247" i="1"/>
  <c r="S247" i="1"/>
  <c r="T246" i="1"/>
  <c r="S246" i="1"/>
  <c r="T245" i="1"/>
  <c r="S245" i="1"/>
  <c r="T244" i="1"/>
  <c r="S244" i="1"/>
  <c r="T243" i="1"/>
  <c r="S243" i="1"/>
  <c r="T242" i="1"/>
  <c r="S242" i="1"/>
  <c r="T241" i="1"/>
  <c r="S241" i="1"/>
  <c r="T240" i="1"/>
  <c r="S240" i="1"/>
  <c r="T239" i="1"/>
  <c r="S239" i="1"/>
  <c r="T238" i="1"/>
  <c r="S238" i="1"/>
  <c r="T237" i="1"/>
  <c r="S237" i="1"/>
  <c r="T236" i="1"/>
  <c r="S236" i="1"/>
  <c r="T235" i="1"/>
  <c r="S235" i="1"/>
  <c r="T234" i="1"/>
  <c r="S234" i="1"/>
  <c r="T233" i="1"/>
  <c r="S233" i="1"/>
  <c r="T232" i="1"/>
  <c r="S232" i="1"/>
  <c r="T231" i="1"/>
  <c r="S231" i="1"/>
  <c r="T230" i="1"/>
  <c r="S230" i="1"/>
  <c r="T229" i="1"/>
  <c r="S229" i="1"/>
  <c r="T228" i="1"/>
  <c r="S228" i="1"/>
  <c r="T227" i="1"/>
  <c r="S227" i="1"/>
  <c r="T226" i="1"/>
  <c r="S226" i="1"/>
  <c r="T225" i="1"/>
  <c r="S225" i="1"/>
  <c r="T224" i="1"/>
  <c r="S224" i="1"/>
  <c r="T223" i="1"/>
  <c r="S223" i="1"/>
  <c r="T222" i="1"/>
  <c r="S222" i="1"/>
  <c r="T221" i="1"/>
  <c r="S221" i="1"/>
  <c r="T220" i="1"/>
  <c r="S220" i="1"/>
  <c r="T219" i="1"/>
  <c r="S219" i="1"/>
  <c r="T218" i="1"/>
  <c r="S218" i="1"/>
  <c r="T217" i="1"/>
  <c r="S217" i="1"/>
  <c r="T216" i="1"/>
  <c r="S216" i="1"/>
  <c r="T215" i="1"/>
  <c r="S215" i="1"/>
  <c r="T214" i="1"/>
  <c r="S214" i="1"/>
  <c r="T213" i="1"/>
  <c r="S213" i="1"/>
  <c r="T212" i="1"/>
  <c r="S212" i="1"/>
  <c r="T211" i="1"/>
  <c r="S211" i="1"/>
  <c r="T210" i="1"/>
  <c r="S210" i="1"/>
  <c r="T209" i="1"/>
  <c r="S209" i="1"/>
  <c r="T208" i="1"/>
  <c r="S208" i="1"/>
  <c r="T207" i="1"/>
  <c r="S207" i="1"/>
  <c r="T206" i="1"/>
  <c r="S206" i="1"/>
  <c r="T205" i="1"/>
  <c r="S205" i="1"/>
  <c r="T204" i="1"/>
  <c r="S204" i="1"/>
  <c r="T203" i="1"/>
  <c r="S203" i="1"/>
  <c r="T202" i="1"/>
  <c r="S202" i="1"/>
  <c r="T201" i="1"/>
  <c r="S201" i="1"/>
  <c r="T200" i="1"/>
  <c r="S200" i="1"/>
  <c r="T199" i="1"/>
  <c r="S199" i="1"/>
  <c r="T198" i="1"/>
  <c r="S198" i="1"/>
  <c r="T197" i="1"/>
  <c r="S197" i="1"/>
  <c r="T196" i="1"/>
  <c r="S196" i="1"/>
  <c r="T195" i="1"/>
  <c r="S195" i="1"/>
  <c r="T194" i="1"/>
  <c r="S194" i="1"/>
  <c r="T193" i="1"/>
  <c r="S193" i="1"/>
  <c r="T192" i="1"/>
  <c r="S192" i="1"/>
  <c r="T191" i="1"/>
  <c r="S191" i="1"/>
  <c r="T190" i="1"/>
  <c r="S190" i="1"/>
  <c r="T189" i="1"/>
  <c r="S189" i="1"/>
  <c r="T188" i="1"/>
  <c r="S188" i="1"/>
  <c r="T187" i="1"/>
  <c r="S187" i="1"/>
  <c r="T186" i="1"/>
  <c r="S186" i="1"/>
  <c r="T185" i="1"/>
  <c r="S185" i="1"/>
  <c r="T184" i="1"/>
  <c r="S184" i="1"/>
  <c r="T183" i="1"/>
  <c r="S183" i="1"/>
  <c r="T182" i="1"/>
  <c r="S182" i="1"/>
  <c r="T181" i="1"/>
  <c r="S181" i="1"/>
  <c r="T180" i="1"/>
  <c r="S180" i="1"/>
  <c r="T179" i="1"/>
  <c r="S179" i="1"/>
  <c r="T178" i="1"/>
  <c r="S178" i="1"/>
  <c r="T177" i="1"/>
  <c r="S177" i="1"/>
  <c r="T176" i="1"/>
  <c r="S176" i="1"/>
  <c r="T175" i="1"/>
  <c r="S175" i="1"/>
  <c r="T174" i="1"/>
  <c r="S174" i="1"/>
  <c r="T173" i="1"/>
  <c r="S173" i="1"/>
  <c r="T172" i="1"/>
  <c r="S172" i="1"/>
  <c r="T171" i="1"/>
  <c r="S171" i="1"/>
  <c r="T170" i="1"/>
  <c r="S170" i="1"/>
  <c r="T169" i="1"/>
  <c r="S169" i="1"/>
  <c r="T168" i="1"/>
  <c r="S168" i="1"/>
  <c r="T167" i="1"/>
  <c r="S167" i="1"/>
  <c r="T166" i="1"/>
  <c r="S166" i="1"/>
  <c r="T165" i="1"/>
  <c r="S165" i="1"/>
  <c r="T164" i="1"/>
  <c r="S164" i="1"/>
  <c r="T163" i="1"/>
  <c r="S163" i="1"/>
  <c r="T162" i="1"/>
  <c r="S162" i="1"/>
  <c r="T161" i="1"/>
  <c r="S161" i="1"/>
  <c r="T160" i="1"/>
  <c r="S160" i="1"/>
  <c r="T159" i="1"/>
  <c r="S159" i="1"/>
  <c r="T158" i="1"/>
  <c r="S158" i="1"/>
  <c r="T157" i="1"/>
  <c r="S157" i="1"/>
  <c r="T156" i="1"/>
  <c r="S156" i="1"/>
  <c r="T155" i="1"/>
  <c r="S155" i="1"/>
  <c r="T154" i="1"/>
  <c r="S154" i="1"/>
  <c r="T153" i="1"/>
  <c r="S153" i="1"/>
  <c r="T152" i="1"/>
  <c r="S152" i="1"/>
  <c r="T151" i="1"/>
  <c r="S151" i="1"/>
  <c r="T150" i="1"/>
  <c r="S150" i="1"/>
  <c r="T149" i="1"/>
  <c r="S149" i="1"/>
  <c r="T148" i="1"/>
  <c r="S148" i="1"/>
  <c r="T147" i="1"/>
  <c r="S147" i="1"/>
  <c r="T146" i="1"/>
  <c r="S146" i="1"/>
  <c r="T145" i="1"/>
  <c r="S145" i="1"/>
  <c r="T144" i="1"/>
  <c r="S144" i="1"/>
  <c r="T143" i="1"/>
  <c r="S143" i="1"/>
  <c r="T142" i="1"/>
  <c r="S142" i="1"/>
  <c r="T141" i="1"/>
  <c r="S141" i="1"/>
  <c r="T140" i="1"/>
  <c r="S140" i="1"/>
  <c r="T139" i="1"/>
  <c r="S139" i="1"/>
  <c r="T138" i="1"/>
  <c r="S138" i="1"/>
  <c r="T137" i="1"/>
  <c r="S137" i="1"/>
  <c r="T136" i="1"/>
  <c r="S136" i="1"/>
  <c r="T135" i="1"/>
  <c r="S135" i="1"/>
  <c r="T134" i="1"/>
  <c r="S134" i="1"/>
  <c r="T133" i="1"/>
  <c r="S133" i="1"/>
  <c r="T132" i="1"/>
  <c r="S132" i="1"/>
  <c r="T131" i="1"/>
  <c r="S131" i="1"/>
  <c r="T130" i="1"/>
  <c r="S130" i="1"/>
  <c r="T129" i="1"/>
  <c r="S129" i="1"/>
  <c r="T128" i="1"/>
  <c r="S128" i="1"/>
  <c r="T127" i="1"/>
  <c r="S127" i="1"/>
  <c r="T126" i="1"/>
  <c r="S126" i="1"/>
  <c r="T125" i="1"/>
  <c r="S125" i="1"/>
  <c r="T124" i="1"/>
  <c r="S124" i="1"/>
  <c r="T123" i="1"/>
  <c r="S123" i="1"/>
  <c r="T122" i="1"/>
  <c r="S122" i="1"/>
  <c r="T121" i="1"/>
  <c r="S121" i="1"/>
  <c r="T120" i="1"/>
  <c r="S120" i="1"/>
  <c r="T119" i="1"/>
  <c r="S119" i="1"/>
  <c r="T118" i="1"/>
  <c r="S118" i="1"/>
  <c r="T117" i="1"/>
  <c r="S117" i="1"/>
  <c r="T116" i="1"/>
  <c r="S116" i="1"/>
  <c r="T115" i="1"/>
  <c r="S115" i="1"/>
  <c r="T114" i="1"/>
  <c r="S114" i="1"/>
  <c r="T113" i="1"/>
  <c r="S113" i="1"/>
  <c r="T112" i="1"/>
  <c r="S112" i="1"/>
  <c r="T111" i="1"/>
  <c r="S111" i="1"/>
  <c r="T110" i="1"/>
  <c r="S110" i="1"/>
  <c r="T109" i="1"/>
  <c r="S109" i="1"/>
  <c r="T108" i="1"/>
  <c r="S108" i="1"/>
  <c r="T107" i="1"/>
  <c r="S107" i="1"/>
  <c r="T106" i="1"/>
  <c r="S106" i="1"/>
  <c r="T105" i="1"/>
  <c r="S105" i="1"/>
  <c r="T104" i="1"/>
  <c r="S104" i="1"/>
  <c r="T103" i="1"/>
  <c r="S103" i="1"/>
  <c r="T102" i="1"/>
  <c r="S102" i="1"/>
  <c r="T101" i="1"/>
  <c r="S101" i="1"/>
  <c r="T100" i="1"/>
  <c r="S100" i="1"/>
  <c r="T99" i="1"/>
  <c r="S99" i="1"/>
  <c r="T98" i="1"/>
  <c r="S98" i="1"/>
  <c r="T97" i="1"/>
  <c r="S97" i="1"/>
  <c r="T96" i="1"/>
  <c r="S96" i="1"/>
  <c r="T95" i="1"/>
  <c r="S95" i="1"/>
  <c r="T94" i="1"/>
  <c r="S94" i="1"/>
  <c r="T93" i="1"/>
  <c r="S93" i="1"/>
  <c r="T92" i="1"/>
  <c r="S92" i="1"/>
  <c r="T91" i="1"/>
  <c r="S91" i="1"/>
  <c r="T90" i="1"/>
  <c r="S90" i="1"/>
  <c r="T89" i="1"/>
  <c r="S89" i="1"/>
  <c r="T88" i="1"/>
  <c r="S88" i="1"/>
  <c r="T87" i="1"/>
  <c r="S87" i="1"/>
  <c r="T86" i="1"/>
  <c r="S86" i="1"/>
  <c r="T85" i="1"/>
  <c r="S85" i="1"/>
  <c r="T84" i="1"/>
  <c r="S84" i="1"/>
  <c r="T83" i="1"/>
  <c r="S83" i="1"/>
  <c r="T82" i="1"/>
  <c r="S82" i="1"/>
  <c r="T81" i="1"/>
  <c r="S81" i="1"/>
  <c r="T80" i="1"/>
  <c r="S80" i="1"/>
  <c r="T79" i="1"/>
  <c r="S79" i="1"/>
  <c r="T78" i="1"/>
  <c r="S78" i="1"/>
  <c r="T77" i="1"/>
  <c r="S77" i="1"/>
  <c r="T76" i="1"/>
  <c r="S76" i="1"/>
  <c r="T75" i="1"/>
  <c r="S75" i="1"/>
  <c r="T74" i="1"/>
  <c r="S74" i="1"/>
  <c r="T73" i="1"/>
  <c r="S73" i="1"/>
  <c r="T72" i="1"/>
  <c r="S72" i="1"/>
  <c r="T71" i="1"/>
  <c r="S71" i="1"/>
  <c r="T70" i="1"/>
  <c r="S70" i="1"/>
  <c r="T69" i="1"/>
  <c r="S69" i="1"/>
  <c r="T68" i="1"/>
  <c r="S68" i="1"/>
  <c r="T67" i="1"/>
  <c r="S67" i="1"/>
  <c r="T66" i="1"/>
  <c r="S66" i="1"/>
  <c r="T65" i="1"/>
  <c r="S65" i="1"/>
  <c r="T64" i="1"/>
  <c r="S64" i="1"/>
  <c r="T63" i="1"/>
  <c r="S63" i="1"/>
  <c r="T62" i="1"/>
  <c r="S62" i="1"/>
  <c r="T61" i="1"/>
  <c r="S61" i="1"/>
  <c r="T60" i="1"/>
  <c r="S60" i="1"/>
  <c r="T59" i="1"/>
  <c r="S59" i="1"/>
  <c r="T58" i="1"/>
  <c r="S58" i="1"/>
  <c r="T57" i="1"/>
  <c r="S57" i="1"/>
  <c r="T56" i="1"/>
  <c r="S56" i="1"/>
  <c r="T55" i="1"/>
  <c r="S55" i="1"/>
  <c r="T54" i="1"/>
  <c r="S54" i="1"/>
  <c r="T53" i="1"/>
  <c r="S53" i="1"/>
  <c r="T52" i="1"/>
  <c r="S52" i="1"/>
  <c r="T51" i="1"/>
  <c r="S51" i="1"/>
  <c r="T50" i="1"/>
  <c r="S50" i="1"/>
  <c r="T49" i="1"/>
  <c r="S49" i="1"/>
  <c r="T48" i="1"/>
  <c r="S48" i="1"/>
  <c r="T47" i="1"/>
  <c r="S47" i="1"/>
  <c r="T46" i="1"/>
  <c r="S46" i="1"/>
  <c r="T45" i="1"/>
  <c r="S45" i="1"/>
  <c r="T44" i="1"/>
  <c r="S44" i="1"/>
  <c r="T43" i="1"/>
  <c r="S43" i="1"/>
  <c r="T42" i="1"/>
  <c r="S42" i="1"/>
  <c r="T41" i="1"/>
  <c r="S41" i="1"/>
  <c r="T40" i="1"/>
  <c r="S40" i="1"/>
  <c r="T39" i="1"/>
  <c r="S39" i="1"/>
  <c r="T38" i="1"/>
  <c r="S38" i="1"/>
  <c r="T37" i="1"/>
  <c r="S37" i="1"/>
  <c r="T36" i="1"/>
  <c r="S36" i="1"/>
  <c r="T35" i="1"/>
  <c r="S35" i="1"/>
  <c r="T34" i="1"/>
  <c r="S34" i="1"/>
  <c r="T33" i="1"/>
  <c r="S33" i="1"/>
  <c r="T32" i="1"/>
  <c r="S32" i="1"/>
  <c r="T31" i="1"/>
  <c r="S31" i="1"/>
  <c r="T30" i="1"/>
  <c r="S30" i="1"/>
  <c r="T29" i="1"/>
  <c r="S29" i="1"/>
  <c r="T28" i="1"/>
  <c r="S28" i="1"/>
  <c r="T27" i="1"/>
  <c r="S27" i="1"/>
  <c r="T26" i="1"/>
  <c r="S26" i="1"/>
  <c r="T25" i="1"/>
  <c r="S25" i="1"/>
  <c r="T24" i="1"/>
  <c r="S24" i="1"/>
  <c r="T23" i="1"/>
  <c r="S23" i="1"/>
  <c r="T22" i="1"/>
  <c r="S22" i="1"/>
  <c r="T21" i="1"/>
  <c r="S21" i="1"/>
  <c r="T20" i="1"/>
  <c r="S20" i="1"/>
  <c r="T19" i="1"/>
  <c r="S19" i="1"/>
  <c r="T18" i="1"/>
  <c r="S18" i="1"/>
  <c r="T17" i="1"/>
  <c r="S17" i="1"/>
  <c r="T16" i="1"/>
  <c r="S16" i="1"/>
  <c r="T15" i="1"/>
  <c r="S15" i="1"/>
  <c r="T14" i="1"/>
  <c r="S14" i="1"/>
  <c r="T13" i="1"/>
  <c r="S13" i="1"/>
  <c r="T12" i="1"/>
  <c r="S12" i="1"/>
  <c r="T11" i="1"/>
  <c r="S11" i="1"/>
  <c r="T10" i="1"/>
  <c r="S10" i="1"/>
  <c r="T9" i="1"/>
  <c r="S9" i="1"/>
  <c r="T8" i="1"/>
  <c r="S8" i="1"/>
  <c r="T7" i="1"/>
  <c r="S7" i="1"/>
  <c r="T6" i="1"/>
  <c r="S6" i="1"/>
  <c r="T5" i="1"/>
  <c r="S5" i="1"/>
  <c r="T4" i="1"/>
  <c r="S4" i="1"/>
  <c r="T3" i="1"/>
  <c r="S3" i="1"/>
  <c r="T2" i="1"/>
  <c r="S2" i="1"/>
  <c r="D7" i="2" a="1"/>
  <c r="D7" i="2" s="1"/>
  <c r="C7" i="2" a="1"/>
  <c r="C7" i="2" s="1"/>
  <c r="B5" i="2" a="1"/>
  <c r="B5" i="2" s="1"/>
  <c r="D6" i="2"/>
  <c r="C6" i="2"/>
  <c r="B4" i="2"/>
  <c r="R1687" i="1"/>
  <c r="R1686" i="1"/>
  <c r="R1685" i="1"/>
  <c r="R1684" i="1"/>
  <c r="R1683" i="1"/>
  <c r="R1682" i="1"/>
  <c r="R1681" i="1"/>
  <c r="R1680" i="1"/>
  <c r="R1679" i="1"/>
  <c r="R1678" i="1"/>
  <c r="R1677" i="1"/>
  <c r="R1676" i="1"/>
  <c r="R1675" i="1"/>
  <c r="R1674" i="1"/>
  <c r="R1673" i="1"/>
  <c r="R1672" i="1"/>
  <c r="R1671" i="1"/>
  <c r="R1670" i="1"/>
  <c r="R1669" i="1"/>
  <c r="R1668" i="1"/>
  <c r="R1667" i="1"/>
  <c r="R1666" i="1"/>
  <c r="R1665" i="1"/>
  <c r="R1664" i="1"/>
  <c r="R1663" i="1"/>
  <c r="R1662" i="1"/>
  <c r="R1661" i="1"/>
  <c r="R1660" i="1"/>
  <c r="R1659" i="1"/>
  <c r="R1658" i="1"/>
  <c r="R1657" i="1"/>
  <c r="R1656" i="1"/>
  <c r="R1655" i="1"/>
  <c r="R1654" i="1"/>
  <c r="R1653" i="1"/>
  <c r="R1652" i="1"/>
  <c r="R1651" i="1"/>
  <c r="R1650" i="1"/>
  <c r="R1649" i="1"/>
  <c r="R1648" i="1"/>
  <c r="R1647" i="1"/>
  <c r="R1646" i="1"/>
  <c r="R1645" i="1"/>
  <c r="R1644" i="1"/>
  <c r="R1643" i="1"/>
  <c r="R1642" i="1"/>
  <c r="R1641" i="1"/>
  <c r="R1640" i="1"/>
  <c r="R1639" i="1"/>
  <c r="R1638" i="1"/>
  <c r="R1637" i="1"/>
  <c r="R1636" i="1"/>
  <c r="R1635" i="1"/>
  <c r="R1634" i="1"/>
  <c r="R1633" i="1"/>
  <c r="R1632" i="1"/>
  <c r="R1631" i="1"/>
  <c r="R1630" i="1"/>
  <c r="R1629" i="1"/>
  <c r="R1628" i="1"/>
  <c r="R1627" i="1"/>
  <c r="R1626" i="1"/>
  <c r="R1625" i="1"/>
  <c r="R1624" i="1"/>
  <c r="R1623" i="1"/>
  <c r="R1622" i="1"/>
  <c r="R1621" i="1"/>
  <c r="R1620" i="1"/>
  <c r="R1619" i="1"/>
  <c r="R1618" i="1"/>
  <c r="R1617" i="1"/>
  <c r="R1616" i="1"/>
  <c r="R1615" i="1"/>
  <c r="R1614" i="1"/>
  <c r="R1613" i="1"/>
  <c r="R1612" i="1"/>
  <c r="R1611" i="1"/>
  <c r="R1610" i="1"/>
  <c r="R1609" i="1"/>
  <c r="R1608" i="1"/>
  <c r="R1607" i="1"/>
  <c r="R1606" i="1"/>
  <c r="R1605" i="1"/>
  <c r="R1604" i="1"/>
  <c r="R1603" i="1"/>
  <c r="R1602" i="1"/>
  <c r="R1601" i="1"/>
  <c r="R1600" i="1"/>
  <c r="R1599" i="1"/>
  <c r="R1598" i="1"/>
  <c r="R1597" i="1"/>
  <c r="R1596" i="1"/>
  <c r="R1595" i="1"/>
  <c r="R1594" i="1"/>
  <c r="R1593" i="1"/>
  <c r="R1592" i="1"/>
  <c r="R1591" i="1"/>
  <c r="R1590" i="1"/>
  <c r="R1589" i="1"/>
  <c r="R1588" i="1"/>
  <c r="R1587" i="1"/>
  <c r="R1586" i="1"/>
  <c r="R1585" i="1"/>
  <c r="R1584" i="1"/>
  <c r="R1583" i="1"/>
  <c r="R1582" i="1"/>
  <c r="R1581" i="1"/>
  <c r="R1580" i="1"/>
  <c r="R1579" i="1"/>
  <c r="R1578" i="1"/>
  <c r="R1577" i="1"/>
  <c r="R1576" i="1"/>
  <c r="R1575" i="1"/>
  <c r="R1574" i="1"/>
  <c r="R1573" i="1"/>
  <c r="R1572" i="1"/>
  <c r="R1571" i="1"/>
  <c r="R1570" i="1"/>
  <c r="R1569" i="1"/>
  <c r="R1568" i="1"/>
  <c r="R1567" i="1"/>
  <c r="R1566" i="1"/>
  <c r="R1565" i="1"/>
  <c r="R1564" i="1"/>
  <c r="R1563" i="1"/>
  <c r="R1562" i="1"/>
  <c r="R1561" i="1"/>
  <c r="R1560" i="1"/>
  <c r="R1559" i="1"/>
  <c r="R1558" i="1"/>
  <c r="R1557" i="1"/>
  <c r="R1556" i="1"/>
  <c r="R1555" i="1"/>
  <c r="R1554" i="1"/>
  <c r="R1553" i="1"/>
  <c r="R1552" i="1"/>
  <c r="R1551" i="1"/>
  <c r="R1550" i="1"/>
  <c r="R1549" i="1"/>
  <c r="R1548" i="1"/>
  <c r="R1547" i="1"/>
  <c r="R1546" i="1"/>
  <c r="R1545" i="1"/>
  <c r="R1544" i="1"/>
  <c r="R1543" i="1"/>
  <c r="R1542" i="1"/>
  <c r="R1541" i="1"/>
  <c r="R1540" i="1"/>
  <c r="R1539" i="1"/>
  <c r="R1538" i="1"/>
  <c r="R1537" i="1"/>
  <c r="R1536" i="1"/>
  <c r="R1535" i="1"/>
  <c r="R1534" i="1"/>
  <c r="R1533" i="1"/>
  <c r="R1532" i="1"/>
  <c r="R1531" i="1"/>
  <c r="R1530" i="1"/>
  <c r="R1529" i="1"/>
  <c r="R1528" i="1"/>
  <c r="R1527" i="1"/>
  <c r="R1526" i="1"/>
  <c r="R1525" i="1"/>
  <c r="R1524" i="1"/>
  <c r="R1523" i="1"/>
  <c r="R1522" i="1"/>
  <c r="R1521" i="1"/>
  <c r="R1520" i="1"/>
  <c r="R1519" i="1"/>
  <c r="R1518" i="1"/>
  <c r="R1517" i="1"/>
  <c r="R1516" i="1"/>
  <c r="R1515" i="1"/>
  <c r="R1514" i="1"/>
  <c r="R1513" i="1"/>
  <c r="R1512" i="1"/>
  <c r="R1511" i="1"/>
  <c r="R1510" i="1"/>
  <c r="R1509" i="1"/>
  <c r="R1508" i="1"/>
  <c r="R1507" i="1"/>
  <c r="R1506" i="1"/>
  <c r="R1505" i="1"/>
  <c r="R1504" i="1"/>
  <c r="R1503" i="1"/>
  <c r="R1502" i="1"/>
  <c r="R1501" i="1"/>
  <c r="R1500" i="1"/>
  <c r="R1499" i="1"/>
  <c r="R1498" i="1"/>
  <c r="R1497" i="1"/>
  <c r="R1496" i="1"/>
  <c r="R1495" i="1"/>
  <c r="R1494" i="1"/>
  <c r="R1493" i="1"/>
  <c r="R1492" i="1"/>
  <c r="R1491" i="1"/>
  <c r="R1490" i="1"/>
  <c r="R1489" i="1"/>
  <c r="R1488" i="1"/>
  <c r="R1487" i="1"/>
  <c r="R1486" i="1"/>
  <c r="R1485" i="1"/>
  <c r="R1484" i="1"/>
  <c r="R1483" i="1"/>
  <c r="R1482" i="1"/>
  <c r="R1481" i="1"/>
  <c r="R1480" i="1"/>
  <c r="R1479" i="1"/>
  <c r="R1478" i="1"/>
  <c r="R1477" i="1"/>
  <c r="R1476" i="1"/>
  <c r="R1475" i="1"/>
  <c r="R1474" i="1"/>
  <c r="R1473" i="1"/>
  <c r="R1472" i="1"/>
  <c r="R1471" i="1"/>
  <c r="R1470" i="1"/>
  <c r="R1469" i="1"/>
  <c r="R1468" i="1"/>
  <c r="R1467" i="1"/>
  <c r="R1466" i="1"/>
  <c r="R1465" i="1"/>
  <c r="R1464" i="1"/>
  <c r="R1463" i="1"/>
  <c r="R1462" i="1"/>
  <c r="R1461" i="1"/>
  <c r="R1460" i="1"/>
  <c r="R1459" i="1"/>
  <c r="R1458" i="1"/>
  <c r="R1457" i="1"/>
  <c r="R1456" i="1"/>
  <c r="R1455" i="1"/>
  <c r="R1454" i="1"/>
  <c r="R1453" i="1"/>
  <c r="R1452" i="1"/>
  <c r="R1451" i="1"/>
  <c r="R1450" i="1"/>
  <c r="R1449" i="1"/>
  <c r="R1448" i="1"/>
  <c r="R1447" i="1"/>
  <c r="R1446" i="1"/>
  <c r="R1445" i="1"/>
  <c r="R1444" i="1"/>
  <c r="R1443" i="1"/>
  <c r="R1442" i="1"/>
  <c r="R1441" i="1"/>
  <c r="R1440" i="1"/>
  <c r="R1439" i="1"/>
  <c r="R1438" i="1"/>
  <c r="R1437" i="1"/>
  <c r="R1436" i="1"/>
  <c r="R1435" i="1"/>
  <c r="R1434" i="1"/>
  <c r="R1433" i="1"/>
  <c r="R1432" i="1"/>
  <c r="R1431" i="1"/>
  <c r="R1430" i="1"/>
  <c r="R1429" i="1"/>
  <c r="R1428" i="1"/>
  <c r="R1427" i="1"/>
  <c r="R1426" i="1"/>
  <c r="R1425" i="1"/>
  <c r="R1424" i="1"/>
  <c r="R1423" i="1"/>
  <c r="R1422" i="1"/>
  <c r="R1421" i="1"/>
  <c r="R1420" i="1"/>
  <c r="R1419" i="1"/>
  <c r="R1418" i="1"/>
  <c r="R1417" i="1"/>
  <c r="R1416" i="1"/>
  <c r="R1415" i="1"/>
  <c r="R1414" i="1"/>
  <c r="R1413" i="1"/>
  <c r="R1412" i="1"/>
  <c r="R1411" i="1"/>
  <c r="R1410" i="1"/>
  <c r="R1409" i="1"/>
  <c r="R1408" i="1"/>
  <c r="R1407" i="1"/>
  <c r="R1406" i="1"/>
  <c r="R1405" i="1"/>
  <c r="R1404" i="1"/>
  <c r="R1403" i="1"/>
  <c r="R1402" i="1"/>
  <c r="R1401" i="1"/>
  <c r="R1400" i="1"/>
  <c r="R1399" i="1"/>
  <c r="R1398" i="1"/>
  <c r="R1397" i="1"/>
  <c r="R1396" i="1"/>
  <c r="R1395" i="1"/>
  <c r="R1394" i="1"/>
  <c r="R1393" i="1"/>
  <c r="R1392" i="1"/>
  <c r="R1391" i="1"/>
  <c r="R1390" i="1"/>
  <c r="R1389" i="1"/>
  <c r="R1388" i="1"/>
  <c r="R1387" i="1"/>
  <c r="R1386" i="1"/>
  <c r="R1385" i="1"/>
  <c r="R1384" i="1"/>
  <c r="R1383" i="1"/>
  <c r="R1382" i="1"/>
  <c r="R1381" i="1"/>
  <c r="R1380" i="1"/>
  <c r="R1379" i="1"/>
  <c r="R1378" i="1"/>
  <c r="R1377" i="1"/>
  <c r="R1376" i="1"/>
  <c r="R1375" i="1"/>
  <c r="R1374" i="1"/>
  <c r="R1373" i="1"/>
  <c r="R1372" i="1"/>
  <c r="R1371" i="1"/>
  <c r="R1370" i="1"/>
  <c r="R1369" i="1"/>
  <c r="R1368" i="1"/>
  <c r="R1367" i="1"/>
  <c r="R1366" i="1"/>
  <c r="R1365" i="1"/>
  <c r="R1364" i="1"/>
  <c r="R1363" i="1"/>
  <c r="R1362" i="1"/>
  <c r="R1361" i="1"/>
  <c r="R1360" i="1"/>
  <c r="R1359" i="1"/>
  <c r="R1358" i="1"/>
  <c r="R1357" i="1"/>
  <c r="R1356" i="1"/>
  <c r="R1355" i="1"/>
  <c r="R1354" i="1"/>
  <c r="R1353" i="1"/>
  <c r="R1352" i="1"/>
  <c r="R1351" i="1"/>
  <c r="R1350" i="1"/>
  <c r="R1349" i="1"/>
  <c r="R1348" i="1"/>
  <c r="R1347" i="1"/>
  <c r="R1346" i="1"/>
  <c r="R1345" i="1"/>
  <c r="R1344" i="1"/>
  <c r="R1343" i="1"/>
  <c r="R1342" i="1"/>
  <c r="R1341" i="1"/>
  <c r="R1340" i="1"/>
  <c r="R1339" i="1"/>
  <c r="R1338" i="1"/>
  <c r="R1337" i="1"/>
  <c r="R1336" i="1"/>
  <c r="R1335" i="1"/>
  <c r="R1334" i="1"/>
  <c r="R1333" i="1"/>
  <c r="R1332" i="1"/>
  <c r="R1331" i="1"/>
  <c r="R1330" i="1"/>
  <c r="R1329" i="1"/>
  <c r="R1328" i="1"/>
  <c r="R1327" i="1"/>
  <c r="R1326" i="1"/>
  <c r="R1325" i="1"/>
  <c r="R1324" i="1"/>
  <c r="R1323" i="1"/>
  <c r="R1322" i="1"/>
  <c r="R1321" i="1"/>
  <c r="R1320" i="1"/>
  <c r="R1319" i="1"/>
  <c r="R1318" i="1"/>
  <c r="R1317" i="1"/>
  <c r="R1316" i="1"/>
  <c r="R1315" i="1"/>
  <c r="R1314" i="1"/>
  <c r="R1313" i="1"/>
  <c r="R1312" i="1"/>
  <c r="R1311" i="1"/>
  <c r="R1310" i="1"/>
  <c r="R1309" i="1"/>
  <c r="R1308" i="1"/>
  <c r="R1307" i="1"/>
  <c r="R1306" i="1"/>
  <c r="R1305" i="1"/>
  <c r="R1304" i="1"/>
  <c r="R1303" i="1"/>
  <c r="R1302" i="1"/>
  <c r="R1301" i="1"/>
  <c r="R1300" i="1"/>
  <c r="R1299" i="1"/>
  <c r="R1298" i="1"/>
  <c r="R1297" i="1"/>
  <c r="R1296" i="1"/>
  <c r="R1295" i="1"/>
  <c r="R1294" i="1"/>
  <c r="R1293" i="1"/>
  <c r="R1292" i="1"/>
  <c r="R1291" i="1"/>
  <c r="R1290" i="1"/>
  <c r="R1289" i="1"/>
  <c r="R1288" i="1"/>
  <c r="R1287" i="1"/>
  <c r="R1286" i="1"/>
  <c r="R1285" i="1"/>
  <c r="R1284" i="1"/>
  <c r="R1283" i="1"/>
  <c r="R1282" i="1"/>
  <c r="R1281" i="1"/>
  <c r="R1280" i="1"/>
  <c r="R1279" i="1"/>
  <c r="R1278" i="1"/>
  <c r="R1277" i="1"/>
  <c r="R1276" i="1"/>
  <c r="R1275" i="1"/>
  <c r="R1274" i="1"/>
  <c r="R1273" i="1"/>
  <c r="R1272" i="1"/>
  <c r="R1271" i="1"/>
  <c r="R1270" i="1"/>
  <c r="R1269" i="1"/>
  <c r="R1268" i="1"/>
  <c r="R1267" i="1"/>
  <c r="R1266" i="1"/>
  <c r="R1265" i="1"/>
  <c r="R1264" i="1"/>
  <c r="R1263" i="1"/>
  <c r="R1262" i="1"/>
  <c r="R1261" i="1"/>
  <c r="R1260" i="1"/>
  <c r="R1259" i="1"/>
  <c r="R1258" i="1"/>
  <c r="R1257" i="1"/>
  <c r="R1256" i="1"/>
  <c r="R1255" i="1"/>
  <c r="R1254" i="1"/>
  <c r="R1253" i="1"/>
  <c r="R1252" i="1"/>
  <c r="R1251" i="1"/>
  <c r="R1250" i="1"/>
  <c r="R1249" i="1"/>
  <c r="R1248" i="1"/>
  <c r="R1247" i="1"/>
  <c r="R1246" i="1"/>
  <c r="R1245" i="1"/>
  <c r="R1244" i="1"/>
  <c r="R1243" i="1"/>
  <c r="R1242" i="1"/>
  <c r="R1241" i="1"/>
  <c r="R1240" i="1"/>
  <c r="R1239" i="1"/>
  <c r="R1238" i="1"/>
  <c r="R1237" i="1"/>
  <c r="R1236" i="1"/>
  <c r="R1235" i="1"/>
  <c r="R1234" i="1"/>
  <c r="R1233" i="1"/>
  <c r="R1232" i="1"/>
  <c r="R1231" i="1"/>
  <c r="R1230" i="1"/>
  <c r="R1229" i="1"/>
  <c r="R1228" i="1"/>
  <c r="R1227" i="1"/>
  <c r="R1226" i="1"/>
  <c r="R1225" i="1"/>
  <c r="R1224" i="1"/>
  <c r="R1223" i="1"/>
  <c r="R1222" i="1"/>
  <c r="R1221" i="1"/>
  <c r="R1220" i="1"/>
  <c r="R1219" i="1"/>
  <c r="R1218" i="1"/>
  <c r="R1217" i="1"/>
  <c r="R1216" i="1"/>
  <c r="R1215" i="1"/>
  <c r="R1214" i="1"/>
  <c r="R1213" i="1"/>
  <c r="R1212" i="1"/>
  <c r="R1211" i="1"/>
  <c r="R1210" i="1"/>
  <c r="R1209" i="1"/>
  <c r="R1208" i="1"/>
  <c r="R1207" i="1"/>
  <c r="R1206" i="1"/>
  <c r="R1205" i="1"/>
  <c r="R1204" i="1"/>
  <c r="R1203" i="1"/>
  <c r="R1202" i="1"/>
  <c r="R1201" i="1"/>
  <c r="R1200" i="1"/>
  <c r="R1199" i="1"/>
  <c r="R1198" i="1"/>
  <c r="R1197" i="1"/>
  <c r="R1196" i="1"/>
  <c r="R1195" i="1"/>
  <c r="R1194" i="1"/>
  <c r="R1193" i="1"/>
  <c r="R1192" i="1"/>
  <c r="R1191" i="1"/>
  <c r="R1190" i="1"/>
  <c r="R1189" i="1"/>
  <c r="R1188" i="1"/>
  <c r="R1187" i="1"/>
  <c r="R1186" i="1"/>
  <c r="R1185" i="1"/>
  <c r="R1184" i="1"/>
  <c r="R1183" i="1"/>
  <c r="R1182" i="1"/>
  <c r="R1181" i="1"/>
  <c r="R1180" i="1"/>
  <c r="R1179" i="1"/>
  <c r="R1178" i="1"/>
  <c r="R1177" i="1"/>
  <c r="R1176" i="1"/>
  <c r="R1175" i="1"/>
  <c r="R1174" i="1"/>
  <c r="R1173" i="1"/>
  <c r="R1172" i="1"/>
  <c r="R1171" i="1"/>
  <c r="R1170" i="1"/>
  <c r="R1169" i="1"/>
  <c r="R1168" i="1"/>
  <c r="R1167" i="1"/>
  <c r="R1166" i="1"/>
  <c r="R1165" i="1"/>
  <c r="R1164" i="1"/>
  <c r="R1163" i="1"/>
  <c r="R1162" i="1"/>
  <c r="R1161" i="1"/>
  <c r="R1160" i="1"/>
  <c r="R1159" i="1"/>
  <c r="R1158" i="1"/>
  <c r="R1157" i="1"/>
  <c r="R1156" i="1"/>
  <c r="R1155" i="1"/>
  <c r="R1154" i="1"/>
  <c r="R1153" i="1"/>
  <c r="R1152" i="1"/>
  <c r="R1151" i="1"/>
  <c r="R1150" i="1"/>
  <c r="R1149" i="1"/>
  <c r="R1148" i="1"/>
  <c r="R1147" i="1"/>
  <c r="R1146" i="1"/>
  <c r="R1145" i="1"/>
  <c r="R1144" i="1"/>
  <c r="R1143" i="1"/>
  <c r="R1142" i="1"/>
  <c r="R1141" i="1"/>
  <c r="R1140" i="1"/>
  <c r="R1139" i="1"/>
  <c r="R1138" i="1"/>
  <c r="R1137" i="1"/>
  <c r="R1136" i="1"/>
  <c r="R1135" i="1"/>
  <c r="R1134" i="1"/>
  <c r="R1133" i="1"/>
  <c r="R1132" i="1"/>
  <c r="R1131" i="1"/>
  <c r="R1130" i="1"/>
  <c r="R1129" i="1"/>
  <c r="R1128" i="1"/>
  <c r="R1127" i="1"/>
  <c r="R1126" i="1"/>
  <c r="R1125" i="1"/>
  <c r="R1124" i="1"/>
  <c r="R1123" i="1"/>
  <c r="R1122" i="1"/>
  <c r="R1121" i="1"/>
  <c r="R1120" i="1"/>
  <c r="R1119" i="1"/>
  <c r="R1118" i="1"/>
  <c r="R1117" i="1"/>
  <c r="R1116" i="1"/>
  <c r="R1115" i="1"/>
  <c r="R1114" i="1"/>
  <c r="R1113" i="1"/>
  <c r="R1112" i="1"/>
  <c r="R1111" i="1"/>
  <c r="R1110" i="1"/>
  <c r="R1109" i="1"/>
  <c r="R1108" i="1"/>
  <c r="R1107" i="1"/>
  <c r="R1106" i="1"/>
  <c r="R1105" i="1"/>
  <c r="R1104" i="1"/>
  <c r="R1103" i="1"/>
  <c r="R1102" i="1"/>
  <c r="R1101" i="1"/>
  <c r="R1100" i="1"/>
  <c r="R1099" i="1"/>
  <c r="R1098" i="1"/>
  <c r="R1097" i="1"/>
  <c r="R1096" i="1"/>
  <c r="R1095" i="1"/>
  <c r="R1094" i="1"/>
  <c r="R1093" i="1"/>
  <c r="R1092" i="1"/>
  <c r="R1091" i="1"/>
  <c r="R1090" i="1"/>
  <c r="R1089" i="1"/>
  <c r="R1088" i="1"/>
  <c r="R1087" i="1"/>
  <c r="R1086" i="1"/>
  <c r="R1085" i="1"/>
  <c r="R1084" i="1"/>
  <c r="R1083" i="1"/>
  <c r="R1082" i="1"/>
  <c r="R1081" i="1"/>
  <c r="R1080" i="1"/>
  <c r="R1079" i="1"/>
  <c r="R1078" i="1"/>
  <c r="R1077" i="1"/>
  <c r="R1076" i="1"/>
  <c r="R1075" i="1"/>
  <c r="R1074" i="1"/>
  <c r="R1073" i="1"/>
  <c r="R1072" i="1"/>
  <c r="R1071" i="1"/>
  <c r="R1070" i="1"/>
  <c r="R1069" i="1"/>
  <c r="R1068" i="1"/>
  <c r="R1067" i="1"/>
  <c r="R1066" i="1"/>
  <c r="R1065" i="1"/>
  <c r="R1064" i="1"/>
  <c r="R1063" i="1"/>
  <c r="R1062" i="1"/>
  <c r="R1061" i="1"/>
  <c r="R1060" i="1"/>
  <c r="R1059" i="1"/>
  <c r="R1058" i="1"/>
  <c r="R1057" i="1"/>
  <c r="R1056" i="1"/>
  <c r="R1055" i="1"/>
  <c r="R1054" i="1"/>
  <c r="R1053" i="1"/>
  <c r="R1052" i="1"/>
  <c r="R1051" i="1"/>
  <c r="R1050" i="1"/>
  <c r="R1049" i="1"/>
  <c r="R1048" i="1"/>
  <c r="R1047" i="1"/>
  <c r="R1046" i="1"/>
  <c r="R1045" i="1"/>
  <c r="R1044" i="1"/>
  <c r="R1043" i="1"/>
  <c r="R1042" i="1"/>
  <c r="R1041" i="1"/>
  <c r="R1040" i="1"/>
  <c r="R1039" i="1"/>
  <c r="R1038" i="1"/>
  <c r="R1037" i="1"/>
  <c r="R1036" i="1"/>
  <c r="R1035" i="1"/>
  <c r="R1034" i="1"/>
  <c r="R1033" i="1"/>
  <c r="R1032" i="1"/>
  <c r="R1031" i="1"/>
  <c r="R1030" i="1"/>
  <c r="R1029" i="1"/>
  <c r="R1028" i="1"/>
  <c r="R1027" i="1"/>
  <c r="R1026" i="1"/>
  <c r="R1025" i="1"/>
  <c r="R1024" i="1"/>
  <c r="R1023" i="1"/>
  <c r="R1022" i="1"/>
  <c r="R1021" i="1"/>
  <c r="R1020" i="1"/>
  <c r="R1019" i="1"/>
  <c r="R1018" i="1"/>
  <c r="R1017" i="1"/>
  <c r="R1016" i="1"/>
  <c r="R1015" i="1"/>
  <c r="R1014" i="1"/>
  <c r="R1013" i="1"/>
  <c r="R1012" i="1"/>
  <c r="R1011" i="1"/>
  <c r="R1010" i="1"/>
  <c r="R1009" i="1"/>
  <c r="R1008" i="1"/>
  <c r="R1007" i="1"/>
  <c r="R1006" i="1"/>
  <c r="R1005" i="1"/>
  <c r="R1004" i="1"/>
  <c r="R1003" i="1"/>
  <c r="R1002" i="1"/>
  <c r="R1001" i="1"/>
  <c r="R1000" i="1"/>
  <c r="R999" i="1"/>
  <c r="R998" i="1"/>
  <c r="R997" i="1"/>
  <c r="R996" i="1"/>
  <c r="R995" i="1"/>
  <c r="R994" i="1"/>
  <c r="R993" i="1"/>
  <c r="R992" i="1"/>
  <c r="R991" i="1"/>
  <c r="R990" i="1"/>
  <c r="R989" i="1"/>
  <c r="R988" i="1"/>
  <c r="R987" i="1"/>
  <c r="R986" i="1"/>
  <c r="R985" i="1"/>
  <c r="R984" i="1"/>
  <c r="R983" i="1"/>
  <c r="R982" i="1"/>
  <c r="R981" i="1"/>
  <c r="R980" i="1"/>
  <c r="R979" i="1"/>
  <c r="R978" i="1"/>
  <c r="R977" i="1"/>
  <c r="R976" i="1"/>
  <c r="R975" i="1"/>
  <c r="R974" i="1"/>
  <c r="R973" i="1"/>
  <c r="R972" i="1"/>
  <c r="R971" i="1"/>
  <c r="R970" i="1"/>
  <c r="R969" i="1"/>
  <c r="R968" i="1"/>
  <c r="R967" i="1"/>
  <c r="R966" i="1"/>
  <c r="R965" i="1"/>
  <c r="R964" i="1"/>
  <c r="R963" i="1"/>
  <c r="R962" i="1"/>
  <c r="R961" i="1"/>
  <c r="R960" i="1"/>
  <c r="R959" i="1"/>
  <c r="R958" i="1"/>
  <c r="R957" i="1"/>
  <c r="R956" i="1"/>
  <c r="R955" i="1"/>
  <c r="R954" i="1"/>
  <c r="R953" i="1"/>
  <c r="R952" i="1"/>
  <c r="R951" i="1"/>
  <c r="R950" i="1"/>
  <c r="R949" i="1"/>
  <c r="R948" i="1"/>
  <c r="R947" i="1"/>
  <c r="R946" i="1"/>
  <c r="R945" i="1"/>
  <c r="R944" i="1"/>
  <c r="R943" i="1"/>
  <c r="R942" i="1"/>
  <c r="R941" i="1"/>
  <c r="R940" i="1"/>
  <c r="R939" i="1"/>
  <c r="R938" i="1"/>
  <c r="R937" i="1"/>
  <c r="R936" i="1"/>
  <c r="R935" i="1"/>
  <c r="R934" i="1"/>
  <c r="R933" i="1"/>
  <c r="R932" i="1"/>
  <c r="R931" i="1"/>
  <c r="R930" i="1"/>
  <c r="R929" i="1"/>
  <c r="R928" i="1"/>
  <c r="R927" i="1"/>
  <c r="R926" i="1"/>
  <c r="R925" i="1"/>
  <c r="R924" i="1"/>
  <c r="R923" i="1"/>
  <c r="R922" i="1"/>
  <c r="R921" i="1"/>
  <c r="R920" i="1"/>
  <c r="R919" i="1"/>
  <c r="R918" i="1"/>
  <c r="R917" i="1"/>
  <c r="R916" i="1"/>
  <c r="R915" i="1"/>
  <c r="R914" i="1"/>
  <c r="R913" i="1"/>
  <c r="R912" i="1"/>
  <c r="R911" i="1"/>
  <c r="R910" i="1"/>
  <c r="R909" i="1"/>
  <c r="R908" i="1"/>
  <c r="R907" i="1"/>
  <c r="R906" i="1"/>
  <c r="R905" i="1"/>
  <c r="R904" i="1"/>
  <c r="R903" i="1"/>
  <c r="R902" i="1"/>
  <c r="R901" i="1"/>
  <c r="R900" i="1"/>
  <c r="R899" i="1"/>
  <c r="R898" i="1"/>
  <c r="R897" i="1"/>
  <c r="R896" i="1"/>
  <c r="R895" i="1"/>
  <c r="R894" i="1"/>
  <c r="R893" i="1"/>
  <c r="R892" i="1"/>
  <c r="R891" i="1"/>
  <c r="R890" i="1"/>
  <c r="R889" i="1"/>
  <c r="R888" i="1"/>
  <c r="R887" i="1"/>
  <c r="R886" i="1"/>
  <c r="R885" i="1"/>
  <c r="R884" i="1"/>
  <c r="R883" i="1"/>
  <c r="R882" i="1"/>
  <c r="R881" i="1"/>
  <c r="R880" i="1"/>
  <c r="R879" i="1"/>
  <c r="R878" i="1"/>
  <c r="R877" i="1"/>
  <c r="R876" i="1"/>
  <c r="R875" i="1"/>
  <c r="R874" i="1"/>
  <c r="R873" i="1"/>
  <c r="R872" i="1"/>
  <c r="R871" i="1"/>
  <c r="R870" i="1"/>
  <c r="R869" i="1"/>
  <c r="R868" i="1"/>
  <c r="R867" i="1"/>
  <c r="R866" i="1"/>
  <c r="R865" i="1"/>
  <c r="R864" i="1"/>
  <c r="R863" i="1"/>
  <c r="R862" i="1"/>
  <c r="R861" i="1"/>
  <c r="R860" i="1"/>
  <c r="R859" i="1"/>
  <c r="R858" i="1"/>
  <c r="R857"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61" i="1"/>
  <c r="R760" i="1"/>
  <c r="R759" i="1"/>
  <c r="R758" i="1"/>
  <c r="R757" i="1"/>
  <c r="R756" i="1"/>
  <c r="R755" i="1"/>
  <c r="R754" i="1"/>
  <c r="R753" i="1"/>
  <c r="R752" i="1"/>
  <c r="R751" i="1"/>
  <c r="R750" i="1"/>
  <c r="R749" i="1"/>
  <c r="R748" i="1"/>
  <c r="R747" i="1"/>
  <c r="R746" i="1"/>
  <c r="R745" i="1"/>
  <c r="R744" i="1"/>
  <c r="R743" i="1"/>
  <c r="R742" i="1"/>
  <c r="R741" i="1"/>
  <c r="R740" i="1"/>
  <c r="R739" i="1"/>
  <c r="R738" i="1"/>
  <c r="R737" i="1"/>
  <c r="R736" i="1"/>
  <c r="R735" i="1"/>
  <c r="R734" i="1"/>
  <c r="R733" i="1"/>
  <c r="R732" i="1"/>
  <c r="R731" i="1"/>
  <c r="R730" i="1"/>
  <c r="R729" i="1"/>
  <c r="R728" i="1"/>
  <c r="R727" i="1"/>
  <c r="R726" i="1"/>
  <c r="R725" i="1"/>
  <c r="R724" i="1"/>
  <c r="R723" i="1"/>
  <c r="R722" i="1"/>
  <c r="R721" i="1"/>
  <c r="R720" i="1"/>
  <c r="R719" i="1"/>
  <c r="R718" i="1"/>
  <c r="R717"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8"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R2" i="1"/>
  <c r="D5" i="2" a="1"/>
  <c r="D5" i="2" s="1"/>
  <c r="C5" i="2" a="1"/>
  <c r="C5" i="2" s="1"/>
  <c r="B3" i="2" a="1"/>
  <c r="B3" i="2" s="1"/>
  <c r="D4" i="2"/>
  <c r="C4" i="2"/>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 r="D3" i="2" a="1"/>
  <c r="D3" i="2" s="1"/>
  <c r="C3" i="2" a="1"/>
  <c r="C3" i="2" s="1"/>
  <c r="D2" i="2"/>
  <c r="C2" i="2"/>
  <c r="B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<sst xmlns="http://schemas.openxmlformats.org/spreadsheetml/2006/main" count="18104" uniqueCount="4583">
  <si>
    <t>unique_id</t>
  </si>
  <si>
    <t>Painting</t>
  </si>
  <si>
    <t>On a scale of 1‚Äì10, how intense is the emotion conveyed by the artwork?</t>
  </si>
  <si>
    <t>Describe how this painting makes you feel.</t>
  </si>
  <si>
    <t>This art piece makes me feel sombre.</t>
  </si>
  <si>
    <t>This art piece makes me feel content.</t>
  </si>
  <si>
    <t>This art piece makes me feel calm.</t>
  </si>
  <si>
    <t>This art piece makes me feel uneasy.</t>
  </si>
  <si>
    <t>How many prominent colours do you notice in this painting?</t>
  </si>
  <si>
    <t>How many objects caught your eye in the painting?</t>
  </si>
  <si>
    <t>How much (in Canadian dollars) would you be willing to pay for this painting?</t>
  </si>
  <si>
    <t>If you could purchase this painting, which room would you put that painting in?</t>
  </si>
  <si>
    <t>If you could view this art in person, who would you want to view it with?</t>
  </si>
  <si>
    <t>What season does this art piece remind you of?</t>
  </si>
  <si>
    <t>If this painting was a food, what would be?</t>
  </si>
  <si>
    <t>Imagine a soundtrack for this painting. Describe that soundtrack without naming any objects in the painting.</t>
  </si>
  <si>
    <t>The Persistence of Memory</t>
  </si>
  <si>
    <t>The clocks are burnt on a hot desert, it embodies the melancholy of time passing. The dominant yellow hue intensifies this sensation.</t>
  </si>
  <si>
    <t>4 - Agree</t>
  </si>
  <si>
    <t>3 - Neutral/Unsure</t>
  </si>
  <si>
    <t>2 - Disagree</t>
  </si>
  <si>
    <t>1 - Strongly disagree</t>
  </si>
  <si>
    <t>Bathroom</t>
  </si>
  <si>
    <t>By yourself</t>
  </si>
  <si>
    <t>Fall</t>
  </si>
  <si>
    <t>Fries</t>
  </si>
  <si>
    <t>A country song that contrasts nostalgia for the past with dissatisfaction with the present.</t>
  </si>
  <si>
    <t>This painting makes me feel dread. The clock reminds me of a ticking time until the death of the creature in the picture.</t>
  </si>
  <si>
    <t>Bathroom,Dining room</t>
  </si>
  <si>
    <t>Coworkers/Classmates,By yourself</t>
  </si>
  <si>
    <t>Sardines</t>
  </si>
  <si>
    <t>A melancholy instrumental with a monotone voice singing gloomy lyrics like Creep by radiohead.</t>
  </si>
  <si>
    <t>Deflated</t>
  </si>
  <si>
    <t>a</t>
  </si>
  <si>
    <t>Bedroom,Bathroom</t>
  </si>
  <si>
    <t>Coworkers/Classmates</t>
  </si>
  <si>
    <t>Winter</t>
  </si>
  <si>
    <t>q</t>
  </si>
  <si>
    <t>The painting gives me a sense of calmness and plenitude. It has an ominous and nostalgic feeling similar to time passing.¬†</t>
  </si>
  <si>
    <t>5 - Strongly agree</t>
  </si>
  <si>
    <t>300 dollars.</t>
  </si>
  <si>
    <t>Living room</t>
  </si>
  <si>
    <t>Friends</t>
  </si>
  <si>
    <t>Spring,Summer</t>
  </si>
  <si>
    <t>Churros.</t>
  </si>
  <si>
    <t>Radiohead's album in rainbows.</t>
  </si>
  <si>
    <t>This painting makes me feel a bit confused and bewildered, as the objects and art style make me feel detached from reality.</t>
  </si>
  <si>
    <t>Office,Living room</t>
  </si>
  <si>
    <t>Friends,Family members,By yourself</t>
  </si>
  <si>
    <t>Summer,Fall</t>
  </si>
  <si>
    <t>Shepherd's pie</t>
  </si>
  <si>
    <t>The soundtrack should sound heavy, sombre, and like a finale to an event. It should be slow but without too much emotion.</t>
  </si>
  <si>
    <t>It has a sorrow feeling and clock is melting feel like time is decaying.</t>
  </si>
  <si>
    <t>Office</t>
  </si>
  <si>
    <t>10 days old lasagna</t>
  </si>
  <si>
    <t>A truly sorrow, minor key orchestra piece</t>
  </si>
  <si>
    <t>The painting makes me feel somewhat sad, thinking about the passage of time.</t>
  </si>
  <si>
    <t>Grilled Salmon with a Beurre Blanc sauce.</t>
  </si>
  <si>
    <t>Slow, somewhat sad piano or violin piece.</t>
  </si>
  <si>
    <t>eerie, moody, confused</t>
  </si>
  <si>
    <t>pizza</t>
  </si>
  <si>
    <t>ticking clock horror movie soundtrack</t>
  </si>
  <si>
    <t>The painting gives me a sense of nostalgia and mourning. Although the setting is surreal, it feels like I am looking at a part of my life which has gone and passed forever and is warped upon reflection.</t>
  </si>
  <si>
    <t>flan</t>
  </si>
  <si>
    <t>The soundtrack would be somber and nostalgic, with a solemn yearning for the past.¬†</t>
  </si>
  <si>
    <t>The painting makes me feel lathargic.</t>
  </si>
  <si>
    <t>Office,Dining room</t>
  </si>
  <si>
    <t>Soup</t>
  </si>
  <si>
    <t>Low bpm</t>
  </si>
  <si>
    <t>World goes to an end.</t>
  </si>
  <si>
    <t>Bedroom</t>
  </si>
  <si>
    <t>A black chocolate.</t>
  </si>
  <si>
    <t>The soundtrack is cold, giving a scene of ¬†million years after a global disaster.</t>
  </si>
  <si>
    <t>I feel shocked and discomfort.</t>
  </si>
  <si>
    <t>5 000 000$</t>
  </si>
  <si>
    <t>Bedroom,Office</t>
  </si>
  <si>
    <t>oreo</t>
  </si>
  <si>
    <t>A very solemn soundtrack.</t>
  </si>
  <si>
    <t>The painting makes me feel nostalgic and sad. The sunset conveys a calming ending feeling while the clocks melting away induces a feeling of the duration and longing where time loses its meaning. While it conveys to me of the inevitable passing of my limited amount of time, it also reminds me of the greatest times and memories I have experienced in my life.</t>
  </si>
  <si>
    <t>Living room,Dining room</t>
  </si>
  <si>
    <t>Friends,Strangers,By yourself</t>
  </si>
  <si>
    <t>A chocolate dessert</t>
  </si>
  <si>
    <t>Slow, calm rhythm. No intense variations in melody. Strongly harmonic.</t>
  </si>
  <si>
    <t>It makes me feel a bit anxious or sad since it seems to symbolize time melting away.</t>
  </si>
  <si>
    <t>Summer</t>
  </si>
  <si>
    <t>Scrambled eggs</t>
  </si>
  <si>
    <t>It would probably be slow and a little sad but not creepy or eerie.</t>
  </si>
  <si>
    <t>This painting makes me feel a sense a fleeting emotions and temporality. I like the use of colour because as the sun sets, it makes me feel like there will be a tomorrow whilst grieving the today.</t>
  </si>
  <si>
    <t>Banana</t>
  </si>
  <si>
    <t>The soundtrack would be calm and serene. There's a weird uneasiness to it though, that things won't last and a feeling that you'll lose it all.</t>
  </si>
  <si>
    <t>This painting make me feel weird and little sad. Time look melting and nothing feel normal. It make me think life go fast.</t>
  </si>
  <si>
    <t>Old cheese that stay too long</t>
  </si>
  <si>
    <t>The soundtrack is very slow and quiet. Sound feel empty and long. Notes stretch and feel tired, like waiting and nothing happen. Music feel lonely and strange.</t>
  </si>
  <si>
    <t>It makes me feel lost and sad.¬†</t>
  </si>
  <si>
    <t>200$</t>
  </si>
  <si>
    <t>coconut</t>
  </si>
  <si>
    <t>the soundtrack would be a violin piece. it would be slow but intense.</t>
  </si>
  <si>
    <t>Shocked, mysterious, unreal¬†</t>
  </si>
  <si>
    <t>Dining room</t>
  </si>
  <si>
    <t>Strangers,By yourself</t>
  </si>
  <si>
    <t>A single soft-boiled egg, yolk just barely holding together.</t>
  </si>
  <si>
    <t>Suspended, quietly unsettling. A single distant piano note drops into the air and lingers far longer than it should, as if streched.</t>
  </si>
  <si>
    <t>Very uneasy</t>
  </si>
  <si>
    <t>Coffee</t>
  </si>
  <si>
    <t>Slow orchestral strings ensemble</t>
  </si>
  <si>
    <t>Perhaps the fragility of time as it passes so quickly. Seeing as the clocks are bended, one almost gets this feeling that the past also loses its importance or fades away as time moves forward. Overall, its sort of a weird feeling.¬†</t>
  </si>
  <si>
    <t>Birthday cake</t>
  </si>
  <si>
    <t>The tides of history move forward and people either choose to stay caught in a specific tide or surf past it.¬†</t>
  </si>
  <si>
    <t>Ominous, it seems like the painting is trying to show how memory, even after years of time spending by, persists, and stays within ones body.</t>
  </si>
  <si>
    <t>rotten tomato</t>
  </si>
  <si>
    <t>An orchestral soundtrack that commences with a very slow and sombre timbre and steadily keeps on increasing intensity and frequency till it reaches a dull minor scale peak, before descending back into silence.</t>
  </si>
  <si>
    <t>slowed down and lazy.</t>
  </si>
  <si>
    <t>cheesecake</t>
  </si>
  <si>
    <t>slowed classical</t>
  </si>
  <si>
    <t>This painting makes me feel a bit strange. The content in the painting goes against reality, and it feels like there are many elements of imagination and distortion.</t>
  </si>
  <si>
    <t>Family members</t>
  </si>
  <si>
    <t>Sandwich</t>
  </si>
  <si>
    <t>It sounds a bit strange, fairly calm, and somewhat random.</t>
  </si>
  <si>
    <t>This painting makes me feel as though my life is becoming foggy and I am reflecting on life as it was in a better time. As if I can no longer dream and my time is running out in a bleak world where I can no longer return to the person I once was.</t>
  </si>
  <si>
    <t>puffer fish</t>
  </si>
  <si>
    <t>A slightly joyous melody that starts off fast but slows down as the track goes on becoming sadder, with eerie background music that grows louder and faster until the end where the track abruptly stops.</t>
  </si>
  <si>
    <t>Uncanny, lonely, still, anxious</t>
  </si>
  <si>
    <t>Bathroom,Office,Living room</t>
  </si>
  <si>
    <t>Friends,Family members</t>
  </si>
  <si>
    <t>Cheesecake</t>
  </si>
  <si>
    <t>A low, steady hum and a long, shaking whistle and the static of radio.</t>
  </si>
  <si>
    <t>Sad, uncertain, slightly disoriented.</t>
  </si>
  <si>
    <t>I don't like feeling uneasy so I wouldn't pay much, maybe $10</t>
  </si>
  <si>
    <t>Bathroom,Office</t>
  </si>
  <si>
    <t>Poutine</t>
  </si>
  <si>
    <t>I'd imagine a very sombre soundtrack, something that would play in a movie after a very beloved character dies.</t>
  </si>
  <si>
    <t>Uneasy since time in this picture doesn't seem to be a rigid construct</t>
  </si>
  <si>
    <t>cheese sandwich¬†</t>
  </si>
  <si>
    <t>slow dramatic violin notes¬†</t>
  </si>
  <si>
    <t>It makes me feel sad and drowsy.</t>
  </si>
  <si>
    <t>Friends,By yourself</t>
  </si>
  <si>
    <t>Mashed Potatoes.</t>
  </si>
  <si>
    <t>Slow jazz.</t>
  </si>
  <si>
    <t>This painting makes me feel sad and feel like I am running out of time</t>
  </si>
  <si>
    <t>Slow and sad music played by a violine of a cello. Burns the Heart</t>
  </si>
  <si>
    <t>Old, lonely¬†</t>
  </si>
  <si>
    <t>Bread</t>
  </si>
  <si>
    <t>Slow music</t>
  </si>
  <si>
    <t>This painting makes me feel cognizant of the connection between and relativity of space and time.</t>
  </si>
  <si>
    <t>Bitter melon</t>
  </si>
  <si>
    <t>The soundtrack would be slow, contemplative, maybe even a little experimental at times.</t>
  </si>
  <si>
    <t>The painting makes me feel a sense of longing, almost as if time is passing as symbolized by the clocks melting. Accompanied by this, it also makes me feel a sense of urgency since I recognize that time is passing so I feel like I should be doing more with my time!¬†</t>
  </si>
  <si>
    <t>Fall,Winter</t>
  </si>
  <si>
    <t>Pizza</t>
  </si>
  <si>
    <t>Slow brass instruments, trumpets, playing in minor key, lower register notes.¬†</t>
  </si>
  <si>
    <t>It makes me feel slightly uneasy but also calm at the same time. The scene feels quiet and almost frozen, like everything is happening very slowly or outside of normal time.</t>
  </si>
  <si>
    <t>I can't imagine it as a food.</t>
  </si>
  <si>
    <t>The soundtrack would be very slow and minimal, with long stretches of silence between soft, drawn-out sounds.</t>
  </si>
  <si>
    <t>Strange, repressed</t>
  </si>
  <si>
    <t>Family members,By yourself</t>
  </si>
  <si>
    <t>expired but unmelted ice cream</t>
  </si>
  <si>
    <t>The sound produced by the continuous vibration of metal</t>
  </si>
  <si>
    <t>This picture gives me a sense of desparation, a feeling of sunset.</t>
  </si>
  <si>
    <t>It would be an icecream.</t>
  </si>
  <si>
    <t>The soundtrack would be rushed piano in the beginning, slows down gradually with tickling sound, then goes to very slow and sad string ensemble.</t>
  </si>
  <si>
    <t>Time is not very important when in the middle of nature.</t>
  </si>
  <si>
    <t>Friends,Family members,Coworkers/Classmates,By yourself</t>
  </si>
  <si>
    <t>Lobster</t>
  </si>
  <si>
    <t>melancholic</t>
  </si>
  <si>
    <t>Makes me feel like I am running out of time</t>
  </si>
  <si>
    <t>Turkey with gravy</t>
  </si>
  <si>
    <t>slow Mozart song</t>
  </si>
  <si>
    <t>I feel anxious, worried about time, endless and a little bit peaceful.</t>
  </si>
  <si>
    <t>Sandwich.</t>
  </si>
  <si>
    <t>A soothing combination of ocean waves and delicate piano.</t>
  </si>
  <si>
    <t>Disoriented and dizzy</t>
  </si>
  <si>
    <t>pancake with syrup</t>
  </si>
  <si>
    <t>slow steady cello instrumental</t>
  </si>
  <si>
    <t>The painting makes me feel tired and lethargic.¬†</t>
  </si>
  <si>
    <t>The soundtrack would be very moody and low sounding, all of it would be classical music.¬†</t>
  </si>
  <si>
    <t>It makes me feel very melancholy. It almost forces me to take a step back and reflect. Just puts time in a different perspective</t>
  </si>
  <si>
    <t>Deconstructed Big Mac at a high end restaurant</t>
  </si>
  <si>
    <t>Slow, dramatic, pensive</t>
  </si>
  <si>
    <t>This painting gives me a sense that time is constantly flowing by. As time passes, the ocean gradually dries up and life perishes.</t>
  </si>
  <si>
    <t>Coworkers/Classmates,Strangers</t>
  </si>
  <si>
    <t>Gummy candy</t>
  </si>
  <si>
    <t>The melody moves at a very slow pace, yet the drumbeat remains crisp and distinct, like a clock ticking precisely every second. Occasional piano accompaniment adds to the oppressive atmosphere.</t>
  </si>
  <si>
    <t>It makes me feel anxious, uneasy, lonely, and tired.</t>
  </si>
  <si>
    <t>toast</t>
  </si>
  <si>
    <t>Slow, quiet, soft, low, and foggy.</t>
  </si>
  <si>
    <t>icecream</t>
  </si>
  <si>
    <t>Sci-fi movie themed song</t>
  </si>
  <si>
    <t>nostalgic and melancholic</t>
  </si>
  <si>
    <t>ombre cake</t>
  </si>
  <si>
    <t>The fading of summer</t>
  </si>
  <si>
    <t>Calm, introspective, somewhat dark</t>
  </si>
  <si>
    <t>Cookie</t>
  </si>
  <si>
    <t>A breeze and leaves gently blowing, with a gentle, constant, and rhythmic hum in the background</t>
  </si>
  <si>
    <t>The painting makes me feel like time is passing by very slowly. The clocks are hung up on the cliff or on the tree branches in a fluid and in melting motion. The melting represent that the clocks itself had been exposed to the sun for a long time indicating the passing of long time. Since the clock is located far from the water in the abyss with no people there stands a separate between present which is the water that flows and time being on the shore.</t>
  </si>
  <si>
    <t>Bedroom,Living room</t>
  </si>
  <si>
    <t>Cheese</t>
  </si>
  <si>
    <t>The godfather</t>
  </si>
  <si>
    <t>time is passing too fast, sense of urgency, missing out, inevitable</t>
  </si>
  <si>
    <t>$20¬†</t>
  </si>
  <si>
    <t>Noodles¬†</t>
  </si>
  <si>
    <t>lonely, nostalgic, depressing¬†</t>
  </si>
  <si>
    <t>Slightly melancholy and pensive. The dismal foreground contrasted with the sparkling clarity and optimism of the background leads to a bittersweet feeling.¬†</t>
  </si>
  <si>
    <t>Something earthy like yam.¬†</t>
  </si>
  <si>
    <t>Slow paced, detuned/slightly off-key electronic music with an intermittent warm pad sound that is contrastingly pure, pretty, and consoling sounding. The music would have sparse, minimal drum sounds.¬†</t>
  </si>
  <si>
    <t>It makes me feel sad. Like the time is drippng. Kind of weird</t>
  </si>
  <si>
    <t>noodles</t>
  </si>
  <si>
    <t>The soundtrack would be melancholic and quietly unsettling, with slow, lingering tones that feel slightly off-balance. The melody drifts without fully resolving, creating a sense of unease beneath its sadness. Subtle, irregular rhythms and faint dissonance give the music a strange, almost dreamlike quality, as if something familiar has been gently distorted.</t>
  </si>
  <si>
    <t>I feel confused, but I really resonate with the depiction of the dropping clocks and sock platypus. Initially I feel a very strong wave of emotion but the more I look at it, the less I feel.¬†</t>
  </si>
  <si>
    <t>Lasagna</t>
  </si>
  <si>
    <t>Soundtrack is like &lt;&lt;everywhere at the end of time&gt;&gt; I guess</t>
  </si>
  <si>
    <t>Uneasy, due to the distorted face, melted watches, and impossible geometry4</t>
  </si>
  <si>
    <t>Meat jelly</t>
  </si>
  <si>
    <t>Something familiar, but slowed down and distorted</t>
  </si>
  <si>
    <t>This painting makes me feel a little conflicted.¬† At the foreground of the painting the setting is quite dark.¬† On the other hand, the background seems kind of peaceful as opposed to the bleak foreground.¬† The contrast seems both unsettling and calming in a sense.¬†</t>
  </si>
  <si>
    <t>I would pay about $1000 for this painting.¬† This painting is very complex and also reflective in a way.¬†</t>
  </si>
  <si>
    <t>Spring</t>
  </si>
  <si>
    <t>If this painting was a food, I guess it would be dark chocolate.¬† At first time looking at this painting it seems kind of bleak and unsettling.¬† The same way that dark chocolate isn't always the best tasting when you first try it.¬† However, the more you look at it, the more you acquire a calm appreciation for it, like how dark chocolate becomes enjoyable over time.¬†</t>
  </si>
  <si>
    <t>I would imagine it being an alternative rock playlist, something that is calm and reflective but with a strong emotional complexity.¬† Something that carries a relaxing melody with more uneasy and reflective lyrics.¬†</t>
  </si>
  <si>
    <t>Makes me feel like I'm relaxed and it's time to sleep.¬†</t>
  </si>
  <si>
    <t>Strangers</t>
  </si>
  <si>
    <t>mac and cheese</t>
  </si>
  <si>
    <t>ticks and drums</t>
  </si>
  <si>
    <t>It makes me feel kind of uncomfortable but also interested. Everything feels off in a weird way, like things are not normal, and that makes me slightly uneasy but curious at the same time. Makes me think about my life¬†</t>
  </si>
  <si>
    <t>Cottage cheese¬†</t>
  </si>
  <si>
    <t>Slow, quiet music with a slightly eerie haunting feeling. It feels stretched out and uncomfortable, like something is a bit off. Uncanny valley.</t>
  </si>
  <si>
    <t>the painting has an eerie and/or melancholic ambiance to it. The droopiness of the clocks makes me feel as though time is slipping through my fingers, that no matter how hard we try to control it (hang it, set it down or aside) it will inevitably slip through my hands. Ultimately reminding me that time is fluid and uncontrollable. The silence and calmness of the background, the still water contrasts the clocks and makes it seem like time has stopped moving. Its difficult to describe, but I the distorted nature of the objects paired with the eerie calm invokes an existential feeling, almost sad, but not quite.¬†</t>
  </si>
  <si>
    <t>$100 dollars on the higher end.¬†</t>
  </si>
  <si>
    <t>like an undercooked egg.¬†</t>
  </si>
  <si>
    <t>Something eerie to create an atmospheric tension. Maybe some deep humming in the back, with some slow metallic distortions. even more subtly, there could be some frantic sounds underneath it all, a faint skittering to emphasize the anxiety induced by the feeling of emptiness. But I'd want to, above all else, emphasize the silent calm so maybe the track could be very low volume for most of it and transition between the loud and quiet.¬†</t>
  </si>
  <si>
    <t>Like I am melting.</t>
  </si>
  <si>
    <t>Bedroom,Bathroom,Office,Living room,Dining room</t>
  </si>
  <si>
    <t>cheese, maybe in a cheese board</t>
  </si>
  <si>
    <t>a semi-constant ticking with background nature white noise</t>
  </si>
  <si>
    <t>Melancholic, Lonely, Abandoned, Pensiveness</t>
  </si>
  <si>
    <t>Shepherd's Pie</t>
  </si>
  <si>
    <t>Something out of a Christopher Nolan movie. Long, steady, sombre notes.</t>
  </si>
  <si>
    <t>This painting confuses me. I don‚Äôt usually associate the concept of time with a shoreline, as the two ideas feel quite contrasting. The shoreline suggests something natural and constant, while the clocks are "droopy" and create a sense of distortion.¬†</t>
  </si>
  <si>
    <t>Popeyes¬†</t>
  </si>
  <si>
    <t>The soundtrack will be a slow, love song. Time at the beach alone with another.</t>
  </si>
  <si>
    <t>The painting makes me feel desperate, like I'm running out of time or that everything is on the verge of being lost. It's unsettling and somewhat confusing. There seems to be hope on the horizon but it's far and slipping away.</t>
  </si>
  <si>
    <t>$10000?</t>
  </si>
  <si>
    <t>Cold spaghetti.</t>
  </si>
  <si>
    <t>Sombre music, slightly fast tempo, a feeling of dread.¬†</t>
  </si>
  <si>
    <t>It makes me feel a bit somber, calm, and nostalgic.</t>
  </si>
  <si>
    <t>Pear</t>
  </si>
  <si>
    <t>It would include like an acoustic guitar and a simple, slow, calm melody. Similar to like latin music.¬†</t>
  </si>
  <si>
    <t>This painting makes me feel the fluidity of time, which in turn makes me feel a sense of existential dread. Overall, this painting makes me feel somewhat uncomfortable.</t>
  </si>
  <si>
    <t>A piece of speck that has been left outside of it's packaging for 2 days, making it more dry.</t>
  </si>
  <si>
    <t>A piano composition that is very quiet, lowkey and elegant but composed in such a way that it feels uncomfortable and anxious to listen to.</t>
  </si>
  <si>
    <t>I feel the painting illustrates the passage of time and the inevitable change it brings. This is demonstrated with the clocks melting overtime.</t>
  </si>
  <si>
    <t>Chocolate</t>
  </si>
  <si>
    <t>The sound track would have violin and piano, with long notes that fade out.</t>
  </si>
  <si>
    <t>This painting made me feel unrealistic, a little bit of conflict between chaos and peace.</t>
  </si>
  <si>
    <t>A desert made of drinks like cocktail.</t>
  </si>
  <si>
    <t>clock ticking with a little breeze in the background.</t>
  </si>
  <si>
    <t>It is odd, I feel like it is a sad picture, but I cannot understand what happened in the picture, or what the message artist would like to tell us.</t>
  </si>
  <si>
    <t>0. I feel bad when I look at this picture. I have no reason to buy it.</t>
  </si>
  <si>
    <t>shawarma</t>
  </si>
  <si>
    <t>The music "Memories", in the movie Top Gun (1986), when Goose dies.
It is not very sad, but a bit sad desolate, and the picture and the music makes me reflect on memories, and regret on past things,¬† that you can't go back.</t>
  </si>
  <si>
    <t>It provokes a daunting feeling in me. The unchanged solid landscape is juxtaposed with the melting clocks. Almost like that time is moving so fast it has melted but nothing has really changed. It reminds me of my own mortality and that the natural world does not care about our measures of time. Once our time is up the world does not relent.</t>
  </si>
  <si>
    <t>beef wellington</t>
  </si>
  <si>
    <t>A slow strumming of guitar. The vocalist, if there is one, has a mournful tone to their lyrics. The distant playing of drums. And at the end all the instruments start to fade.</t>
  </si>
  <si>
    <t>It makes me feel lonely and sad.</t>
  </si>
  <si>
    <t>sad and dreary</t>
  </si>
  <si>
    <t>The painting makes me feel that time is fading, and there's no hope left for the living species on earth since the horse (is it?) is almost dying. The clock, lying like a lump of mud on the table and hanging on a tree branch like a bathrobe, makes me feel that time already lost its meaning in this space. The empty space and dark colors made me feel oppressed. At the same time, the messy lines made me feel disordered.</t>
  </si>
  <si>
    <t>Crab.</t>
  </si>
  <si>
    <t>An indescribable sound of wind, accompanied by drumbeats without a fixed pattern. The deep sound of the piano is mixed with the faint sound of the violin.</t>
  </si>
  <si>
    <t>This picture makes me feel uneasy but also reflective. The melting clocks make time feel strange and unreliable, and the empty landscape feels sad and lonely. It's like telling us to beware that time is always ticking.</t>
  </si>
  <si>
    <t>Friends,Coworkers/Classmates,By yourself</t>
  </si>
  <si>
    <t>Fried rice</t>
  </si>
  <si>
    <t>I imagine slow, echoing sounds with stretched notes and long pauses. The music would feel mellow and slightly unsettling, as if time is moving oddly and everything is suspended.</t>
  </si>
  <si>
    <t>eerie</t>
  </si>
  <si>
    <t>octopus</t>
  </si>
  <si>
    <t>slow, soft, sombre style</t>
  </si>
  <si>
    <t>This painting makes me feel calm.</t>
  </si>
  <si>
    <t>I would pay 1000 dollars</t>
  </si>
  <si>
    <t>Bedroom,Bathroom,Living room,Dining room</t>
  </si>
  <si>
    <t>a pizza</t>
  </si>
  <si>
    <t>A calm sountrack with a relaxing and laze inducing melody¬†</t>
  </si>
  <si>
    <t>Surreal and sluggish as if everything is melting and slowing down</t>
  </si>
  <si>
    <t>Friends,Family members,Coworkers/Classmates</t>
  </si>
  <si>
    <t>melted cheese</t>
  </si>
  <si>
    <t>slow and slurry bass sounds with irregular rhythm</t>
  </si>
  <si>
    <t>I feel a sense of quiet isolation. The vast, empty landscape and the stillness of the water create a very calm atmosphere, despite the strange objects. It makes me feel lonely, as if I am the only person left in a world where time has stopped moving.</t>
  </si>
  <si>
    <t>noodle</t>
  </si>
  <si>
    <t>A very low-pitched voice, with a hollow quality. At the same time, the sound is sluggish.</t>
  </si>
  <si>
    <t>weird, not sure what meaning does it want to convey, terrible, distortion.</t>
  </si>
  <si>
    <t>Ginger</t>
  </si>
  <si>
    <t>The metallic sound mingled with coldness, distortion, dissonance, and emptiness.</t>
  </si>
  <si>
    <t>This painting makes me feel sad, clocks usually represent time, and it looks like the time is ending. It seems tired and sad.</t>
  </si>
  <si>
    <t>I would pay 10,000 CAD for that painting.</t>
  </si>
  <si>
    <t>Friends,Coworkers/Classmates</t>
  </si>
  <si>
    <t>Like a burnt soup.</t>
  </si>
  <si>
    <t>It must be a slow pace soundtrack and deep.</t>
  </si>
  <si>
    <t>Time is wasted</t>
  </si>
  <si>
    <t>Apple</t>
  </si>
  <si>
    <t>Instrumental</t>
  </si>
  <si>
    <t>It makes me feel warm and sad. Because the light seems warm but the melting clocks and shadow(darkness) seems a bit cold and sad.</t>
  </si>
  <si>
    <t>Iced American a little while ago</t>
  </si>
  <si>
    <t>Sam Smith ‚Äì Too Good at Goodbyes
¬†</t>
  </si>
  <si>
    <t>This painting makes me feel calm and uneasy, it let me feel the time is going through anywhere. The distort clock let me rethink the meaning of time differs from people to people.</t>
  </si>
  <si>
    <t>1000000$</t>
  </si>
  <si>
    <t>wine.</t>
  </si>
  <si>
    <t>The soundtrack will be peaceful, but we will be able to hear the rhythm like time passing, which like going through thousands of years.</t>
  </si>
  <si>
    <t>sad¬†
tired¬†
feels depressing and lonely¬†
hopeless
running out of time¬†
no hope left</t>
  </si>
  <si>
    <t>Bathroom,Office,Living room,Dining room</t>
  </si>
  <si>
    <t>burnt toast</t>
  </si>
  <si>
    <t>very sad and melancholic¬†
slow tempo with violins playing sadly in background¬†
womp womp</t>
  </si>
  <si>
    <t>makes me feel uncomfortable knowing that time is passing.¬†</t>
  </si>
  <si>
    <t>200 CAD</t>
  </si>
  <si>
    <t>spaghetti</t>
  </si>
  <si>
    <t>A tame impala album</t>
  </si>
  <si>
    <t>This painting makes me feel a little confused, but also quiet and calm. The melting clocks make time feel strange and unreal, like it doesn‚Äôt follow normal rules. The empty background feels lonely, which makes me think about time passing and how memories can fade. Overall, it feels like a dream that is slow and silent.</t>
  </si>
  <si>
    <t>A piece of pizza left out too long.</t>
  </si>
  <si>
    <t>The soundtrack would be slow and very quiet, with long pauses between sounds. Soft, stretched notes would drift in and out, like they‚Äôre bending and fading before fully settling. The tempo would feel uncertain, never quite steady, making it hard to tell where one moment ends and the next begins.</t>
  </si>
  <si>
    <t>It makes me feel uneasy and disoriented. It depresses me.¬†</t>
  </si>
  <si>
    <t>A cold and tasteless soup</t>
  </si>
  <si>
    <t>A slow and calm music, yet there's sadness or darkness in it. It gives the listener uneasiness.¬†</t>
  </si>
  <si>
    <t>this painting makes me feel like time is a warped concept as per the warped clocks.</t>
  </si>
  <si>
    <t>carrot</t>
  </si>
  <si>
    <t>smooth jazz</t>
  </si>
  <si>
    <t>The colors chosen in this painting makes me feel dull and a little uneasy.</t>
  </si>
  <si>
    <t>soup</t>
  </si>
  <si>
    <t>The soundtrack is a slow-burning, mix of soft strings and pulsing synths that creates a suspenseful, haunting mood.</t>
  </si>
  <si>
    <t>This painting mostly makes me feel uncomfortable and confused. It looks very strange, with everything warped and distorted, especially the way time seems to be shown. It feels like it is trying to say something about time or memory, but I‚Äôm not sure what exactly. The colours are quite dark and heavy, and the whole scene feels oddly still in a way that is not peaceful, more like a quiet that makes me uneasy. Overall, I don‚Äôt really like it and it does not give me any pleasant emotion.</t>
  </si>
  <si>
    <t>0 ‚Äì I personally would not buy this painting.</t>
  </si>
  <si>
    <t>If this painting was a food, it would be something unpleasant and hard to swallow. I imagine it as a dish with a strange, almost rotten taste, where the flavours don‚Äôt match and make you feel uneasy as you eat it. The texture would be soft and limp in a way that feels wrong, and there might be a bitter or metallic aftertaste that lingers in your mouth. It is not comforting or satisfying at all ‚Äì instead, it would be the kind of food that makes you lose your appetite and feel slightly disturbed, even after you stop eating.</t>
  </si>
  <si>
    <t>The soundtrack would be slow and minimal, with long, low notes that seem to hang in the air. There would be a soft, dull rhythm in the background, but nothing sharp or loud. The music would feel slightly out of tune or warped at times, creating a strange, heavy atmosphere. It would sound quiet on the surface, but underneath there would be a subtle tension that makes me feel a little uneasy.</t>
  </si>
  <si>
    <t>It makes me feel unsettled yet curious, like everything has a time and things are going to die. There‚Äôs a sense of distortion that pulls me in and makes me reflect on how fragile and strange reality can feel, just like the dripping clock. Also in the left corner there is a slab (looks like a mirror), which makes me question why is it there and what is the painter trying to depict here.</t>
  </si>
  <si>
    <t>m&amp;m cookies</t>
  </si>
  <si>
    <t>Slow, echoing tones with long pauses between notes, creating a stretched, surreal atmosphere that feels slightly uncomfortable, like water waves with no sound, but deeply immersive.</t>
  </si>
  <si>
    <t>alone and alarmed.¬†</t>
  </si>
  <si>
    <t>kiwi</t>
  </si>
  <si>
    <t>desolate harrowing note low tempo with fluid melodies slowly morphing into structured high tempo base and drums and back into mellow fluid but still odd melodies.¬†</t>
  </si>
  <si>
    <t>The passaway of time.</t>
  </si>
  <si>
    <t>The soundtrack will be very serene and tranquil.</t>
  </si>
  <si>
    <t>Weird cause there's hard things like watches that are soft and flimsy</t>
  </si>
  <si>
    <t>asparagus</t>
  </si>
  <si>
    <t>It would be uneasy sounds of nature</t>
  </si>
  <si>
    <t>Nostaligic, empty, floating in time.</t>
  </si>
  <si>
    <t>100000 CAD</t>
  </si>
  <si>
    <t>A homecooked meal like a stew.</t>
  </si>
  <si>
    <t>A calm, quiet piano melody.¬†</t>
  </si>
  <si>
    <t>It makes me question the concept of time and the time I have wasted throughout the years</t>
  </si>
  <si>
    <t>Day old bread</t>
  </si>
  <si>
    <t>Slow and quiet instrumental piece</t>
  </si>
  <si>
    <t>I feel disturbed. There is a lot happening in this painting. For example, why are the clocks melting? What is that red thing at the left? What is the white thing in the middle that one of the clocks is resting on? There are a lot of questions unanswered. Also, the difference between the background, which is serene and relaxing is quite stark against the objects in the foreground. I don't understand what the painting is trying to convey.</t>
  </si>
  <si>
    <t>Can of beans</t>
  </si>
  <si>
    <t>Unsettling instrumental, no lyrics, almost like horror movie music but a little more depressing than scary (not the type designed to increase your heart rate).</t>
  </si>
  <si>
    <t>The painting makes me feel old and sad and uneasy and reflective about my time here on Earth. I feel sad that time never stops and it keeps on going as I am stuck and reflecting on the memories of the past and the fleeting time I have.¬†
¬†
¬†
¬†</t>
  </si>
  <si>
    <t>dark chocolate</t>
  </si>
  <si>
    <t>A slow ambient track with soft long notes and pauses between sounds. Music would feel empty with little bit of tension as if it is building up to the never ending climax.¬†</t>
  </si>
  <si>
    <t>I find it slightly uncanny.</t>
  </si>
  <si>
    <t>expired Jell-O</t>
  </si>
  <si>
    <t>Ominous, largely monotone apart from a shrill sound in the background.</t>
  </si>
  <si>
    <t>anxious, sad, nostalgic</t>
  </si>
  <si>
    <t>Juice boxes</t>
  </si>
  <si>
    <t>A quiet wind sound with low piano in the background.¬†</t>
  </si>
  <si>
    <t>This painting makes me feel heat, like a day summer's day.¬†</t>
  </si>
  <si>
    <t>Crackers with olive tapenade</t>
  </si>
  <si>
    <t>A whistling wind, a slow accordion plays a wistful tune.¬†</t>
  </si>
  <si>
    <t>It makes me feel nostalgic.¬†</t>
  </si>
  <si>
    <t>grilled cheese</t>
  </si>
  <si>
    <t>a mellow, eerie tune.¬†</t>
  </si>
  <si>
    <t>Uneasy, and a little sad.</t>
  </si>
  <si>
    <t>Pie crust</t>
  </si>
  <si>
    <t>Solemn, slow tempo, cello as the only instrument</t>
  </si>
  <si>
    <t>Melancholic, bittersweet, peaceful</t>
  </si>
  <si>
    <t>Blueberry</t>
  </si>
  <si>
    <t>Classical piano sombre</t>
  </si>
  <si>
    <t>Personally, I don't see any emotion conveyed here- I googled what this painting was about and it confirmed my belief- it's not exactly trying to convey any certain emotion. Currently I am in a moody state, so I completely misinterpreted this.</t>
  </si>
  <si>
    <t>I would say $1,000,000 CAD due to it's beauty, and it's historical aura.</t>
  </si>
  <si>
    <t>French Onion with cheese</t>
  </si>
  <si>
    <t>Psychedelic, slow, monotonistic, sitar, no percussion, repetitive, unfixed tempo</t>
  </si>
  <si>
    <t>It makes me feel existential about the passage of time.¬†</t>
  </si>
  <si>
    <t>soggy waffles</t>
  </si>
  <si>
    <t>long, dragging notes, in a minor scale.¬†</t>
  </si>
  <si>
    <t>This painting makes me feel intrigued, slightly weird and uneasy.¬†</t>
  </si>
  <si>
    <t>Spaghetti</t>
  </si>
  <si>
    <t>Slow, reverb, smooth</t>
  </si>
  <si>
    <t>relaxed</t>
  </si>
  <si>
    <t>lemon water</t>
  </si>
  <si>
    <t>soft piano</t>
  </si>
  <si>
    <t>At first, the painting evokes a sense of confusion. As I continue to examine its details, however, I become increasingly fascinated and unsettled, especially due to the strong, striking colors used throughout the work.</t>
  </si>
  <si>
    <t>The soundtrack should start with silence, and then low, warm tones drift in. At the same time, in the back, sharp, metallic accents appear suddenly and fade just as fast. The same pattern repeats again and again and never stops.</t>
  </si>
  <si>
    <t>Makes me feel very insignificant as the human-made clocks are melting while nature stands the test of time. Reminds me of how we are a victim to time.</t>
  </si>
  <si>
    <t>It would be a dry whole-wheat sandwich.</t>
  </si>
  <si>
    <t>It would be some creepy sounding classical music.¬†</t>
  </si>
  <si>
    <t>The sorrow of the fleeting time and memories.</t>
  </si>
  <si>
    <t>The soundtrack would be slow, melancholic, but grows in intensity as the music goes on, with everything coming to an end and silence for a minute.</t>
  </si>
  <si>
    <t>The painting makes me feel about the way tie elapses with the depiction of clocks and the importance of time and enjoying the present.</t>
  </si>
  <si>
    <t>Pumpkin</t>
  </si>
  <si>
    <t>Time by Hans Zimmer</t>
  </si>
  <si>
    <t>This painting makes me feel uneasy because it reminds me of my own mortality</t>
  </si>
  <si>
    <t>I have no money :(. If I did, I would pay ~5k</t>
  </si>
  <si>
    <t>chocolate chip muffin.</t>
  </si>
  <si>
    <t>slow, synth, quiet.¬†</t>
  </si>
  <si>
    <t>feeling about everything dieing, the end of world.</t>
  </si>
  <si>
    <t>200 cad</t>
  </si>
  <si>
    <t>black coffee</t>
  </si>
  <si>
    <t>clock ticking, man moaning</t>
  </si>
  <si>
    <t>lonely, isolated, tired</t>
  </si>
  <si>
    <t>stale bread</t>
  </si>
  <si>
    <t>ocean sounds</t>
  </si>
  <si>
    <t>kinda peaceful and contemplative at the same time</t>
  </si>
  <si>
    <t>0, or actually youd have to pay me to take the painting just cause i dont have space and itd be annoying to hold onto</t>
  </si>
  <si>
    <t>spaghetti?</t>
  </si>
  <si>
    <t>violin/piano and sort of orchestral maybe</t>
  </si>
  <si>
    <t>Despair and a fear of wasting time</t>
  </si>
  <si>
    <t>bread</t>
  </si>
  <si>
    <t>sad pianos and violin</t>
  </si>
  <si>
    <t>The clock seemed to be lifeless and limp, its colors dull, making me feel uncomfortable and absurd at the same time.</t>
  </si>
  <si>
    <t>50 bucks</t>
  </si>
  <si>
    <t>bad milk</t>
  </si>
  <si>
    <t>The melody is deep and the rhythm is slow.</t>
  </si>
  <si>
    <t>I can feel the depression depicted in the image, the tree is died and the clocks are melted.</t>
  </si>
  <si>
    <t>Pizza.</t>
  </si>
  <si>
    <t>Intense, low tone, slow paced.</t>
  </si>
  <si>
    <t>Uneasy, anxious, slightly sad</t>
  </si>
  <si>
    <t>Pickles</t>
  </si>
  <si>
    <t>Slow, soft, melancholic, violin in the background, occasional unsettling spike in rhythm</t>
  </si>
  <si>
    <t>a bit melancholy. The distorted clocks looks out of energy, as if time has went by too quickly.</t>
  </si>
  <si>
    <t>caramel</t>
  </si>
  <si>
    <t>piano playing some slightly emotional music</t>
  </si>
  <si>
    <t>The dark piece in the bottom right corner makes me feel insecure; it's like a black hole that is sucking everything in.</t>
  </si>
  <si>
    <t>clicking sound, also heard sound of a crow.</t>
  </si>
  <si>
    <t>It makes me feel like I am trapped in a strange place where time has stopped/distorted. The melting objects make me feel a bit dizzy and confused, as if reality is warping around me. It feels lonely.</t>
  </si>
  <si>
    <t>It would be a slice of butter that has been left out in the hot sun for too long, starting to lose its shape and texture. Or maybe a very sticky caramel candy.</t>
  </si>
  <si>
    <t>A slow, warping electronic synthesizer sound with a clock ticking in a irregular speed. There is a low humming noise in the background, like distant wind in an empty desert.</t>
  </si>
  <si>
    <t>It makes me feel reflective, sad, and hopeless.</t>
  </si>
  <si>
    <t>the sound of rainfall drops and ticking of a mechanical gear</t>
  </si>
  <si>
    <t>I sense a strong connection with time, as the multiple clocks appeared in this artwork. I also noticed the texture of the clock is more fluid like, that conveys a sense of how time goes by quickly and unnoticeably.</t>
  </si>
  <si>
    <t>smoked meat</t>
  </si>
  <si>
    <t>the sound track would be like water dripping, but in a calmly manner, and also sadness involve.</t>
  </si>
  <si>
    <t>ËøôÂπÖÁîªÂ±û‰∫éÁé∞‰ª£Ëâ∫ÊúØÔºåÂÆÉËûçÂêà‰∫ÜËÆ∏Â§ö‰∏çÂêåÁöÑÂÖÉÁ¥†„ÄÇÁîª‰∏≠ÊúâÂæàÂ§öÊâ≠Êõ≤ÂèòÂΩ¢ÁöÑÈíüË°®ÔºåÊàëËÆ§‰∏∫ËøôË±°ÂæÅÁùÄÊó∂Èó¥ÁöÑÊµÅÈÄù„ÄÇÈªëÊöóÂàôÊöóÁ§∫ÁùÄÂú®ÂΩªÂ∫ïÁöÑÈªëÊöó‰∏≠ÔºåÂ¶ÇÂêåÂÆáÂÆôÁöÑÁªàÁªìÔºåÊó∂Èó¥ÂèòÂæóÊØ´Êó†ÊÑè‰πâÔºå‰∏ÄÁâáÊ∑∑‰π±„ÄÇÂÆÉËÆ©ÊàëÊÑüÂèóÂà∞ËôöÊó†‰∏ª‰πâ„ÄÇÂú®Êó∂Èó¥ÁöÑÂ∞∫Â∫¶‰∏ãÔºå‰∫∫Á±ªÁöÑÂ≠òÂú®ÂíåÂä™ÂäõÈÉΩÊòæÂæóÊØ´Êó†ÊÑè‰πâ„ÄÇ</t>
  </si>
  <si>
    <t>Bathroom,Living room</t>
  </si>
  <si>
    <t>Coworkers/Classmates,Strangers,By yourself</t>
  </si>
  <si>
    <t>Êó†Âë≥ÊòéËÉ∂</t>
  </si>
  <si>
    <t>ËäÇÂ•èÔºöÊÖ¢
Ë∞ÉÊÄßÔºöÂ∞èË∞É
ËäÇÂ•èÔºö‰ª•ÂùáÂåÄÁöÑÂÖ´ÂàÜÈü≥Á¨¶‰∏∫Âü∫Á°ÄÔºåÁ©øÊèíÁùÄÂá†‰∏™ÊåÅÁª≠Èü≥„ÄÇ</t>
  </si>
  <si>
    <t>Low-energy. Strange. Abstract. Uncanny. Not disturbing though. A feeling of lifelessness? Dullness, emptiness?</t>
  </si>
  <si>
    <t>Sandwich. Loaf of bread.</t>
  </si>
  <si>
    <t>Slow. Humming sounds. Background music. Acoustic guitar?</t>
  </si>
  <si>
    <t>I feel an immense sense of impending doom as time uncontrollably melts away without the means to stop it.</t>
  </si>
  <si>
    <t>Bedroom,Bathroom,Living room</t>
  </si>
  <si>
    <t>chocolate bar</t>
  </si>
  <si>
    <t>slow melancholic violins and rain.
also add a kalimba</t>
  </si>
  <si>
    <t>It helps me realize the fluidity of time because of the iconic melting clocks. It makes me feel uneasy but also curious. The melting clocks and empty landscape feel dreamlike, like time is slipping away. It reminds me of how strange and unreliable memory can be. It almost makes me feel anxious, like I‚Äôm losing control of time in a haunting way.</t>
  </si>
  <si>
    <t>A melting ice cream sundae</t>
  </si>
  <si>
    <t>A slow ambient soundtrack with echoing piano and distorted, fading tones. It feels dreamy but unsettling.</t>
  </si>
  <si>
    <t>lost, confused, not sure of a sense of time</t>
  </si>
  <si>
    <t>local cuisine, spicy bean dish</t>
  </si>
  <si>
    <t>uneasy, suspense soundtrack</t>
  </si>
  <si>
    <t>confused</t>
  </si>
  <si>
    <t>sad and gloomy</t>
  </si>
  <si>
    <t>This painting makes me feel lonely, like I'm waiting for something that will never come.</t>
  </si>
  <si>
    <t>Minced Beef</t>
  </si>
  <si>
    <t>Calm but dead sounding, and very empty (single/few tones)</t>
  </si>
  <si>
    <t>feels exhausted</t>
  </si>
  <si>
    <t>burger</t>
  </si>
  <si>
    <t>low sad sound</t>
  </si>
  <si>
    <t>Powerless</t>
  </si>
  <si>
    <t>Seaweed</t>
  </si>
  <si>
    <t>Violin solo</t>
  </si>
  <si>
    <t>existential, confused, worried, alone, anxious, stranded</t>
  </si>
  <si>
    <t>melted cheese and tomatoes that taste bad</t>
  </si>
  <si>
    <t>dizzy, spiralling, uneasy, incoherent</t>
  </si>
  <si>
    <t>This painting makes me feel contemplative and heavy at first glance, but seeing the sunrise in the background gives me a sense of hope beneath the quiet loneliness.</t>
  </si>
  <si>
    <t>800, sorry i dont value paintings that much</t>
  </si>
  <si>
    <t>Friends,Family members,Coworkers/Classmates,Strangers,By yourself</t>
  </si>
  <si>
    <t>cold roasted chicken</t>
  </si>
  <si>
    <t>Slow and quiet, with no lyrics. Deep, low notes move gradually, and over time they rise slightly, creating a gentle sense of progression without breaking the stillness.</t>
  </si>
  <si>
    <t>I feel a sense of loneliness in such world of absurdity.</t>
  </si>
  <si>
    <t>If for a copy, 0 cad, since I can just print it.¬†
If for the origin, 100 cad</t>
  </si>
  <si>
    <t>Hamburger with a mud patty inside.</t>
  </si>
  <si>
    <t>Quiet, hollow, universe-like white noise</t>
  </si>
  <si>
    <t>The painting makes me feel curious but calm. It makes me want to stop and take a closer look at it because it's message and intent is not clear to me.</t>
  </si>
  <si>
    <t>The soundtrack would have quiet and calm songs without many different sounds at once. The music is a little sad and not loud or dramatic.</t>
  </si>
  <si>
    <t>depressed, heavy</t>
  </si>
  <si>
    <t>popcorn</t>
  </si>
  <si>
    <t>blue, silent, strings</t>
  </si>
  <si>
    <t>The first impression I have on the piece is that it gives me a feeling of a kind of abstraction, everything is abnormal and the tone is quite "dark", seems like a beach in an utopia world during sunset.¬†</t>
  </si>
  <si>
    <t>100 bucks</t>
  </si>
  <si>
    <t>tomato</t>
  </si>
  <si>
    <t>it would be drums and very chill guitar just like the beginning of topgun anthem.¬†</t>
  </si>
  <si>
    <t>Precious memories are twisted by the emotions, time and space. The irresistable natural force that changes everything retains the least important details, making all that functions no longer. The dried tears and the unreachable pond is the metaphor of desperation.</t>
  </si>
  <si>
    <t>sauteed greens</t>
  </si>
  <si>
    <t>deep ambient, water-like calm music.</t>
  </si>
  <si>
    <t>I feel everything is fading, and lifeless.</t>
  </si>
  <si>
    <t>bitter gourd</t>
  </si>
  <si>
    <t>water slaping ground.</t>
  </si>
  <si>
    <t>This painting conveys a sad feeling since the colour palate is mostly dark. It feels as if it is trying to convey the idea that time is running out.¬†</t>
  </si>
  <si>
    <t>poutine</t>
  </si>
  <si>
    <t>I think it would be a calm but deep melody.¬†</t>
  </si>
  <si>
    <t>This painting makes me feel somber and reflective, prompting me to reminisce about the passage of time. It brings to mind the past, present, and future, along with the thoughts and emotions tied to each passing moment.</t>
  </si>
  <si>
    <t>Bedroom,Office,Living room,Dining room</t>
  </si>
  <si>
    <t>Cheeseburger</t>
  </si>
  <si>
    <t>The soundtrack would flow at a slow to medium pace, featuring a smooth, nostalgic melody. I imagine it would include subtle percussion instruments, like a lead piano and the occasional jingle of a triangle.</t>
  </si>
  <si>
    <t>abnormal, suffocating, effortless, lifeless</t>
  </si>
  <si>
    <t>coffee bread</t>
  </si>
  <si>
    <t>slow and rumbling, resembling a growl</t>
  </si>
  <si>
    <t>This painting makes me feel introspective and it makes me think about how I spend my time.</t>
  </si>
  <si>
    <t>Loaf of bread</t>
  </si>
  <si>
    <t>A sombre and slow track characterized by piano and violins.</t>
  </si>
  <si>
    <t>As if time is running out</t>
  </si>
  <si>
    <t>Steak</t>
  </si>
  <si>
    <t>tick tok tick tok</t>
  </si>
  <si>
    <t>sloppy, feels kind of lazy due to melting clock.
but yet further away having strong contrast to cool color and solid structure of hill, is contradiction making the emotion strong.</t>
  </si>
  <si>
    <t>100$? nice intuition and ideas but not striking nor detailed.</t>
  </si>
  <si>
    <t>bread, surface is hard inside is soft that kind of bread.</t>
  </si>
  <si>
    <t>like somewhere in Arizona, hot and wind blowing sound.</t>
  </si>
  <si>
    <t>The painting invokes a sense of serenity and general peace</t>
  </si>
  <si>
    <t>Chestnuts</t>
  </si>
  <si>
    <t>It would be an acoustic, peaceful, lullaby-like song</t>
  </si>
  <si>
    <t>Contemplative, I feel very observant to find all the details in this painting.¬†</t>
  </si>
  <si>
    <t>Bathroom,Living room,Dining room</t>
  </si>
  <si>
    <t>pancake</t>
  </si>
  <si>
    <t>somewhat soft, calm, very contemplative sort of piano.</t>
  </si>
  <si>
    <t>this painting makes me feel despair and a powerlessness, yet hopeful.</t>
  </si>
  <si>
    <t>multigrain bread</t>
  </si>
  <si>
    <t>it would be ethereal and ambient. It would be slow in tempo, and a little unnerving.</t>
  </si>
  <si>
    <t>It makes me feel calm and piece.¬† It seems as if time has stood still. ¬†It is very far from real life</t>
  </si>
  <si>
    <t>It is a soft light music, very smoothing.¬†It was interspersed with some crisp sounds</t>
  </si>
  <si>
    <t>sad, nostalgic, stressed</t>
  </si>
  <si>
    <t>intense and long</t>
  </si>
  <si>
    <t>The painting looks to be of a bleak, very hot land where everything sort of melts. It makes me feel sort of uneasy about trying to enter in this weird land.</t>
  </si>
  <si>
    <t>Grilled cheese</t>
  </si>
  <si>
    <t>Slow, mellow soundtrack, gives like Dune movie soundtrack vibes</t>
  </si>
  <si>
    <t>This painting makes me feel sad and kind of "droopy", and also gives me a sense of loneliness and despair.</t>
  </si>
  <si>
    <t>An orange</t>
  </si>
  <si>
    <t>It's a quiet piano melody, slow and played in a minor key. It is composed of mainly lower notes and doesn't have much progression.</t>
  </si>
  <si>
    <t>Confused, who would make floppy clocks. This would completely destroy its purpose.</t>
  </si>
  <si>
    <t>Cereal</t>
  </si>
  <si>
    <t>Eldritch Horror</t>
  </si>
  <si>
    <t>I feel like I am traveling during my summer vacation.¬†</t>
  </si>
  <si>
    <t>Ice-cream</t>
  </si>
  <si>
    <t>A peaceful, relaxing piano piece.</t>
  </si>
  <si>
    <t>unorganized</t>
  </si>
  <si>
    <t>any spoiled food</t>
  </si>
  <si>
    <t>slow and gloomy</t>
  </si>
  <si>
    <t>This painting made me feel as if time had stood still, and my thoughts and consciousness seemed to have slowed down. The bizarre shapes in the painting made me even more lost in thought and reverie.</t>
  </si>
  <si>
    <t>Yogurt</t>
  </si>
  <si>
    <t>This painting should be paired with a smoothing and gentle melody. It should bring people a sense of peace and tranquility.</t>
  </si>
  <si>
    <t>This painting makes me feel lethargic and as if things are slowing down.¬†</t>
  </si>
  <si>
    <t>A fudgy brownie</t>
  </si>
  <si>
    <t>Low reverb with slowed-down beats. Calming and slow to the point where it makes you uncomfortable.</t>
  </si>
  <si>
    <t>Anxious</t>
  </si>
  <si>
    <t>Lemon</t>
  </si>
  <si>
    <t>Slow, quiet, mysterious.</t>
  </si>
  <si>
    <t>sad, like time is fading away and there is nothing you can do about it.¬†</t>
  </si>
  <si>
    <t>hard boiled eggs</t>
  </si>
  <si>
    <t>organ-esque sounds with sad notes</t>
  </si>
  <si>
    <t>The multiple droopy clocks makes me feel negative at the fact that "time moves on" irrespective of my current sense of happiness or optimism, or lack thereof.</t>
  </si>
  <si>
    <t>$5 CAD</t>
  </si>
  <si>
    <t>Turkey sandwich</t>
  </si>
  <si>
    <t>slow, depressing, piano.</t>
  </si>
  <si>
    <t>Haunted and helpless</t>
  </si>
  <si>
    <t>Cheap cheese pizza</t>
  </si>
  <si>
    <t>Ambient, experimental, and terrifying, like The Caretaker's "Everywhere at the End of Time"</t>
  </si>
  <si>
    <t>This painting makes me feel sleepy, slow and also slightly depressed. It makes me feel like this is a pessimistic piece. It's also quite peaceful but also unsettling.</t>
  </si>
  <si>
    <t>Eggs</t>
  </si>
  <si>
    <t>Slow, dramatic, eerie, quiet</t>
  </si>
  <si>
    <t>very weired</t>
  </si>
  <si>
    <t>Office,Living room,Dining room</t>
  </si>
  <si>
    <t>flute</t>
  </si>
  <si>
    <t>This painting makes me feel a little sorrowful about how time changes the world around us and how eventually after enough time we will be forgotten.</t>
  </si>
  <si>
    <t>Whisky</t>
  </si>
  <si>
    <t>The soundtrack would be quiet with low from brass instruments and something like a cello along with violins playing a melancholy melody. It would consist of long sweeping chords that feel almost sad.</t>
  </si>
  <si>
    <t>This painting makes me feel miserable, like I'm dying, aware of my own mortality stitched with the passing of time.</t>
  </si>
  <si>
    <t>Shepard's Pie</t>
  </si>
  <si>
    <t>Gloomy, slow, lofi production.</t>
  </si>
  <si>
    <t>This painting makes me feel wistful, reflective, sluggish and a little unsettled.¬†</t>
  </si>
  <si>
    <t>french onion soup</t>
  </si>
  <si>
    <t>a slow, ambient type of soundtrack, experimental sound. The time signature changes. Atonal or lots of dissonance.¬†</t>
  </si>
  <si>
    <t>I feel calm, but I also feel bothered by the table, the branch, and the melting clocks. My eyes constantly stare at the ocean and the cliff because they remind me of freedom, whereas the clocks and shadows exist as constraints, which subconsciously remind me that freedom is not free. The poor tree branch also tells me that no one is immortal in this cruel world.</t>
  </si>
  <si>
    <t>I am willing to pay 20 CAD for this painting. This painting is too real it reminds me of reality.</t>
  </si>
  <si>
    <t>Gyubee Japanese BBQ. Enjoyed the unlimited beef glitch (happiness) until the 2-hour limit is up (melting clocks, reality).</t>
  </si>
  <si>
    <t>Lost In Yesterday by Tame Impala. Used:
¬†
Vintage-style Synth (By GPT):¬†Reminiscent feeling
Bass: Don't think too much, enjoy the moment.
¬†
The soundtrack evokes a sense of nostalgia, creating a stress-free environment.</t>
  </si>
  <si>
    <t>This painting makes me feel depressed. The constant reminder of time and it's passing makes me spiral about my life and its direction, and how fleeting life is. The clocks being droopy and laid out in a seemingly abandoned area make it even more depressing.</t>
  </si>
  <si>
    <t>Oatmeal</t>
  </si>
  <si>
    <t>It would be a dull constant tone, like the sound of a disconnected phone call.</t>
  </si>
  <si>
    <t>The painting makes me feel strange, confused and uneasy.</t>
  </si>
  <si>
    <t>It would be serious and sombre soundtrack with orchestral instruments. The melody would likely be in minor key.</t>
  </si>
  <si>
    <t>It makes me feel uncomfortable.¬†</t>
  </si>
  <si>
    <t>I would estimate the value of the painting to be around 200 million.¬†</t>
  </si>
  <si>
    <t>Heavy stew.</t>
  </si>
  <si>
    <t>Haunting, dark, and ominous. Something with a lot of strings and and maybe an organ. Something somber, melancholic, with a deep sound.¬†</t>
  </si>
  <si>
    <t>It makes me feel sad</t>
  </si>
  <si>
    <t>Friends,Coworkers/Classmates,Strangers</t>
  </si>
  <si>
    <t>intense soundtrack with classical instruments, kind of has a sad vibe.</t>
  </si>
  <si>
    <t>This paintining makes me feel the melancholic and reminds me of the passing of time. It makes me think about how experiences are momentary but captured in our memory.¬†</t>
  </si>
  <si>
    <t>Ice cream</t>
  </si>
  <si>
    <t>Tick tock tick tock, minor key, sad, discord</t>
  </si>
  <si>
    <t>It feels very desolate and lonely.</t>
  </si>
  <si>
    <t>ice cream</t>
  </si>
  <si>
    <t>It feels very calm, with occasional gentle piano notes appearing and fading.¬†</t>
  </si>
  <si>
    <t>The painting makes me feel uneasy because of the limp, melting form of the clocks that look so unusual and the use of dark colours for most of the background. The clock hanging on a tree branch looks the most disconcerting. The sun-lit shore looks hopeful but is too far off in the distance, which makes the scene feel sadder.</t>
  </si>
  <si>
    <t>Cold fries :(</t>
  </si>
  <si>
    <t>The soundtrack would have slow music, slightly sad sounding and instrumental, possibly classical.¬†</t>
  </si>
  <si>
    <t>It makes me feel uneasy, nervous and maybe a little sad.</t>
  </si>
  <si>
    <t>Oppenheimer</t>
  </si>
  <si>
    <t>I think the painting conveys a strong sense of melancholy and peace, with an element of surrealness that makes the environment in the painting seem empty or devoid of life.¬†</t>
  </si>
  <si>
    <t>Bedroom,Living room,Dining room</t>
  </si>
  <si>
    <t>Hard candy</t>
  </si>
  <si>
    <t>The soundtrack would likely be classical in genre, with a very melancholic feel to the tone and without a lot of bass instrumentals. Violin and stringed instruments would presumably be the main elements in the soundtrack.</t>
  </si>
  <si>
    <t>it makes me interested. I am trying to understand what is being conveyed by the artist</t>
  </si>
  <si>
    <t>25$</t>
  </si>
  <si>
    <t>steak</t>
  </si>
  <si>
    <t>soft rhythmic swooshing</t>
  </si>
  <si>
    <t>Reminding me to protect the environment and noticing me to cherish moments.</t>
  </si>
  <si>
    <t>Chocolate.</t>
  </si>
  <si>
    <t>The rhythm of this soundtrack is rapid, the melody is gloomy and depressing, and the lyrics are sorrowful.</t>
  </si>
  <si>
    <t>Sad, like time has slowly melted away.</t>
  </si>
  <si>
    <t>Piano, slow, classical music</t>
  </si>
  <si>
    <t>The painting makes me feel slightly anxious and confused.</t>
  </si>
  <si>
    <t>turkey sandwich</t>
  </si>
  <si>
    <t>The soundtrack would be very mysterious and anxiety-inducing.</t>
  </si>
  <si>
    <t>It makes me feel depressed, anxious, and sluggish.</t>
  </si>
  <si>
    <t>I would pay $12 for this painting.</t>
  </si>
  <si>
    <t>It would be a pretzel.</t>
  </si>
  <si>
    <t>The soundtrack would be a dark ambient piece, with a slow and eerie tone.</t>
  </si>
  <si>
    <t>This painting initially looks a bit weird, and gives me an unsettling feeling. Upon closer examination, there are several clocks that appear to be warping or melting. The rest is more abstract, just an unsettling background. The melting clocks seem like they are there to represent some metaphor, possibly about human interactions with time such as death or anxiety.</t>
  </si>
  <si>
    <t>I would not be willing to pay more than $5 for the painting. This is not a piece of artwork that I would want to own.</t>
  </si>
  <si>
    <t>Summer,Winter</t>
  </si>
  <si>
    <t>mashed potatoes</t>
  </si>
  <si>
    <t>The soundtrack is a very slow song, with deep (in terms of pitch) string instruments, such as a cello or bowed double bass. It is very dissonant.</t>
  </si>
  <si>
    <t>When observing the painting, I feel slight confusion and awe.</t>
  </si>
  <si>
    <t>Personally, I would pay up to 50 canadian dollars.</t>
  </si>
  <si>
    <t>If this painitng was a food, I would describe it as cinnamon rolls.¬†</t>
  </si>
  <si>
    <t>I feel that the generic elevator music would fit well for this painting.</t>
  </si>
  <si>
    <t>nostalgic, sad, empty, melancholic</t>
  </si>
  <si>
    <t>a melancholic piece with a varying tempos, and a motif that reappears in many different variations</t>
  </si>
  <si>
    <t>Chaotic¬†</t>
  </si>
  <si>
    <t>100 million¬†</t>
  </si>
  <si>
    <t>Butter¬†</t>
  </si>
  <si>
    <t>The sound when ice melting¬†</t>
  </si>
  <si>
    <t>I feel sad like time is drooping and melting away</t>
  </si>
  <si>
    <t>A bowl of noodles</t>
  </si>
  <si>
    <t>A weirdly peaceful soundtrack in a minor key</t>
  </si>
  <si>
    <t>It's a heavy feeling that's dense, muggy, depressing, and lethargic, like trying to read a difficult scientific paper on a hot and humid day.</t>
  </si>
  <si>
    <t>stale pizza</t>
  </si>
  <si>
    <t>Slow, melodic, and in a minor key, with few instruments that include a deep woodwind like a bassoon.</t>
  </si>
  <si>
    <t>The lines for the clocks are very sharp, which makes them stand out a lot, highlighting how time remains after everything else is gone. The overall mood appears to be desolate and dreary, with the lack of life and empty terrain.</t>
  </si>
  <si>
    <t>Pizza with pepperoni slices on it.</t>
  </si>
  <si>
    <t>A gloomy soundtrack that brings to mind death and decay.</t>
  </si>
  <si>
    <t>This painting makes me feel lonely and oddly calm. I would imagine this is where I go after I die. To a place where time loses its meaning and you're just alone with the universe, listening to its ebbs and flows.¬†</t>
  </si>
  <si>
    <t>White, unseasoned, rice that is cooked to perfection. You would have the rice with a japanese whisky so you can enjoy the after taste of the whisky and calm it down with the rice.</t>
  </si>
  <si>
    <t>I would listen to this sound track on long road trips. It would be calm, solmn, with steady techno beats in the background while the synth leads the main melody of the song with a continuous rhythm.¬†</t>
  </si>
  <si>
    <t>This painting makes me feel intrigued and curious. It makes me really think about its contents and what the message is. When looking at the painting, I want to understand what the artist was thinking. It is very unique and not indicative of the real world, making me think even harder about what message is supposed to be conveyed.</t>
  </si>
  <si>
    <t>30$</t>
  </si>
  <si>
    <t>I imagine the soundtrack would be either an entirely slow song, or a song that gets slower and slower. It would be soft and depressing too.</t>
  </si>
  <si>
    <t>The warped clocks seem to convey that memory lasts through time. It makes me feel nostalgic in some ways.</t>
  </si>
  <si>
    <t>Spring,Fall</t>
  </si>
  <si>
    <t>Something warm and bright, like tomato soup</t>
  </si>
  <si>
    <t>Slow calm serenade</t>
  </si>
  <si>
    <t>I feel bad. The island was deserted and uninhabited; the clocks were bent and folded, as if evaporating and flowing away‚Äîa desolate and forlorn scene, as if isolated from the world and forgotten on the island.</t>
  </si>
  <si>
    <t>around 5 dollars</t>
  </si>
  <si>
    <t>It will be spaghetti. Especially the kind where the noodles are stiff, the meat sauce is not fresh, and it looks unappetizing.</t>
  </si>
  <si>
    <t>The music is very sad and slow, conveying a sense of sorrow and desolation.</t>
  </si>
  <si>
    <t>Confusion and vague foreboding, like something bad happened here</t>
  </si>
  <si>
    <t>Salmon</t>
  </si>
  <si>
    <t>Discordant, high-pitched violins punctuated by silence</t>
  </si>
  <si>
    <t>It makes me feeled somewhat at peace but also uneasy</t>
  </si>
  <si>
    <t>eggs</t>
  </si>
  <si>
    <t>The soundtrack would be a wave hitting the ground</t>
  </si>
  <si>
    <t>this is an abnormal painting, makes me feel like time and the clock is melting down, very pathetic and makes me wonder if it is the desert in the background that melts the time or someone else. We can physically melt down clock but not time.¬†</t>
  </si>
  <si>
    <t>Personally I am more optimistic so this painting is not the type I will buy. So maybe $100</t>
  </si>
  <si>
    <t>it would be a spicy food, like tacos. Because some tacos can be really spicy and hot which makes me unhappy.¬†</t>
  </si>
  <si>
    <t>the sound track of clicking sounds, hot wind blowing, maybe some cowboy sounds.¬†</t>
  </si>
  <si>
    <t>Melty, time slipping by</t>
  </si>
  <si>
    <t>Extremely old wine</t>
  </si>
  <si>
    <t>A song that makes you feel very aware of the passage of time and forgetting the past</t>
  </si>
  <si>
    <t>This painting feels depressing. I feel like its contents perfectly embody nihilism. It makes me feel like there is no hope in the future.</t>
  </si>
  <si>
    <t>A slow song with a soft violin in the background and ambient background noises.</t>
  </si>
  <si>
    <t>We all have memories that we are unable to forget no matter how much time has passed. The painting makes me think of what is my persistence memory? is it a bad memory that i am still trapped or a good one that i cherish dearly? the painting illustrated the time as it is thinning so much that it can sit on the thin branch of tree¬†</t>
  </si>
  <si>
    <t>steamed dumplings</t>
  </si>
  <si>
    <t>time is flipping away and the people we shared the memories may not be present with us but the memories are still there</t>
  </si>
  <si>
    <t>This painting makes me feel quietly uneasy, but also strangely calm. The melting clocks give me that sinking, dreamlike feeling of time slipping away, like minutes and hours aren‚Äôt solid anymore. It reminds me of those moments when you‚Äôre exhausted or stressed and the day blurs together‚Äîtime feels stretchy, unreal, and hard to control.
¬†</t>
  </si>
  <si>
    <t>slightly-melted ice cream</t>
  </si>
  <si>
    <t>It would sound like a slow, dream-bent ambient track that barely moves forward‚Äîmore like it floats</t>
  </si>
  <si>
    <t>Nostalgic, aging, temporary</t>
  </si>
  <si>
    <t>Fruit bowl</t>
  </si>
  <si>
    <t>Ambient noises, wind, nature noises</t>
  </si>
  <si>
    <t>Warm</t>
  </si>
  <si>
    <t>Pancake</t>
  </si>
  <si>
    <t>Sombre</t>
  </si>
  <si>
    <t>It makes me feel slightly weird and uneasy, and reflective, as if time has slowed down and reality feels uncertain.</t>
  </si>
  <si>
    <t>Melted cheese</t>
  </si>
  <si>
    <t>The footsteps of a high school teacher in the back of the classroom</t>
  </si>
  <si>
    <t>I feel sadness and doom because the painting describes time slipping away in the foreground while a beautiful sunrise or sunset is appearing on the horizon.¬†</t>
  </si>
  <si>
    <t>Catholic classical orchestral melody with church choir singing and lots of dynamics.¬†</t>
  </si>
  <si>
    <t>The painting makes me feel a sense of exhaustion, gloom, nervousness and sadness.</t>
  </si>
  <si>
    <t>If I had to purchase this painting, I would pay 100 dollars.</t>
  </si>
  <si>
    <t>A cold bowl of ground beef and rice</t>
  </si>
  <si>
    <t>A string quartet that plays mostly dissonant sounds, with hints of happy harmony here and there, but still mostly negative sound.</t>
  </si>
  <si>
    <t>This painting evokes a sense of unease and contemplation. The strange, melting objects create a dreamlike atmosphere that feels both fascinating and slightly disturbing. It makes me feel like time itself is bending and becoming unreliable, which creates a reflective mood about the nature of reality and perception.</t>
  </si>
  <si>
    <t>Melted cheese on toast - something that's transformed from its original form into something droopy and soft, with warm golden colors that mirror the painting's palette.</t>
  </si>
  <si>
    <t>A slow, ambient piece with echoing piano notes that seem to stretch and distort. Occasional deep, resonant tones create a sense of vast emptiness, while gentle synthesizer waves suggest something gradually softening and dissolving. The tempo would be unhurried, almost as if time itself is moving differently.</t>
  </si>
  <si>
    <t>unsettled and uneasy and a certain strangeness, but also serene and peaceful. There is also a sense of sleepiness and passage of time.</t>
  </si>
  <si>
    <t>Meat stew</t>
  </si>
  <si>
    <t>Slow tempo and somber but warm low strings with occasional dissonant and creepy higher strings.¬†</t>
  </si>
  <si>
    <t>It leaves me feeling hollow, contemplating the nature of time and those imperfect pasts. Reflecting on how they fade within time and eventually melt together.</t>
  </si>
  <si>
    <t>Dried bread</t>
  </si>
  <si>
    <t>The soundtrack features monochromatic music with repetitive rhythms and melodies, punctuated by occasional dissonance after a few notes. Overall, it conveys a sense of vastness and desolation.</t>
  </si>
  <si>
    <t>it feels calm and a little desolate with all the empty space, but also a bit unusual since it is not an image typically seen in our real world</t>
  </si>
  <si>
    <t>Family members,Coworkers/Classmates</t>
  </si>
  <si>
    <t>roasted duck</t>
  </si>
  <si>
    <t>it would be slow and gradually getting louder, played with maybe a piano</t>
  </si>
  <si>
    <t>This painting makes me feel slightly hopeless and numb inside.</t>
  </si>
  <si>
    <t>alcohol</t>
  </si>
  <si>
    <t>rhythmic and depressing sounding, medium tempo, violins</t>
  </si>
  <si>
    <t>nostalgic, wistful, scattered</t>
  </si>
  <si>
    <t>white bread</t>
  </si>
  <si>
    <t>muted tremolo in the cello and double basses section sparsely interjected by rapid, restless atonal figures on an oboe; harmonically ambiguous with unsettled meter; feels fleeting and ambiguous, fragmented</t>
  </si>
  <si>
    <t>I was a little surprised and felt it was weird at first, because the elements in the painting are organized and shaped in a bizarre way that I'm sure they would never appear in real life.
This painting also gives me a sad and calm feeling, as if nothing matters anymore and the world is fading off.</t>
  </si>
  <si>
    <t>Bedroom,Office,Living room</t>
  </si>
  <si>
    <t>very plain noodles</t>
  </si>
  <si>
    <t>Calm, steady, like the lo-fi study music, and will eventually fade off into nil.</t>
  </si>
  <si>
    <t>This surrealist painting makes me feel that the time passes as slow and as fast as it can at the same time. Also, it makes me feel like time captures and surpasses everything and all.¬†</t>
  </si>
  <si>
    <t>Onion soup</t>
  </si>
  <si>
    <t>This soundtrack would consist of just one instrument, a piano, no lyrics. It speeds up, slows down, in an unusual and harmonical way, similar to time (or the perception of time) itself.</t>
  </si>
  <si>
    <t>The clocks being dried out all over a desert dry area makes it seem like time is scarce and dry in the world; it means to valuable time and how limited time is for our lives. It shows how time is fluid, and how time always passes, but also leaves memories with us; memory fades and turns into a soup of ideas, which shows the strange assortment of things around in the environment of the drawing.</t>
  </si>
  <si>
    <t>I would pay $100 for this painting. It is cool, but the thought of having this around my house when the painting is quite gloomy is something I don't really have a desire for.</t>
  </si>
  <si>
    <t>It would be something like my mother's cooking, like dumplings or baozi, something persistent throughout my life and hold fond memories for me, but also quite blurry given how many times I've consumed that food.</t>
  </si>
  <si>
    <t>To me, it reminds me of "a burning memory," which was an experimental album meant to simulate dementia. To me, it follows similar themes in long nostalgic, yet not fully known melodies meant to poke at the brain in terms of memories which are fuzzy and not fully clear due to the passage of time (and for the album, simulation of dementia).</t>
  </si>
  <si>
    <t>This painting makes me feel reflective on how valuable memories are, and how, as time goes on, some memories start to fade and will never be re-experienced again.</t>
  </si>
  <si>
    <t>The soundtrack would be quite dull and moody, with a touch of nature sounds.</t>
  </si>
  <si>
    <t>Inspired and a bit weird in a good way.</t>
  </si>
  <si>
    <t>100 000</t>
  </si>
  <si>
    <t>Coq au Vin</t>
  </si>
  <si>
    <t>serene, odd and experimental</t>
  </si>
  <si>
    <t>Isolated and confused about the clocks</t>
  </si>
  <si>
    <t>duck</t>
  </si>
  <si>
    <t>quiet, maybe some water noises</t>
  </si>
  <si>
    <t>Sadness and loneliness, like the end of the time.</t>
  </si>
  <si>
    <t>Piano and violin</t>
  </si>
  <si>
    <t>This painting makes me feel confused. There are so many things that at first glance seem normal, but on further inspection are revealed to not be what I thought.</t>
  </si>
  <si>
    <t>Bean salad</t>
  </si>
  <si>
    <t>The soundtrack would be composed of synth techno music. It would have an otherworldly feel.</t>
  </si>
  <si>
    <t>This painting makes me feel dispirited.</t>
  </si>
  <si>
    <t>Bread bun.</t>
  </si>
  <si>
    <t>There is a steady, quiet slow, regular, and distant ticking. No voices. No movement.</t>
  </si>
  <si>
    <t>This painting is really abstract and gives me a lonely feeling.</t>
  </si>
  <si>
    <t>Very emotional and slow</t>
  </si>
  <si>
    <t>This painting gives me a sense of loneliness and quiet despair. The dark, empty landscape feels lifeless and abandoned, which creates a hopeless and depressive mood. The melting clocks make time appear weak and unstable, as if reality itself is dissolving. This loss of structure feels unsettling and slightly frightening, especially combined with the strange distorted figure and symbols of decay. Overall, the painting makes me feel uneasy, sad, and disturbed, as though time is slipping away in a silent, dreamlike world.</t>
  </si>
  <si>
    <t>whey</t>
  </si>
  <si>
    <t>I imagine the soundtrack beginning with a slow, heavy, depressing bass that creates a dark and empty emotional space, followed by cello and viola weaving in low, grave melodies that feel mournful and dragging, as if weighed down by sorrow. Then violin and flute float above with thin, distant lines that add fragility rather than comfort, making the atmosphere feel unstable and detached. Finally, sharp high piano notes cut through unexpectedly, creating an awkward and eerie tension that disturbs the fragile calm, leaving the whole piece unresolved, unsettling, and filled with quiet psychological unease.</t>
  </si>
  <si>
    <t>It makes me feel deflated like the clocks, like time is being wasted away</t>
  </si>
  <si>
    <t>Penne bolognese with a brandy manhatan</t>
  </si>
  <si>
    <t>It would be a slow paced, somber song with no words. It is just the sound track that makes the emotions of the painting come to life</t>
  </si>
  <si>
    <t>The Starry Night</t>
  </si>
  <si>
    <t>Woozy</t>
  </si>
  <si>
    <t>Escargot</t>
  </si>
  <si>
    <t>A psychedelic song, with almost unintelligible lyrics.</t>
  </si>
  <si>
    <t>s</t>
  </si>
  <si>
    <t>@000</t>
  </si>
  <si>
    <t>It makes me feel really happy because i have good memories linked to this painting. It is also nostalgic, and calm. A sense of wonder and imagination.</t>
  </si>
  <si>
    <t>700 dollars.</t>
  </si>
  <si>
    <t>Soup, in a cold day.</t>
  </si>
  <si>
    <t>La la land soundtrack</t>
  </si>
  <si>
    <t>It makes me feel calm and in awe, as if I were transported to a more soothing parallel universe.</t>
  </si>
  <si>
    <t>Cold noodles</t>
  </si>
  <si>
    <t>It should sound content and upbeat without being too fiery, evoking a scene of reminiscing of a brilliant night out.</t>
  </si>
  <si>
    <t>Dreamy, Unrealistic, Calm</t>
  </si>
  <si>
    <t>Spring,Summer,Fall,Winter</t>
  </si>
  <si>
    <t>A treat like chocolate or cupcakes.</t>
  </si>
  <si>
    <t>A melancholy relaxing piece of orchestra</t>
  </si>
  <si>
    <t>Makes me feel calm, reminiscent of staring at the moon on a dark night.</t>
  </si>
  <si>
    <t>A bowl of ramen with a hearty broth.</t>
  </si>
  <si>
    <t>Something like "Prisonic Fairytale" from the Silent Hill 2 Soundtrack.</t>
  </si>
  <si>
    <t>calm, serene</t>
  </si>
  <si>
    <t>duck confit</t>
  </si>
  <si>
    <t>dinnertime jazz</t>
  </si>
  <si>
    <t>It makes me feel hopeful for the future, and brings something ethereal out of the ordinary.</t>
  </si>
  <si>
    <t>Tomato and scrambled eggs with rice</t>
  </si>
  <si>
    <t>The soundtrack would be cheerful and hopeful. As if the artist had a breakthrough and was in state of peace and awareness.</t>
  </si>
  <si>
    <t>Entranced</t>
  </si>
  <si>
    <t>Bedroom,Dining room</t>
  </si>
  <si>
    <t>Friends,Strangers</t>
  </si>
  <si>
    <t>Blueberries</t>
  </si>
  <si>
    <t>Nighttime mix</t>
  </si>
  <si>
    <t>I feel like I‚Äôm in a dream.</t>
  </si>
  <si>
    <t>Friends,Family members,Coworkers/Classmates,Strangers</t>
  </si>
  <si>
    <t>Summer,Fall,Winter</t>
  </si>
  <si>
    <t>Cold decaf coffee.</t>
  </si>
  <si>
    <t>Calm, sleepy, fantasy.</t>
  </si>
  <si>
    <t>I fell lonely and wonder.</t>
  </si>
  <si>
    <t>10 000 000$</t>
  </si>
  <si>
    <t>ramen</t>
  </si>
  <si>
    <t>a very quiet and lower tone soundtrack</t>
  </si>
  <si>
    <t>The painting makes me feel calm. It reminds me of quietness as if the quiet streets and the sky swirl around when I have an alone-time to myself. The amount of noise I ingest from the world is reduced by the blurriness of the details.</t>
  </si>
  <si>
    <t>I closely associate this painting with Chopin's Nocturne op.9 no.2. A piano piece with calm rhythm, with distinct notes. Harmonic but not too much.</t>
  </si>
  <si>
    <t>The painting makes me feel peaceful.</t>
  </si>
  <si>
    <t>Blueberry pie</t>
  </si>
  <si>
    <t>Calming classical music. Probably quite quiet.</t>
  </si>
  <si>
    <t>This painting makes me happy. Just like after a good day of having fun with friends.</t>
  </si>
  <si>
    <t>Jolly Ranchers</t>
  </si>
  <si>
    <t>This soundtrack would have piano and violin as a duet playing ballads.¬†</t>
  </si>
  <si>
    <t>This painting make me feel strong but also calm. Sky look moving and alive. It feel big and emotional, like thinking too much at night.</t>
  </si>
  <si>
    <t>Pie</t>
  </si>
  <si>
    <t>The soundtrack is soft but powerful. Sound go up and down like wave. Music feel spinning and emotional</t>
  </si>
  <si>
    <t>Amazed and stunned by the beauty of the universe</t>
  </si>
  <si>
    <t>40,000$</t>
  </si>
  <si>
    <t>Cake¬†</t>
  </si>
  <si>
    <t>piano piece that is fast and loud</t>
  </si>
  <si>
    <t>Sorrow, dreamlike, loneliness¬†</t>
  </si>
  <si>
    <t>A bowl of black garlic miso ramen.</t>
  </si>
  <si>
    <t>Softly. A solon piano or muted strings trace a slow, circular motif, repeating with slight variations.</t>
  </si>
  <si>
    <t>Makes me feel small and insignificant yet calm and serene¬†</t>
  </si>
  <si>
    <t>Hot chocolate</t>
  </si>
  <si>
    <t>Electronic synths and bells, very serene</t>
  </si>
  <si>
    <t>¬†A bit uneasy because the sky above the city is so disturbing in a sense¬†</t>
  </si>
  <si>
    <t>A cup of tea/coffee</t>
  </si>
  <si>
    <t>A calm soundtrack with a soft/light beat, but some background noise that is eerie in some sense.¬†</t>
  </si>
  <si>
    <t>mystical and magical, yet surreal</t>
  </si>
  <si>
    <t>Apple pie</t>
  </si>
  <si>
    <t>A chime playing a duo with a harpsichord, an arpeggio from both, in a repeated fashion, which gets somewhat hypnotizing by the end.</t>
  </si>
  <si>
    <t>happy</t>
  </si>
  <si>
    <t>blueberry</t>
  </si>
  <si>
    <t>classical music with violins</t>
  </si>
  <si>
    <t>It makes me feel that the scene looks calm on the surface, but there is a sense of hidden tension underneath, like the view you see when walking down the street while slightly drunk.</t>
  </si>
  <si>
    <t>It sounds like soothing instrumental music, combined with background sounds from everyday life.</t>
  </si>
  <si>
    <t>Like I am back in my childhood, where dreams and imagination are all that make up my thoughts, and the idea of exploring the unknown is my greatest interest. I feel as if I am both excited and at peace to see the world for all its beauty.</t>
  </si>
  <si>
    <t>Spring,Summer,Fall</t>
  </si>
  <si>
    <t>A hamburger</t>
  </si>
  <si>
    <t>A piano plays with high keys to create a calm, soothing and joyous melody that serves as a good background track to accompany positive emotions but not to create them. The soundtrack sounds curious and exploratory with classical instruments playing a soft hum.</t>
  </si>
  <si>
    <t>Relaxed and dreamy.</t>
  </si>
  <si>
    <t>Blueberry Pancakes</t>
  </si>
  <si>
    <t>Relaxing classical music with piano/keyboard, with a calming and slow tempo, and low energy.</t>
  </si>
  <si>
    <t>Chaotic and scared</t>
  </si>
  <si>
    <t>Around $1000</t>
  </si>
  <si>
    <t>Spicy noodles</t>
  </si>
  <si>
    <t>I'd imagine something more happy or chaotic. Maybe similar to a song that would play during a fight scene.</t>
  </si>
  <si>
    <t>mirrors spiralling thoughts inside a calm facade</t>
  </si>
  <si>
    <t>blueberry cake</t>
  </si>
  <si>
    <t>soft piano tunes with uneven crescendos¬†</t>
  </si>
  <si>
    <t>Curious.</t>
  </si>
  <si>
    <t>Chicken noodle soup</t>
  </si>
  <si>
    <t>Something Frank Sinatra.</t>
  </si>
  <si>
    <t>Very calm and peaceful. IT makes me feel relaxed</t>
  </si>
  <si>
    <t>Atlantic Salmon</t>
  </si>
  <si>
    <t>A calming and relaxing piece played by a piano. like The Piano Sonata No. 14¬†</t>
  </si>
  <si>
    <t>Peaceful, tired</t>
  </si>
  <si>
    <t>slow but more upbeat music¬†</t>
  </si>
  <si>
    <t>This painting makes feel nostalgic and at peace.</t>
  </si>
  <si>
    <t>Dragonfruit</t>
  </si>
  <si>
    <t>The soundtrack would be calm and instrumental, with an emphasis on piano.</t>
  </si>
  <si>
    <t>It makes me feel a sense of wonder from the vivid swirls of stars in the sky, and at the beauty of the night sky conveyed by the artists technique.¬†</t>
  </si>
  <si>
    <t>Spring,Winter</t>
  </si>
  <si>
    <t>Chopin's Nocturne in E-Flat Major, Op. 9, No. 2, or Debussy's Clair de Lune - graceful piano, in major key, reminding you of the nighttime, or moonlight - not sombre, but almost mystical or reflective</t>
  </si>
  <si>
    <t>The movement in the scene feels alive, as if the world is constantly shifting and breathing, which creates a sense of emotional intensity. It feels expressive and emotional, but not hopeless.</t>
  </si>
  <si>
    <t>It would be like a strong, rich soup.</t>
  </si>
  <si>
    <t>The soundtrack would be fast-moving and emotionally charged, with repeating patterns that rise and fall in intensity.</t>
  </si>
  <si>
    <t>feel nothing</t>
  </si>
  <si>
    <t>Hanamaki</t>
  </si>
  <si>
    <t>Symphony for Orchestra</t>
  </si>
  <si>
    <t>Makes me feel very dreamy and dazzling.¬†</t>
  </si>
  <si>
    <t>Pudding¬†</t>
  </si>
  <si>
    <t>It would be like a lullaby</t>
  </si>
  <si>
    <t>It makes me feel somewhat sad and overwhelmed.¬†</t>
  </si>
  <si>
    <t>apple pie</t>
  </si>
  <si>
    <t>horror</t>
  </si>
  <si>
    <t>intrigued</t>
  </si>
  <si>
    <t>whitenoise</t>
  </si>
  <si>
    <t>Calm and peace.</t>
  </si>
  <si>
    <t>Soda.</t>
  </si>
  <si>
    <t>A summer night breeze, gentle waves, and the faint sound of something falling from the sky.</t>
  </si>
  <si>
    <t>Dreamy and serene</t>
  </si>
  <si>
    <t>looping arpeggiated piano</t>
  </si>
  <si>
    <t>It makes me feel thoughtful, wishful, and dreamy.¬†</t>
  </si>
  <si>
    <t>This soundtrack would be very dreamy and elegant, light notes, very wistful. Light classical music that builds up to a very loud crescendo.¬†</t>
  </si>
  <si>
    <t>Calm, Interested, Drawn</t>
  </si>
  <si>
    <t>Blueberry and Miso Cheesecake</t>
  </si>
  <si>
    <t>Piano solo. Captivating, Intense sometimes, slow sometimes.</t>
  </si>
  <si>
    <t>This painting calms me, letting go of distracting thoughts, leaving me to quietly appreciate the beauty.</t>
  </si>
  <si>
    <t>Coffee with beautiful latte art</t>
  </si>
  <si>
    <t>This will be a vibrant piece of instrumental music, evoking a sense of surging energy.</t>
  </si>
  <si>
    <t>It makes me feel anxious, excited, at awe, cold, and nostalgic.</t>
  </si>
  <si>
    <t>ice cream sandwich</t>
  </si>
  <si>
    <t>Initially calm and quiet, gradually become louder and more exiting, and then finally back to quiet and calm. Include the piano.</t>
  </si>
  <si>
    <t>It feels lonely.</t>
  </si>
  <si>
    <t>Cream Pie</t>
  </si>
  <si>
    <t>peaceful and wonder</t>
  </si>
  <si>
    <t>cuttlefish ink spaghetti</t>
  </si>
  <si>
    <t>twinkling candles, calm wind, sound of forest, birds chirping, quiet, peace</t>
  </si>
  <si>
    <t>This picture made me feel emotional and intense, a bit on edge even</t>
  </si>
  <si>
    <t>Curry</t>
  </si>
  <si>
    <t>A mash, sometimes a cacophony, of sounds. Quiet at times, loud at other times, but ever-present</t>
  </si>
  <si>
    <t>The painting makes me feel joyful as if met with the ecstatic smile of children. The painting portrays a calm and playful nature as the colours surround the sun and use of bright colours pop the painting. Especially, the painting feels inclusive and very secure. There stands a huge bolder or tree that stands as the "guardian" for the little houses and the villages below. Thus, this portrays a sense of protection of the village by the big tree and sun. Also the cloud or stars wrapping around the sun gives amazing harmony on the sky and creates a celebration.</t>
  </si>
  <si>
    <t>Baby Lullaby</t>
  </si>
  <si>
    <t>hopeful but sad, cold, eery</t>
  </si>
  <si>
    <t>cinnamon bun</t>
  </si>
  <si>
    <t>gentle, quiet, mellow¬†</t>
  </si>
  <si>
    <t>The painting makes me feel calm and at ease. It envelopes me in a cool atmosphere.¬†</t>
  </si>
  <si>
    <t>A dark chocolate ice cream.¬†</t>
  </si>
  <si>
    <t>Icy yet soothing ambient music.¬†</t>
  </si>
  <si>
    <t>It makes me feel in awe.</t>
  </si>
  <si>
    <t>A high-end steak.</t>
  </si>
  <si>
    <t>The soundtrack would feel grand and magnificent, built around rich, classical tones that carry a sense of beauty and emotional weight. The music swells slowly, with layered harmonies that feel powerful yet restrained, creating an atmosphere that is both awe-inspiring and deeply moving. There is a dignified intensity to the sound, as if the music is reaching toward something vast and timeless.</t>
  </si>
  <si>
    <t>Painting makes me feel pretty happy. I feel like I'm sitting on top of a grassy hill, finally content with where I'm at in life.¬†</t>
  </si>
  <si>
    <t>Strawberry shortcake
¬†</t>
  </si>
  <si>
    <t>Spring - vivaldi</t>
  </si>
  <si>
    <t>Happy, calm, contemplative, wistful</t>
  </si>
  <si>
    <t>Creme brulee</t>
  </si>
  <si>
    <t>Something cascading, without vocals, with sparkling, lush strings</t>
  </si>
  <si>
    <t>This painting makes me feel a combination of chaos and melancholy.¬† It has elements which evoke a sense of calm as well as elements that bring a sense of stress and tension for what is to¬† come. ¬† Overall, it feels like a balance between anxiety and sadness.</t>
  </si>
  <si>
    <t>I would pay about $2000 for this painting.¬† It is sombre, chaotic but it also tells a story.¬†¬†</t>
  </si>
  <si>
    <t>If this painting were a food, it would be hot honey. At first, it tastes familiar and sweet, but it quickly delivers an unexpected kick. This reflects how the painting initially feels calm, yet reveals a strong sense of chaos and emotional intensity the longer you look at it.</t>
  </si>
  <si>
    <t>I imagine that the soundtrack would be a rock-opera style soundtrack which switches between soft calm, moments and loud chaotic moments.¬† The soundtrack would be emotionally intense in some moments and calm and reflective in others.¬†</t>
  </si>
  <si>
    <t>dreamy and flowy</t>
  </si>
  <si>
    <t>salad</t>
  </si>
  <si>
    <t>strings that are very emotionally powerful and sad</t>
  </si>
  <si>
    <t>It makes me feel emotional but in a good way. There‚Äôs a lot going on, but it still feels kind of comforting and familiar. Feels like when you‚Äôre looking at the sky when you can‚Äôt sleep.</t>
  </si>
  <si>
    <t>Blueberry cheesecake¬†</t>
  </si>
  <si>
    <t>Interstellar soundtrack. Something powerful. Emotional music that builds and falls, with a lot of movement and energy. It feels intense but also kind of comforting. Definitely something dramatic.¬†</t>
  </si>
  <si>
    <t>This piece makes me feel a sense of wonder. The "starry skies" feel like a cosmic storm, some other awe-inspiring event. But the perspective, behind away from the town, on some hill alone also invokes a sense of solitude and loneliness.¬†</t>
  </si>
  <si>
    <t>$150.¬†</t>
  </si>
  <si>
    <t>Like a blue ice cream. Maybe some gelato or soft serve to emphasize the swirls.¬†</t>
  </si>
  <si>
    <t>Some orchestral beat to that begins low and slowly gains tempo of volume.¬†</t>
  </si>
  <si>
    <t>Melancholic.</t>
  </si>
  <si>
    <t>Mozart/classical music, orchestra</t>
  </si>
  <si>
    <t>Wonder, Awe, Amazement, Joy</t>
  </si>
  <si>
    <t>Dark Chocolate Truffle</t>
  </si>
  <si>
    <t>A piece of music by Tchaikovsky such as Swan Lake or the Nutcracker. Full of wonder, awe, beauty, and emotion.</t>
  </si>
  <si>
    <t>It makes me feel as though time has stopped. Everything seems to be flowing, yet frozen at the same moment, creating a strange mix of movement and stillness.</t>
  </si>
  <si>
    <t>blueberry cheesecake swirly design</t>
  </si>
  <si>
    <t>funky and slow beat music</t>
  </si>
  <si>
    <t>Makes me feel wistful, hopeful, nostalgic. It makes me feel cold but comforted.</t>
  </si>
  <si>
    <t>Marshmallows.</t>
  </si>
  <si>
    <t>Soft piano, violins, dramatic crescendos. Something calm and meandering.</t>
  </si>
  <si>
    <t>This painting makes me feel a bit melancholic and emotinal</t>
  </si>
  <si>
    <t>It would be a slow song played mostly with a low electro guitar beat and bass.</t>
  </si>
  <si>
    <t>This painting makes me understand the eccentric side of art. I feel all knowing, connected with the skies and see patterns in the natural world better.</t>
  </si>
  <si>
    <t>A sponge cake covered with subtle and not too sweet white frosting, topped with canned peaches, blue berries, kiwi, and a singular maraschino cherry.</t>
  </si>
  <si>
    <t>A church organ that is very loud, unstable, and changes notes very frequently.</t>
  </si>
  <si>
    <t>It makes me feel somber and calm, with nostalgia.</t>
  </si>
  <si>
    <t>A warm bowl of potato soup.</t>
  </si>
  <si>
    <t>It would have a slow melody, with flutes, piano, and string instruments.</t>
  </si>
  <si>
    <t>Feel dreamy.</t>
  </si>
  <si>
    <t>A cocktail</t>
  </si>
  <si>
    <t>Summer night with bugs and birds making noise.</t>
  </si>
  <si>
    <t>It makes me feel it is a clear night sky, and it makes me feel comfortable sleeping on my bed when looking at the sky</t>
  </si>
  <si>
    <t>If it is not the real one, it is a copy from a artist, 50 CAD.</t>
  </si>
  <si>
    <t>Spring,Summer,Winter</t>
  </si>
  <si>
    <t>Sushi</t>
  </si>
  <si>
    <t>A music for ballroom dance, elegant, but not a romantic one.</t>
  </si>
  <si>
    <t>A longing for something. A yearning for change. Seeing the beauty in something no one else can see.</t>
  </si>
  <si>
    <t>Bedroom,Office,Dining room</t>
  </si>
  <si>
    <t>rare steak¬†</t>
  </si>
  <si>
    <t>cool jazz or dark jazz. something mysterious mystical, lovecraftian.</t>
  </si>
  <si>
    <t>Impressive</t>
  </si>
  <si>
    <t>Magical</t>
  </si>
  <si>
    <t>I felt a nauseous sensation, like after motion sickness, accompanied by a dizziness from seeing light and shadow. However, the contrast of colors gave me a sense of peace.</t>
  </si>
  <si>
    <t>Spring roll.</t>
  </si>
  <si>
    <t>The melodious sound of the accordion mingled with the bass of the clarinet. The sound of the trombone grew louder as it approached.</t>
  </si>
  <si>
    <t>It gives me mixed feelings because it‚Äôs really beautiful, with bright colors and the spiral, but at the same time it feels a bit confusing and overwhelming. The swirling shapes make everything feel restless, like there‚Äôs a lot of emotion happening at once, which makes it interesting but also slightly disturbing.</t>
  </si>
  <si>
    <t>blueberry cheesecake</t>
  </si>
  <si>
    <t>music that feels flowy and emotional, with a sudden build up and then calm down. It would feel dramatic but also kind of peaceful at times.</t>
  </si>
  <si>
    <t>Mystical</t>
  </si>
  <si>
    <t>Family members,Strangers,By yourself</t>
  </si>
  <si>
    <t>sushi</t>
  </si>
  <si>
    <t>slow and calm.</t>
  </si>
  <si>
    <t>Mesmorized and in awe. Also calm.</t>
  </si>
  <si>
    <t>I would pay 2000 dollars¬†</t>
  </si>
  <si>
    <t>A smoothie bowl.</t>
  </si>
  <si>
    <t>The soundtrack would be mesmorizing with a piano melody.</t>
  </si>
  <si>
    <t>surreal and cold like in a dream</t>
  </si>
  <si>
    <t>soft and crisp high pitch sounds with slightly irregular rhythm</t>
  </si>
  <si>
    <t>This painting makes me feel a sense of wonder and calm. The swirling patterns in the sky look like a dream, and the bright yellow stars provide a comforting glow against the deep blue night. It feels like looking out a window into a magical world where everything is alive and moving.</t>
  </si>
  <si>
    <t>a cold soup</t>
  </si>
  <si>
    <t>There is a kind of ethereal silence, dreamlike, while also being slow and calm.</t>
  </si>
  <si>
    <t>Melancholy</t>
  </si>
  <si>
    <t>The persistent unease mingled with tranquility gradually softened, like a summer night.</t>
  </si>
  <si>
    <t>This painting also makes me sad but somehow calm and hopeful. Like there is something more than the sky.</t>
  </si>
  <si>
    <t>I would pay 10,000 CAD for this painting.</t>
  </si>
  <si>
    <t>Like a warm soup after a cold winter.</t>
  </si>
  <si>
    <t>Also a slow soundtrack with some high pitch sounds.</t>
  </si>
  <si>
    <t>Sleepy</t>
  </si>
  <si>
    <t>Pasta</t>
  </si>
  <si>
    <t>Looping</t>
  </si>
  <si>
    <t>So sad and gloomy and lonely</t>
  </si>
  <si>
    <t>Family members,Coworkers/Classmates,By yourself</t>
  </si>
  <si>
    <t>Mia &amp; Sebastian's Theme (Late For The Date)</t>
  </si>
  <si>
    <t>This painting makes me feel peaceful and relax, let me imagine enjoy such a beautiful view .</t>
  </si>
  <si>
    <t>strawberry</t>
  </si>
  <si>
    <t>The soundtrack will be mystery and peaceful, we will hear some tickle voice to simulate that scene.</t>
  </si>
  <si>
    <t>very whimsical¬†
happy¬†
carefree
calm¬†
peaceful¬†
quiet</t>
  </si>
  <si>
    <t>donut¬†</t>
  </si>
  <si>
    <t>upbeat with calmer intermissions¬†
something that's constantly moving and swirling¬†</t>
  </si>
  <si>
    <t>sad but happy that the day is ending¬†</t>
  </si>
  <si>
    <t>500 CAD</t>
  </si>
  <si>
    <t>a warm soup</t>
  </si>
  <si>
    <t>Snooze by SZA</t>
  </si>
  <si>
    <t>This painting feels like a wonderful summer night. It makes me imagine standing outside under the night sky, feeling comfortable and peaceful. I would remember important moments from my life and think about memories that matter to me while enjoying the quiet beauty of the night.</t>
  </si>
  <si>
    <t>A blueberry pie with vanilla ice cream.</t>
  </si>
  <si>
    <t>The soundtrack would be gentle and flowing, with a slow rhythm that feels calm and comfortable. Soft, rising sounds would move in smooth waves, creating a peaceful and dreamy mood. Now and then, brighter tones would appear, adding warmth and hope.
The music would feel quiet but emotional, like something you listen to late at night when you are thinking about memories and important moments in your life. It would be soothing, thoughtful, and magical.</t>
  </si>
  <si>
    <t>It gives me mixed feelings. The painting mesmerizes me and makes me in awe of its beauty. However, there's an unexplainable sadness about it.¬†</t>
  </si>
  <si>
    <t>An orchestra playing a calm melody, but there's something mysterious about it.¬†</t>
  </si>
  <si>
    <t>sad, sorrow</t>
  </si>
  <si>
    <t>sad melody</t>
  </si>
  <si>
    <t>It makes me feel vibrant and lively.</t>
  </si>
  <si>
    <t>Taco</t>
  </si>
  <si>
    <t>The soundtrack has layered, rich texture, and feels ethereal.</t>
  </si>
  <si>
    <t>This painting makes me feel a mix of calm and emotional intensity. The night scene feels quiet and still, but the swirling patterns in the sky give it a sense of movement and energy, almost like the air itself is alive. The deep blues feel cool and peaceful, while the bright circles of light add warmth and a little bit of hope. It feels both slightly lonely and strangely comforting at the same time, as if I am standing somewhere small, looking up at something huge and beautiful.</t>
  </si>
  <si>
    <t>If this painting was a food, it would be a sorbet with soft swirls of ice-blue and very pale lavender, served in a thin glass bowl. The flavours would be light and clean: a cool citrus note for the blue, and a faint floral taste for the purple, almost too gentle to name. It would not be very sweet‚Äîjust enough to keep it from feeling harsh‚Äîso that what you remember most is the cold, clear freshness it leaves on your tongue. The surface would be smooth and slightly glossy, with soft swirls frozen into it, like gentle waves that have suddenly become still.
The drink would be clear and calm when you look at it, with the ice slowly melting and barely making a sound. It would be something you drink alone by a window, when the sky is dark and quiet, giving you a sense of peaceful distance. It would feel refreshing and clean, but also a little lonely, like a cold breeze that passes through a quiet town while everyone is asleep.</t>
  </si>
  <si>
    <t>The soundtrack would start softly, with a slow, flowing melody played by strings or piano. The notes would keep circling and rising, repeating in gentle spirals that grow a little stronger each time. In the background there would be a steady, quiet harmony that holds everything together, like a constant hum. The overall feeling would be dreamy and emotional, peaceful but full of movement, as if the music is breathing and turning in the dark.</t>
  </si>
  <si>
    <t>Reminds me of childhood since I painted in my high school. Also since it a starry night, i like it and it has a wicked and scary touch to it.</t>
  </si>
  <si>
    <t>Flowing, emotional music with rising and falling intensity, creating a sense of movement and inner reflection.</t>
  </si>
  <si>
    <t>afraid¬†¬†</t>
  </si>
  <si>
    <t>Snow white's poisoned apple¬†</t>
  </si>
  <si>
    <t>solo piano, open with sudden low prolonged staccato notes, flow into the same sequence of notes but interspersed with sharp high uneasy ones, abruptly giving way to a fast staccato piano scale that goes low-&gt; high -&gt; back to low.¬†</t>
  </si>
  <si>
    <t>Makes me feel the wonder of the nature.</t>
  </si>
  <si>
    <t>Chocolate Cake</t>
  </si>
  <si>
    <t>It will be tranquil like you are walking in the space.</t>
  </si>
  <si>
    <t>Calm, relaxed</t>
  </si>
  <si>
    <t>wintermelon</t>
  </si>
  <si>
    <t>It would be very chilly wintery yet very calming</t>
  </si>
  <si>
    <t>Power, awe and humbleness.¬†</t>
  </si>
  <si>
    <t>Burger, fries and beer</t>
  </si>
  <si>
    <t>An intense and powerful but slow melody, highlighting the expansiveness of the night. Maybe with a violin.</t>
  </si>
  <si>
    <t>Uncanny but not too strange</t>
  </si>
  <si>
    <t>Frozen pizza</t>
  </si>
  <si>
    <t>Mysterious wind whooshing noise</t>
  </si>
  <si>
    <t>It makes me feel calm because of the swirls in the sky, which look beautiful. The moon also looks nice and it seems like a beautiful scene of the night sky. The little houses might have people sleeping inside, so the town is pretty quiet and empty.¬†</t>
  </si>
  <si>
    <t>A cucumber</t>
  </si>
  <si>
    <t>Calm and soothing instrumentals, maybe incorporating ocean noises in the background in a subtle way.</t>
  </si>
  <si>
    <t>Makes me feel restlessness and wonder as if I am looking at something beautifull but unsettling charged. I feel alive and sort or energized but also in turnmoil,¬†</t>
  </si>
  <si>
    <t>Swiss Roll</t>
  </si>
  <si>
    <t>Orchestra of melodies rising and falling in a cycle with strong emotional section and calm sections and the sense of consant motion as if the music tempo is increasing.¬†</t>
  </si>
  <si>
    <t>I feel like I'm looking at a sky in motion. It makes me feel untethered to anything.</t>
  </si>
  <si>
    <t>I imagine it being very similar to the Interstellar soundtrack.</t>
  </si>
  <si>
    <t>Calm, peaceful¬†</t>
  </si>
  <si>
    <t>roast chicken</t>
  </si>
  <si>
    <t>it would sound like the ocean</t>
  </si>
  <si>
    <t>This makes me feel like a cool breeze, and makes me nostalgic for past memories.</t>
  </si>
  <si>
    <t>Fresh pasta.</t>
  </si>
  <si>
    <t>The soundtrack to this painting is a soft cinematic theme, with horns and synths.</t>
  </si>
  <si>
    <t>I feel intrigued and captivated¬†</t>
  </si>
  <si>
    <t>ice cream cake</t>
  </si>
  <si>
    <t>it would be a mystical winter tune¬†</t>
  </si>
  <si>
    <t>Like I'm in a dream</t>
  </si>
  <si>
    <t>Violin as the main instrument with some piano, slow tempo, quiet</t>
  </si>
  <si>
    <t>Peaceful, content</t>
  </si>
  <si>
    <t>Vanilla ice cream</t>
  </si>
  <si>
    <t>Choral music</t>
  </si>
  <si>
    <t>Nostalgic, Cold, Warm, Sad, Sombre,¬†¬†</t>
  </si>
  <si>
    <t>I am willing to pay $100million</t>
  </si>
  <si>
    <t>Hot Chocolate</t>
  </si>
  <si>
    <t>Strings, crescendos, pizzicato, slow, swelling, sombre,</t>
  </si>
  <si>
    <t>awe and maybe a little dizzy if I stare long enough</t>
  </si>
  <si>
    <t>beef stew</t>
  </si>
  <si>
    <t>swirling, bending notes, with large crescendos.¬†</t>
  </si>
  <si>
    <t>It makes me feel wonderous, enchanted, mystified.¬†</t>
  </si>
  <si>
    <t>Classical, bass, wind instruments</t>
  </si>
  <si>
    <t>small</t>
  </si>
  <si>
    <t>loud, sweeping, organs, orchestra</t>
  </si>
  <si>
    <t>It makes me feel cold at first glance. After that, I feel a little bit dizzy.</t>
  </si>
  <si>
    <t>Frozen cheesecake</t>
  </si>
  <si>
    <t>The soundtrack would start with a swirling melody that rises and falls in looping waves, driven by a steady rhythm beneath it. Then there will be right, trembling tones that flicker above deeper harmonies. The music repeats and feels constantly circling without ever settling.</t>
  </si>
  <si>
    <t>The painting makes me feel peaceful and gives a sense of wonder.¬†</t>
  </si>
  <si>
    <t>It would be really good soft-serve icecream.</t>
  </si>
  <si>
    <t>It would be a peaceful tune on the xylophone.¬†</t>
  </si>
  <si>
    <t>At ease, but also concerned.</t>
  </si>
  <si>
    <t>Sparkling water</t>
  </si>
  <si>
    <t>Classical piano/violin music.</t>
  </si>
  <si>
    <t>It makes me feel wonder and appreciate the beauty and magnificence of our world.</t>
  </si>
  <si>
    <t>Caviar</t>
  </si>
  <si>
    <t>Interstellar¬†</t>
  </si>
  <si>
    <t>weightless, calm, ect.</t>
  </si>
  <si>
    <t>overnight oats with blueberries</t>
  </si>
  <si>
    <t>cocomelon baby lullaby something</t>
  </si>
  <si>
    <t>it makes me feel magical</t>
  </si>
  <si>
    <t>Bedroom,Bathroom,Office</t>
  </si>
  <si>
    <t>generally light and calm, with a certain peak that has major note</t>
  </si>
  <si>
    <t>happy, hopeful, excited</t>
  </si>
  <si>
    <t>an ice popsicle</t>
  </si>
  <si>
    <t>a piano scale</t>
  </si>
  <si>
    <t>the paint technique feels offputting since it's all in lines</t>
  </si>
  <si>
    <t>hot chocolate</t>
  </si>
  <si>
    <t>slow and calm sounding with light instruments</t>
  </si>
  <si>
    <t>joyous</t>
  </si>
  <si>
    <t>juice</t>
  </si>
  <si>
    <t>mythical and mysterious</t>
  </si>
  <si>
    <t>It made me feel novel and very interesting. Although the pictures were unusual, they still aroused my great interest.</t>
  </si>
  <si>
    <t>200 bucks</t>
  </si>
  <si>
    <t>A strangely shaped cake</t>
  </si>
  <si>
    <t>The rhythm is lively and the tone is high.</t>
  </si>
  <si>
    <t>It makes me feel calm. The background is dramatic and makes me feel like I am in a dream and the world is spinning.</t>
  </si>
  <si>
    <t>Donut.</t>
  </si>
  <si>
    <t>Slow paced, dramatic.</t>
  </si>
  <si>
    <t>A sense of longing, sadness</t>
  </si>
  <si>
    <t>Smooth, slow, melancholic</t>
  </si>
  <si>
    <t>feels in awe, the sky looks interesting. would want to see it in person.</t>
  </si>
  <si>
    <t>fish and chips because of the town energy.</t>
  </si>
  <si>
    <t>still piano playing some engaging and mysterious tone.</t>
  </si>
  <si>
    <t>Dizzy, a little bit unwell, but also felt peaceful at the same time</t>
  </si>
  <si>
    <t>chocolate pie</t>
  </si>
  <si>
    <t>I hear the relaxing sound of blowing wind¬†</t>
  </si>
  <si>
    <t>This painting makes me feel incredibly peaceful and happy. The rich blue colors feel very comforting to me, not cold at all. Seeing the small, warm lights in the village houses makes me feel a sense of safety and warmth. Even though the sky is moving with wind, the bright stars make the night look magical and beautiful, not scary. It feels like a perfect, dreamy night.</t>
  </si>
  <si>
    <t>Friends,Family members,Strangers,By yourself</t>
  </si>
  <si>
    <t>A dark blueberry swirl cake with bright lemon zest on top. It tastes rich, cool, and slightly sharp.</t>
  </si>
  <si>
    <t>An orchestral piece with sweeping violins playing fast, repetitive notes to mimic the swirling wind, accompanied by a deep, steady cello for the sleeping village below.</t>
  </si>
  <si>
    <t>peaceful and gloomy</t>
  </si>
  <si>
    <t>mooncake</t>
  </si>
  <si>
    <t>sound of a piano, harp, and triangle</t>
  </si>
  <si>
    <t>it make me feel calm and relax</t>
  </si>
  <si>
    <t>cake</t>
  </si>
  <si>
    <t>peaceful and calm music</t>
  </si>
  <si>
    <t>Â§úËâ≤Áúã‰ººÈªëÊöóËÄåÈùôË∞ßÔºå‰ΩÜÂÆûÈôÖ‰∏äÁîª‰∏≠ÁöÑÊØè‰∏ÄÂ§ÑÈÉΩË∫ÅÂä®‰∏çÂÆâ„ÄÇÊúà‰∫ÆÂíåÊòüÊòüÈó™ËÄÄÔºåÊàøÂ±ãÁÅØÁÅ´ÈÄöÊòéÔºå‰∫∫‰ª¨Â∞öÊú™ÂÖ•Áù°„ÄÇËøôÂπÖÁîª‰ªø‰ΩõÂú®ÊºÇÊµÆÔºåË∫ÅÂä®‰∏çÂÆâÂú∞ÊºÇÊµÆÁùÄ„ÄÇ</t>
  </si>
  <si>
    <t>ÈªëÂíñÂï°</t>
  </si>
  <si>
    <t>ÈÄüÂ∫¶Ôºö‰∏≠ÊÖ¢
Êï¥‰ΩìËäÇÂ•èËæÉÊÖ¢
‰∏ªÊóãÂæã‰∏ªË¶Å‰ª•Á∫ßËøõÂíåËøûÂ•è‰∏∫‰∏ª„ÄÇ</t>
  </si>
  <si>
    <t>Whimsical. Magical. Cold, but not in a bad way. Calm. Sleepy? Relaxed.</t>
  </si>
  <si>
    <t>Croissant. Oatmeal. Ice cream.</t>
  </si>
  <si>
    <t>Classical music. Music box. Xylophone. Triangle. Mystical feeling.</t>
  </si>
  <si>
    <t>I feel an unnerving sense of chrysalism as the distorted sky exhibits illusionary movement over the tranquility of the village below.</t>
  </si>
  <si>
    <t>Starry night is valued in the billions, so I would be willing to pay about $150</t>
  </si>
  <si>
    <t>blue pasta</t>
  </si>
  <si>
    <t>I think the 808s and trap synths on Sicko Mode would be perfect to encapsulate the emotions that this painting conveys. Something that is vivacious and lively to create contrast with the sombre blues.</t>
  </si>
  <si>
    <t>This painting makes me feel awe and wonder. The swirling sky and glowing stars feel magical and infinite, and it reminds me of why I love space so much.</t>
  </si>
  <si>
    <t>A bowl of spaghetti or ramen</t>
  </si>
  <si>
    <t>A soft and dreamy soundtrack with gentle piano and a more sparkly tone. It would feel calm, wondrous and also powerful. The music would slowly build into a wave of emotion, then settle back into quiet awe.</t>
  </si>
  <si>
    <t>relaxed, happy, content,¬†</t>
  </si>
  <si>
    <t>a condensed milk cake, like tres leches</t>
  </si>
  <si>
    <t>la la land soundtrack</t>
  </si>
  <si>
    <t>dizzy</t>
  </si>
  <si>
    <t>cereal</t>
  </si>
  <si>
    <t>interstellar</t>
  </si>
  <si>
    <t>Chaotic and confused</t>
  </si>
  <si>
    <t>Cold Spaghetti</t>
  </si>
  <si>
    <t>Very chaotic and noisy, with many components and things playing at the same time</t>
  </si>
  <si>
    <t>calm, cold.</t>
  </si>
  <si>
    <t>Calm</t>
  </si>
  <si>
    <t>Jazz</t>
  </si>
  <si>
    <t>cold, dark, waves, tired, slow</t>
  </si>
  <si>
    <t>plum</t>
  </si>
  <si>
    <t>whooshing, powerful, blending, piano, wide range</t>
  </si>
  <si>
    <t>It feels familiar, since almost everyone recognizes this artwork, but it also gives me a strong sense of warmth and comfort. The flowing movement makes it feel alive, while the colors create a calm, reassuring atmosphere.</t>
  </si>
  <si>
    <t>Warm, slightly detuned pads with lively, cheerful breaks. The rhythm stays light and buoyant, with a gentle lift that makes it feel vividly alive.</t>
  </si>
  <si>
    <t>Copy: 0. Original, 100$</t>
  </si>
  <si>
    <t>boiled leafy greens</t>
  </si>
  <si>
    <t>piano quiet and constant rhythms</t>
  </si>
  <si>
    <t>The painting makes me feel both calm but also a little restless. The scene is peaceful, but there is also a lot of movement in the sky, which makes me feel a little restless and curious.</t>
  </si>
  <si>
    <t>The music in the soundtrack is slow and flowing with a continuous background sound. While the background always stays, there is also a more intense melody that plays on top of it.</t>
  </si>
  <si>
    <t>fancy, curious, calm</t>
  </si>
  <si>
    <t>banana</t>
  </si>
  <si>
    <t>calm, jazz</t>
  </si>
  <si>
    <t>it gives me a feeling of a very chill night that i'd like to spend with my girlfriend along with cocktails. I would be imagining how the stars and comits flow, feeling how large and endless the universe is.¬†</t>
  </si>
  <si>
    <t>pasta</t>
  </si>
  <si>
    <t>would be slow drums and string music which sound like jumping in different space</t>
  </si>
  <si>
    <t>It's a windy but warm summer night with sky full of stars. The drifting lights in the sky is the form of my joy. I have a joyful life with love and hope.¬†</t>
  </si>
  <si>
    <t>polpo e fagioli</t>
  </si>
  <si>
    <t>joyful orchestra</t>
  </si>
  <si>
    <t>Calm, mysterious.</t>
  </si>
  <si>
    <t>Cake
¬†</t>
  </si>
  <si>
    <t>Wind flow through forest</t>
  </si>
  <si>
    <t>This painting makes me feel calm but a bit anxious at the same time since the swirls look like wind (perhaps a storm is coming).</t>
  </si>
  <si>
    <t>Squid ink pasta</t>
  </si>
  <si>
    <t>It would be a deeper tone but sometime fast and sometimes slow</t>
  </si>
  <si>
    <t>This painting makes me feel solemn and calm, as though I am sharing the beautiful view with only my thoughts. It feels as if I am gazing at the world below, experiencing a quiet moment of peace with myself.</t>
  </si>
  <si>
    <t>Cream Puff</t>
  </si>
  <si>
    <t>I imagine the soundtrack having a peaceful, soothing melody, with subtle changes in tempo as the music progresses. I envision a blend of percussion and string instruments, harmonized to create a gentle, whimsical tone.</t>
  </si>
  <si>
    <t>dazed, turmoil, nostalgic</t>
  </si>
  <si>
    <t>Family members,Strangers</t>
  </si>
  <si>
    <t>porridge</t>
  </si>
  <si>
    <t>A symphonic piece with a deep bass in the back and a fluid, rolling melody by violin in the front.</t>
  </si>
  <si>
    <t>It makes me feel happy, and calm.</t>
  </si>
  <si>
    <t>It would be pizza</t>
  </si>
  <si>
    <t>The soundtrack that best represents this painting is a more upbeat song played by piano.</t>
  </si>
  <si>
    <t>it makes me feel excited yet calm</t>
  </si>
  <si>
    <t>Warm soup</t>
  </si>
  <si>
    <t>Crisp, light notes with calming strings</t>
  </si>
  <si>
    <t>ill and peaceful,¬† I know he's a great artist but I don't get it, especially his abstract pieces felt like 8 year old painting?</t>
  </si>
  <si>
    <t>1000000$? only that is actual painting and I can resell it, not that I have that much money.</t>
  </si>
  <si>
    <t>snowing wind blowing sound at cold night.</t>
  </si>
  <si>
    <t>Hopeful</t>
  </si>
  <si>
    <t>Bruschetta</t>
  </si>
  <si>
    <t>Acoustic yet upbeat</t>
  </si>
  <si>
    <t>somber, gloomy</t>
  </si>
  <si>
    <t>blueberries</t>
  </si>
  <si>
    <t>something very sharp, like violins. very gloomy sort of soundtrack.¬†</t>
  </si>
  <si>
    <t>this painting makes me feel serene and interconnected to the world.</t>
  </si>
  <si>
    <t>chicken noodle soup</t>
  </si>
  <si>
    <t>the dynamics would be rather mild, with a thin texture, i.e., few instruments. Rather pleasant and consonant.</t>
  </si>
  <si>
    <t>It make me feel miserable and depressed.</t>
  </si>
  <si>
    <t>chocolate</t>
  </si>
  <si>
    <t>The music should be more intense and deep.</t>
  </si>
  <si>
    <t>good</t>
  </si>
  <si>
    <t>bagel</t>
  </si>
  <si>
    <t>calm, soft, sad</t>
  </si>
  <si>
    <t>Makes me feel calm, mysterious, there is a sort of mystique about the town that is painted there.</t>
  </si>
  <si>
    <t>Cool, calm, techno, maybe house music. Maybe some violins in the background.</t>
  </si>
  <si>
    <t>I feel hopeful and calm. I also feel peaceful.</t>
  </si>
  <si>
    <t>The soundtrack is melodic and very pleasing to listen to. It is a quiet soundtrack, mainly piano, and has many parts that go up and down.</t>
  </si>
  <si>
    <t>Dizzy</t>
  </si>
  <si>
    <t>A bug</t>
  </si>
  <si>
    <t>Choir</t>
  </si>
  <si>
    <t>I feel relax</t>
  </si>
  <si>
    <t>Neo-classical</t>
  </si>
  <si>
    <t>impressed</t>
  </si>
  <si>
    <t>peppermint ice cream</t>
  </si>
  <si>
    <t>calm</t>
  </si>
  <si>
    <t>This painting evokes a very calm yet somewhat melancholic feeling in me. The hazy night gives it a somber hue, but the bright, swirling night sky inspires endless imagination and dreams. Looking at this painting, I feel as if I'm trapped in a dream, utterly at peace.</t>
  </si>
  <si>
    <t>I want to pair this painting with a quiet, somber melody, accompanied by soft chanting. I want to create a tranquil and somber atmosphere, while also imbuing it with a sense of mystery.</t>
  </si>
  <si>
    <t>It makes me feel like things are constantly moving and that they are always changing. Also that there is a lot in the universe that we don't understand but just observe.</t>
  </si>
  <si>
    <t>A big lollipop</t>
  </si>
  <si>
    <t>Music with background of rain falling and leaves rustling. Something calming.</t>
  </si>
  <si>
    <t>Calming</t>
  </si>
  <si>
    <t>Apple pie.</t>
  </si>
  <si>
    <t>Lively, fantastical, mythical.</t>
  </si>
  <si>
    <t>hopefull, there are bigger things in the universe making your problems seem small</t>
  </si>
  <si>
    <t>linguine pasta with zucchini</t>
  </si>
  <si>
    <t>chopin nocturne vibes</t>
  </si>
  <si>
    <t>I like the painting but I almost want to say that it makes me feel overwhelmed. Possibly due to the numerous distinct lines.</t>
  </si>
  <si>
    <t>$100 CAD</t>
  </si>
  <si>
    <t>Strong winds blowing.</t>
  </si>
  <si>
    <t>Overwhelmed by vast beauty, but lonely</t>
  </si>
  <si>
    <t>Meringue</t>
  </si>
  <si>
    <t>Peaceful piano intermingled with soaring strings, like C418's "Alpha"</t>
  </si>
  <si>
    <t>Whimsical, bright, inspiring, nostalgic</t>
  </si>
  <si>
    <t>Beef Wellington</t>
  </si>
  <si>
    <t>Calm, sleepy, wispy, slow, instrumental</t>
  </si>
  <si>
    <t>exciting</t>
  </si>
  <si>
    <t>piano</t>
  </si>
  <si>
    <t>This painting makes me feel wonder and happiness about the night sky. It makes me feel adventurous like I'd want to travel to see how else nature can be beautiful.</t>
  </si>
  <si>
    <t>ice cream with sprinkles</t>
  </si>
  <si>
    <t>The soundtrack would consist of piano and string instruments that would evoke feelings of grandeur. The piano would be quiet but lively and the strings would be slow and ambient.</t>
  </si>
  <si>
    <t>This painting makes me feel wonder and hopeful, an optimistic nihilism.¬†</t>
  </si>
  <si>
    <t>1,000,000¬†</t>
  </si>
  <si>
    <t>Mango smoothie</t>
  </si>
  <si>
    <t>Classical music, violins, hopeful</t>
  </si>
  <si>
    <t>This painting makes me feel calm, peaceful, comforted, reflective, and quiet.¬†</t>
  </si>
  <si>
    <t>1,000,000 (can't afford it)</t>
  </si>
  <si>
    <t>cotton candy</t>
  </si>
  <si>
    <t>a single guitar or accordion melody. calm and gentle, a little playful and uneven, improvised playing.¬†</t>
  </si>
  <si>
    <t>When I was 13, my mom had a Starry Night phone case. I loved it because the colouring and the flow were so fascinating.
¬†
Now, when I stare at this painting, I wish the flows were moving. I even tried to squint and see if the flows are moving in the illusion. Unfortunately, they did not.
¬†
The village under the sky seems so harmonic and peaceful. However, it also seems like a glass dome that people from this village are too innocent to know that if they leave this village, they will feel uncomfortable adapting to the bigger world.</t>
  </si>
  <si>
    <t>20 bucks. I met a street painter in LA who painted it with graffiti spray charged people with this price.</t>
  </si>
  <si>
    <t>Blueberries. The flows can be imagined as the explosion of the blueberries after one bite.</t>
  </si>
  <si>
    <t>I cannot find a soundtrack for this painting.</t>
  </si>
  <si>
    <t>It makes me feel calm, safe, and a sense of community.</t>
  </si>
  <si>
    <t>The soundtrack would have bells, similar to church bells. It would be rhythmic and warm.</t>
  </si>
  <si>
    <t>This painting makes me feel amazed. It feels as if I am being drawn into the picture.¬†</t>
  </si>
  <si>
    <t>Cake</t>
  </si>
  <si>
    <t>It would be a soundtrack that starts off quiet, but gradually increases in volume and and layers as the soundtrack goes on. The soundtrack would be slow and calming.</t>
  </si>
  <si>
    <t>Lighthearted and peaceful.¬†</t>
  </si>
  <si>
    <t>I would estimate the value of this painting to be around 300 million.¬†</t>
  </si>
  <si>
    <t>A light soup.¬†</t>
  </si>
  <si>
    <t>A soothing but lighthearted song, similar to a mix between "Silent Night" and "Drive".¬†</t>
  </si>
  <si>
    <t>Peaceful</t>
  </si>
  <si>
    <t>Slow, peaceful calm music</t>
  </si>
  <si>
    <t>This painting makes me feel serene and at peace.¬†</t>
  </si>
  <si>
    <t>Piano, melodious, calm</t>
  </si>
  <si>
    <t>It feels very calm and relaxing.</t>
  </si>
  <si>
    <t>Somewhat cheerful, yet still calm music.</t>
  </si>
  <si>
    <t>The swirls in the night sky are captivating, and the glowing stars and moon outweigh the slightly ominous-looking tree in the foreground. It doesn't make me feel calm or content, but it does give the same effect as looking at the night sky -- something akin to getting swallowed, but peacefully.¬†</t>
  </si>
  <si>
    <t>Thereotically if I had this amount to spend on a painting - 100,000</t>
  </si>
  <si>
    <t>Cold milk tea</t>
  </si>
  <si>
    <t>Full of classical pieces from the romantic era, heavily featuring the violin or piano, and most of it would be Chopin.</t>
  </si>
  <si>
    <t>This painting makes me feel calm, sleepy and a bit happy.</t>
  </si>
  <si>
    <t>A Matter of Time</t>
  </si>
  <si>
    <t>The painting gives off a magical feel, and makes you feel awake, as if you're watching the world pass by. There's also a level of self awareness and clarity that you get when looking at the image itself.</t>
  </si>
  <si>
    <t>The music would probably involve a crescendo or increase in the volume, accompanied by many instruments in the orchestra and in general, a fast tempo and a variety of different instruments.¬†</t>
  </si>
  <si>
    <t>Awestruck</t>
  </si>
  <si>
    <t>45$</t>
  </si>
  <si>
    <t>pasta, specifically white sauce pasta</t>
  </si>
  <si>
    <t>clear but soft metal sounds that reverberate¬†</t>
  </si>
  <si>
    <t>The peaceful and quiet night, gazing at the starry sky, brings a sense of serenity and calm. A relaxing and leisurely evening life.</t>
  </si>
  <si>
    <t>Pudding Cake</t>
  </si>
  <si>
    <t>Relaxed rhythm, cheerful melody, beautiful and peaceful lyrics.</t>
  </si>
  <si>
    <t>Happy, excited, vibrant.</t>
  </si>
  <si>
    <t>Pastry</t>
  </si>
  <si>
    <t>A lively symphony piece</t>
  </si>
  <si>
    <t>The painting makes me feel calm and peaceful.</t>
  </si>
  <si>
    <t>The soundtrack would be slow and calm.</t>
  </si>
  <si>
    <t>It makes me feel calm, relaxed, and sleepy.</t>
  </si>
  <si>
    <t>I would pay $200 for this painting.</t>
  </si>
  <si>
    <t>It would be warm milk with honey.</t>
  </si>
  <si>
    <t>The soundtrack for this painting would be classical music played on the piano. It would be slow, pleasant, and whimsical.</t>
  </si>
  <si>
    <t>This painting makes me feel reflective, appreciative, calm, and nostalgic.</t>
  </si>
  <si>
    <t>Disregarding the fame of this painting, I would be willing to pay $50 for this painting. This is more than average that I would spend on a painting, since I am not someone who usually buys art.</t>
  </si>
  <si>
    <t>Something like a fancier beef stew.</t>
  </si>
  <si>
    <t>A lively piano track.</t>
  </si>
  <si>
    <t>The painting makes me feel calm.</t>
  </si>
  <si>
    <t>If this painting was a food, I would describe it as a chocolate cake.</t>
  </si>
  <si>
    <t>Lofi hip hop is what I imagine when viewing this painting.</t>
  </si>
  <si>
    <t>calm, relaxed, curious</t>
  </si>
  <si>
    <t>eclair</t>
  </si>
  <si>
    <t>a nocturne on piano</t>
  </si>
  <si>
    <t>It bring me a feeling of dizzy¬†</t>
  </si>
  <si>
    <t>10 billion¬†</t>
  </si>
  <si>
    <t>Cocktail¬†</t>
  </si>
  <si>
    <t>Sound of wind¬†</t>
  </si>
  <si>
    <t>Sleepy and gloomy</t>
  </si>
  <si>
    <t>Ramen</t>
  </si>
  <si>
    <t>Calm and peaceful sounding</t>
  </si>
  <si>
    <t>Calm, peaceful, and content in the quiet and mild kind of way.</t>
  </si>
  <si>
    <t>blueberry yogourt</t>
  </si>
  <si>
    <t>A smooth, quiet piano melody in the major key, like the kind that you would fall asleep to.</t>
  </si>
  <si>
    <t>The painting makes me feel restless, as it appears to be constantly moving due to the strokes of the wind and the hills. The sky appears to hypnotize with the swirling wind and stars. There is also a sense of darkness in the painting with the dark force of nature branching into the sky, far above the settlements.¬†</t>
  </si>
  <si>
    <t>$50. It's a famous painting.</t>
  </si>
  <si>
    <t>Dark chocolate, bitter and darkly colored.</t>
  </si>
  <si>
    <t>Soft, sombre tone that increases in volume and frequency, leading to a crescendo of sound.</t>
  </si>
  <si>
    <t>This painting makes me excited about life. It makes me want to explore places where I never went to before. It makes me want to deeply fall in love with someone and take awesome adventures together.¬†</t>
  </si>
  <si>
    <t>durian</t>
  </si>
  <si>
    <t>This sound track would be played by an orchestra, with violin as the main lead for the melody. The sound track would sound pensive and hopeful. The melody would sound smooth and beautiful, with natural rises and falls in volume mimicking the ebbs and flows of nature.</t>
  </si>
  <si>
    <t>It makes me feel nice, it is a pretty sight to look at. It makes me imagine real life since it is shares some resemblance to it and elevates the view in a unique way. It is really cool and pretty.</t>
  </si>
  <si>
    <t>40$</t>
  </si>
  <si>
    <t>Blueberry frozen yoghurt</t>
  </si>
  <si>
    <t>The soundtrack would be dark and mysterious, but not in a scary way, in a cool way. It would have lots of sharps and black keys that seem aggressive to keep the song interesting. But it would be a nice song to listen to on a cold winter day.</t>
  </si>
  <si>
    <t>Calm and peaceful as if I'm actually looking at a starry night.</t>
  </si>
  <si>
    <t>Filet mignon steak</t>
  </si>
  <si>
    <t>Soft and slow violin. Maybe a piano.</t>
  </si>
  <si>
    <t>I feel not bad. In the quiet night, the sky doesn't seem static, but rather slowly moving; this view made me appreciate the beauty of the night sky.Very soothing and stress-relieving</t>
  </si>
  <si>
    <t>around 100 dollars</t>
  </si>
  <si>
    <t>Steak. The food isn't particularly brightly colored,visually striking, or eye-catching, but the taste is surprisingly delightful and enjoyable.</t>
  </si>
  <si>
    <t>The music is very soothing and relaxing, like a lullaby, which can help you drift off to sleep comfortably.</t>
  </si>
  <si>
    <t>Awed and contented</t>
  </si>
  <si>
    <t>Potato leek soup</t>
  </si>
  <si>
    <t>Like a calmer version of Smetana's The Moldau</t>
  </si>
  <si>
    <t>worried</t>
  </si>
  <si>
    <t>an intense soundtrack¬†</t>
  </si>
  <si>
    <t>this painting makes me feel a little dissy, even though it is a famous art work it doesn't really bring calm to me. However, it is a very special painting that I will stop by and look at it and try to feel what the painter is trying to express.¬†</t>
  </si>
  <si>
    <t>swirling blue berry smoothie bowl because it will just look liek the painting.¬†</t>
  </si>
  <si>
    <t>the background music of interstellar¬†</t>
  </si>
  <si>
    <t>Very cozy</t>
  </si>
  <si>
    <t>A very calming classical piano melody</t>
  </si>
  <si>
    <t>It makes me feel a bit chaotic, as though I were in a fever dream or drunk. It feels very whimsical.</t>
  </si>
  <si>
    <t>Macaron</t>
  </si>
  <si>
    <t>A classical song with a violin and trombone in the background paced somewhat faster than the average song.</t>
  </si>
  <si>
    <t>anxious depressed</t>
  </si>
  <si>
    <t>spicy chicken</t>
  </si>
  <si>
    <t>personal struggles with mental health</t>
  </si>
  <si>
    <t>This painting makes me feel wide awake and emotional at the same time‚Äîlike my thoughts are moving fast, but there‚Äôs also a deep calm underneath.
¬†</t>
  </si>
  <si>
    <t>It would be blueberry lemon cheesecake</t>
  </si>
  <si>
    <t>It would be a soaring, spinning piece of music that feels both emotional and unstoppable.</t>
  </si>
  <si>
    <t>Tired, isolated</t>
  </si>
  <si>
    <t>Clam chowder</t>
  </si>
  <si>
    <t>Calm, electronic music</t>
  </si>
  <si>
    <t>Cold</t>
  </si>
  <si>
    <t>It makes me feel comfortable and calm and a bit dizzy.</t>
  </si>
  <si>
    <t>Classic music</t>
  </si>
  <si>
    <t>I feel at peace, wondrous, and infinite.¬†</t>
  </si>
  <si>
    <t>Relaxing staccato chimes and piano melody that lull you to sleep.¬†</t>
  </si>
  <si>
    <t>The painting makes me feel like I am sitting in front of a warm campfire during the winter.</t>
  </si>
  <si>
    <t>I would pay 400 dollars for this painting.</t>
  </si>
  <si>
    <t>A warm bowl of dumpling soup.</t>
  </si>
  <si>
    <t>A melodic guitar piece with a warm melody, but with a series of sad notes at the end.</t>
  </si>
  <si>
    <t>This painting fills me with a sense of wonder and awe. The swirling movement in the sky creates a feeling of energy and dynamism, almost as if the universe is alive and breathing. It's both peaceful and exhilarating at the same time - the quiet village below contrasts beautifully with the turbulent, magical sky above.</t>
  </si>
  <si>
    <t>Blueberry pie with whipped cream and a dusting of golden sugar stars - rich, deep blue swirls with bright yellow accents, both comforting and magical.</t>
  </si>
  <si>
    <t>A sweeping orchestral piece that builds from soft, peaceful strings into a magnificent crescendo. Violins swirl upward in spiraling phrases, with bright brass punctuating moments of wonder. The music has a sense of movement and energy, yet underlying it all is a gentle, comforting melody that evokes quiet contemplation of something vast and beautiful.</t>
  </si>
  <si>
    <t>Content and grateful for the world and peaceful. Makes me appreciate the world as is and find beauty in it.</t>
  </si>
  <si>
    <t>Blueberry vanilla cake</t>
  </si>
  <si>
    <t>Wandering gentle flute melody beneath warm orchestral string swells, with no predictable rhythm or phrasing for the melody. Also have fluttering and soft piano arpeggios and runs that come in and out</t>
  </si>
  <si>
    <t>I felt the grandeur, the rhythm of celestial bodies, and the passage of time. It captured the beauty of the stars' movement. The colors are harmoniously applied, instantly immersing you in the scene.</t>
  </si>
  <si>
    <t>The soundtrack carries a cool undertone while radiating a warm power. It draws our attention to that place where, sitting there, I can hear the wind and feel time shifting. It resembles natural sounds, tinged with just a hint of human noise.</t>
  </si>
  <si>
    <t>it feels quiet, calm, and slightly mystical or dreamy like a little unreal</t>
  </si>
  <si>
    <t>Friends,Family members,Strangers</t>
  </si>
  <si>
    <t>starfruit</t>
  </si>
  <si>
    <t>it would be slow and flowing, but rich in sound like a violin</t>
  </si>
  <si>
    <t>Chill</t>
  </si>
  <si>
    <t>Pepperoni pizza</t>
  </si>
  <si>
    <t>sounds like a lullaby with piano and harp</t>
  </si>
  <si>
    <t>dull, uninterested, mystical (but not really)</t>
  </si>
  <si>
    <t>French onion soup</t>
  </si>
  <si>
    <t>Debussy-esque but strong tonal centre; lush harmonies but texturally sparse; perhaps solo piano</t>
  </si>
  <si>
    <t>happy, calm, peaceful, simply enjoying.
It makes me sleepy.</t>
  </si>
  <si>
    <t>hot soup that has a rich flavor, like the best Cream of Mushroom Soup.</t>
  </si>
  <si>
    <t>Melodious, beautiful, and mostly calm.</t>
  </si>
  <si>
    <t>Joyful and calm, like the feeling of sailing in a small vessel in the middle of the sea during the night, watching endless sky.</t>
  </si>
  <si>
    <t>Omelette</t>
  </si>
  <si>
    <t>Quiet tone, slow music, and no lyrics.</t>
  </si>
  <si>
    <t>I've seen this painting a lot, so it's not very strong in conveying a new emotion to me. The painting is very beautiful, and grounds me into the beauty of the universe and how free-flowing it can feel.</t>
  </si>
  <si>
    <t>Given how famous it is, it would be an amazing status symbol, and the painting itself is already worth millions of dollars. I'd pay probably my entire savings for it; I know it could sell for more.</t>
  </si>
  <si>
    <t>It would be a deluxe steak with caviar.</t>
  </si>
  <si>
    <t>Given how famous through time this painting is, I think of classical pieces like Mozart, with the romantic era feeling of flowing music, just like how the lines and the overall feeling of the painting acts as flowy lines.</t>
  </si>
  <si>
    <t>It makes me feel serene and calm.</t>
  </si>
  <si>
    <t>The soundtrack will have very calm and faint music, with soft breezing wind in the background.</t>
  </si>
  <si>
    <t>Calm, intrigued and a bit weird</t>
  </si>
  <si>
    <t>80 000</t>
  </si>
  <si>
    <t>A night sandwich</t>
  </si>
  <si>
    <t>Slow, calm and experimental</t>
  </si>
  <si>
    <t>peaceful</t>
  </si>
  <si>
    <t>light wind breezing</t>
  </si>
  <si>
    <t>Attracted</t>
  </si>
  <si>
    <t>sandwich</t>
  </si>
  <si>
    <t>Piano</t>
  </si>
  <si>
    <t>The painting makes me feel in awe of the beauty of the pictured night sky. It also gives me a sublime feeling, imagining the possibilities in the night sky.</t>
  </si>
  <si>
    <t>Cinnamon Bun</t>
  </si>
  <si>
    <t>The soundtrack would consist of jazz music. The jazz would be upbeat, music that one could dance to.</t>
  </si>
  <si>
    <t>This painting makes me feel peaceful.</t>
  </si>
  <si>
    <t>Soda pop.</t>
  </si>
  <si>
    <t>Under the calm, there are faint, scattered sounds. There are soft voices in the distance. Everything feels gentle and far away.
If there were music, it would be slow and warm, like a peaceful lullaby.</t>
  </si>
  <si>
    <t>It makes me feel very powerful but still very abstract.</t>
  </si>
  <si>
    <t>Swelling and emotional</t>
  </si>
  <si>
    <t>This painting makes me feel calm and peaceful, as if everything has slowed down and settled into a quiet moment. The soft glow of the night sky above the town creates a comforting and gentle atmosphere that feels safe and serene. It reminds me of warm childhood summer nights when everything felt simple and carefree. Looking at it gives me a sense of relief, like there is no pressure or stress, only stillness and beauty. Overall, the painting fills me with happiness and emotional comfort, making me feel relaxed and at ease.</t>
  </si>
  <si>
    <t>a bowl of hot chicken noodle soup</t>
  </si>
  <si>
    <t>I imagine the soundtrack as a peaceful string sonata, built on soft, warm harmonies that flow gently with a steady and calming rhythm. The music would have clear structure and graceful movements, creating a sense of balance and emotional stability. Smooth, pleasing melodies would drift delicately, sounding sweet and dolce, filling the atmosphere with warmth and serenity. As it develops, the tones would swell slightly with tender emotion while remaining harmonious and soothing, like a comforting memory unfolding slowly and peacefully.</t>
  </si>
  <si>
    <t>It makes me feel whimsically sad. The blue swirls make me feel like I'm floating but the dark blue colors bring my mood down¬†¬†</t>
  </si>
  <si>
    <t>Clam chowder soup</t>
  </si>
  <si>
    <t>This would be not a song, but the sound of wind blowing in the trees in a cold empty feeling</t>
  </si>
  <si>
    <t>The Water Lily Pond</t>
  </si>
  <si>
    <t>Something fairly dreamy¬†</t>
  </si>
  <si>
    <t>It makes me feel warm, and reminds of my childhood.</t>
  </si>
  <si>
    <t>It is pretty neutral, maybe some happiness childhood like.</t>
  </si>
  <si>
    <t>Milk and biscuits, something refreshi</t>
  </si>
  <si>
    <t>Jazzy music, happy upbeat. or piano debussy.</t>
  </si>
  <si>
    <t>It makes me feel happy and at ease, as if nothing in the world could stress or concern me, and only the current moment matters.</t>
  </si>
  <si>
    <t>A refreshing drink, like cold water</t>
  </si>
  <si>
    <t>It would be joyous, serene, and slow.</t>
  </si>
  <si>
    <t>Naturalistic, and fresh</t>
  </si>
  <si>
    <t>Orchestra, bossa nova</t>
  </si>
  <si>
    <t>The painting makes me feel somewhat calm.</t>
  </si>
  <si>
    <t>A vibrant set of cookies and biscuits.</t>
  </si>
  <si>
    <t>Very calm, upbeat melody. Something similar to Erik Satie's Le Piccadilly.</t>
  </si>
  <si>
    <t>nostalgic</t>
  </si>
  <si>
    <t>fruit platter</t>
  </si>
  <si>
    <t>studio ghibli ost</t>
  </si>
  <si>
    <t>It makes me feel calm and immersed. I can remember many times being in the same setting as the painting. It brings a lot memories of the late spring.</t>
  </si>
  <si>
    <t>Oven cooked mutton</t>
  </si>
  <si>
    <t>The soundtrack would be cheerful and pleasant. it would include sounds from nature and be very high and light</t>
  </si>
  <si>
    <t>Happy</t>
  </si>
  <si>
    <t>Salad</t>
  </si>
  <si>
    <t>upbeat</t>
  </si>
  <si>
    <t>Happy, prosperity.</t>
  </si>
  <si>
    <t>A cake.</t>
  </si>
  <si>
    <t>Some music for natural scenes.</t>
  </si>
  <si>
    <t>I feel joy and calm.</t>
  </si>
  <si>
    <t>2 000 000$</t>
  </si>
  <si>
    <t>caesar salad</t>
  </si>
  <si>
    <t>more joyful, calm, and high pitch soundtrack using flute and clarinet.</t>
  </si>
  <si>
    <t>The painting makes me feel warm, happy, and content with my life. A feeling of the lack of distraction produced by the isolation of the pleasing location and cozy lighting.</t>
  </si>
  <si>
    <t>Christmas porridge</t>
  </si>
  <si>
    <t>Average rhythm, dominated by mild melody, but paired with distinct high pitched themes. The harmony does not stand out distinctively.¬†</t>
  </si>
  <si>
    <t>It makes me feel calm</t>
  </si>
  <si>
    <t>A salad.</t>
  </si>
  <si>
    <t>Maybe a bit upbeat, but not very fast and still probably quite slow and quiet.</t>
  </si>
  <si>
    <t>This painting makes me feel girly. I feel like I would have a picnic with friends in pretty fancy dresses, eating gourmet cakes and deserts.</t>
  </si>
  <si>
    <t>Cake with ribbons</t>
  </si>
  <si>
    <t>I think it would sound magical with twinkling sounds. I think it would be calm and include some bird sounds too.</t>
  </si>
  <si>
    <t>This painting make me feel calm and quiet. Everything feel soft and slow. It make my brain rest a little.</t>
  </si>
  <si>
    <t>Matcha cake</t>
  </si>
  <si>
    <t>The soundtrack is very soft and smooth. Sound feel gentle and slow.</t>
  </si>
  <si>
    <t>Calm and happy, amazed at nature</t>
  </si>
  <si>
    <t>500$</t>
  </si>
  <si>
    <t>A upbeat rhythmic pop song with a female singer</t>
  </si>
  <si>
    <t>Bright, lively, comfortable, peaceful¬†</t>
  </si>
  <si>
    <t>Stir-fried lettuce with chili peppers</t>
  </si>
  <si>
    <t>light drifting across water. Violins and violas held in warm sustained tones.</t>
  </si>
  <si>
    <t>Happy and content</t>
  </si>
  <si>
    <t>Happy piano music</t>
  </si>
  <si>
    <t>A sense of calm and very content</t>
  </si>
  <si>
    <t>An ice cream</t>
  </si>
  <si>
    <t>A very soothing soundtrack like one of those soundtracks people use to concentrate or feel at ease.</t>
  </si>
  <si>
    <t>Happy, serene, calm. Feels like a place where I can sit and enjoy for hours on end, while reading a book, enjoying the occasional short lived company of the pedestrians, and leave as the sun sets :)</t>
  </si>
  <si>
    <t>¬†a warm croissant¬†</t>
  </si>
  <si>
    <t>Any ludovico einaudi song, honestly. Just piano and orchestral genius, doing their thing.</t>
  </si>
  <si>
    <t>refreshed</t>
  </si>
  <si>
    <t>A calming voice singing with instrumental music</t>
  </si>
  <si>
    <t>It makes me feel like it is midsummer, with pollen and insects all around, and the heat is intense.</t>
  </si>
  <si>
    <t>Icecream</t>
  </si>
  <si>
    <t>It feels like many instruments are playing together, and the sound is quite harmonious, like a symphony.</t>
  </si>
  <si>
    <t>This painting make me feel like I can sit down and take in the breeze enjoying the world for what it is without worrying about being an active participant. Like I can pause and look around at the world carefree, with the sense the world will keep going no matter what happens. It brings back nostalgic but happy feelings of being a child.</t>
  </si>
  <si>
    <t>an apple</t>
  </si>
  <si>
    <t>A very joyous melody with many different instruments playing together, but not feeling like an overcrowded song with all instruments feeling as though they belong and mesh perfectly. A soundtrack that is calm but evokes emotions of joy and excitement, and can be enjoyed by anyone. A piano and xylophone can most prominently be heard on the track.</t>
  </si>
  <si>
    <t>Refreshed and relaxed</t>
  </si>
  <si>
    <t>Classical music with variety of instruments, with a medium tempo, and medium energy.</t>
  </si>
  <si>
    <t>Happy and calm</t>
  </si>
  <si>
    <t>$1,000-$10,000</t>
  </si>
  <si>
    <t>I'd imagine a soundtrack that's happy and calm. I'd imagine it would be the type of song that would play when two characters get reunited, or someone finds out about some good news.</t>
  </si>
  <si>
    <t>relaxed, hopeful with spring vibes</t>
  </si>
  <si>
    <t>matcha tiramisu¬†</t>
  </si>
  <si>
    <t>ambient harp music¬†</t>
  </si>
  <si>
    <t>Calm, breezy, content.</t>
  </si>
  <si>
    <t>Seafood spaghetti.</t>
  </si>
  <si>
    <t>Hawaiian music.¬†</t>
  </si>
  <si>
    <t>Happy and Calm</t>
  </si>
  <si>
    <t>Garlic Bread</t>
  </si>
  <si>
    <t>Joyful soundtrack that would increase its beat and tempo as the song goes on. Something with a clarinet playing¬†</t>
  </si>
  <si>
    <t>happy, lively</t>
  </si>
  <si>
    <t>Bedroom,Bathroom,Office,Living room</t>
  </si>
  <si>
    <t>lively, happy music, piano and many other instruments</t>
  </si>
  <si>
    <t>Very at ease, immersed in nature, hopeful, optimistic.</t>
  </si>
  <si>
    <t>A perfectly ripe pear</t>
  </si>
  <si>
    <t>The soundtrack would be medium or fast paced, centred on string instruments.</t>
  </si>
  <si>
    <t>Bright, it's daytime in the painting, happy¬†</t>
  </si>
  <si>
    <t>Hot dog</t>
  </si>
  <si>
    <t>Bright, happy, or calm lo-fi music - piano, major key.¬†</t>
  </si>
  <si>
    <t>It makes me feel calm and relaxed, like taking a quiet pause from everything else. The scene feels gentle and soothing, encouraging slow breathing and stillness.</t>
  </si>
  <si>
    <t>Vegetables.</t>
  </si>
  <si>
    <t>The soundtrack would be slow and very soft, with smooth, steady tones that feel evenly balanced.</t>
  </si>
  <si>
    <t>This painting awakens memories from my childhood.</t>
  </si>
  <si>
    <t>Vegetable Salad</t>
  </si>
  <si>
    <t>A cheerful flute solo</t>
  </si>
  <si>
    <t>This gives me a Spring vibe, with peaceful feelings.¬†</t>
  </si>
  <si>
    <t>Honey</t>
  </si>
  <si>
    <t>This soundtrack would be a very cheerful with guitar, the music slowing clam down with sounds of waterdrops.¬†</t>
  </si>
  <si>
    <t>Makes me feel happy, joyful and appreciative</t>
  </si>
  <si>
    <t>melody</t>
  </si>
  <si>
    <t>Excited, Bright, immersed and aroused</t>
  </si>
  <si>
    <t>Grapes by the vine</t>
  </si>
  <si>
    <t>Upbeat and jolly</t>
  </si>
  <si>
    <t>Calm, spring, warm.</t>
  </si>
  <si>
    <t>Strawberry shortcake.</t>
  </si>
  <si>
    <t>Birds singing, a warm breeze drifting, and water flowing.</t>
  </si>
  <si>
    <t>reflective and sleepy</t>
  </si>
  <si>
    <t>tea with biscuit</t>
  </si>
  <si>
    <t>airy floating flute</t>
  </si>
  <si>
    <t>It makes me feel airy and light, I feel like anything is possible.¬†</t>
  </si>
  <si>
    <t>This soundtrack would be very light and joyous. Happy classical music with a lot of flutes and airy instruments.¬†</t>
  </si>
  <si>
    <t>Energetic, Happy, Intrigued</t>
  </si>
  <si>
    <t>The freshest and juiciest mango ever</t>
  </si>
  <si>
    <t>Guitar and strong vocals. Very upbeat, very uplifting</t>
  </si>
  <si>
    <t>This painting appears serene on the surface, yet it evokes a deeper sense of unease within me. I persistently feel that this tranquility is merely an illusion, concealing a turbulent undercurrent beneath.</t>
  </si>
  <si>
    <t>A very tranquil piece of instrumental music, accompanied by the melodious sound of a flute.</t>
  </si>
  <si>
    <t>It makes me feel calm, warm, relaxed, and peaceful.</t>
  </si>
  <si>
    <t>Soft, gentle, slow, lighthearted, upbeat, and with consistent tempo.</t>
  </si>
  <si>
    <t>Soft, warm, easy, relax, freash, slow</t>
  </si>
  <si>
    <t>grape</t>
  </si>
  <si>
    <t>slow-pace orchestra, soft in background, elegant melody</t>
  </si>
  <si>
    <t>energetic, happy, stunned by beauty in nature</t>
  </si>
  <si>
    <t>strawberry pie</t>
  </si>
  <si>
    <t>vivaldi: spring</t>
  </si>
  <si>
    <t>Calm, gentle, cheery</t>
  </si>
  <si>
    <t>Bedroom,Bathroom,Office,Dining room</t>
  </si>
  <si>
    <t>Cotton candy</t>
  </si>
  <si>
    <t>Birds chirping, breeze blowing, leaves ruffling</t>
  </si>
  <si>
    <t>It makes me feel lost in a fairy garden. This painting give an immense sense of calm and imagination in an alternate universe. The painting is filled with lively fresh plants and clean water, with a slight human touch of a bridge blending well with the environment. These characteristics makes the painting hopeful and dreamy. The excessive plants and lily pads in the waters remind me of sacred ground and natures secret spot where the elves would take their evening bath. Also looking at the painting I can recall a scene of a disney princess fairy tale where the princess would wander in the woods and attract friendly animals due to the forgiving and kind nature of the forest.</t>
  </si>
  <si>
    <t>Part of Your World</t>
  </si>
  <si>
    <t>happy, content, joyous</t>
  </si>
  <si>
    <t>salad¬†</t>
  </si>
  <si>
    <t>romantic, tranquility, bright¬†</t>
  </si>
  <si>
    <t>It makes me feel nostalgic. I'm reminded of some particular halcyon days in my life.¬†</t>
  </si>
  <si>
    <t>It would be pistachio gelato.</t>
  </si>
  <si>
    <t>A sweet piano piece.¬†</t>
  </si>
  <si>
    <t>Ice Cream</t>
  </si>
  <si>
    <t>The soundtrack would be light and uplifting, with bright, flowing tones that create a sense of warmth and optimism. The melody feels playful and gentle, moving smoothly and effortlessly, while the rhythm adds a quiet sense of joy. Overall, the music feels refreshing and hopeful, as if it‚Äôs gently lifting the listener‚Äôs mood.</t>
  </si>
  <si>
    <t>I feel nothing looking at this painting. Genuinely nothing kinda weird.¬†</t>
  </si>
  <si>
    <t>Summertime - Rainynch</t>
  </si>
  <si>
    <t>Wistful, nostalgic, contemplative, amazed</t>
  </si>
  <si>
    <t>Berries and cucumbers</t>
  </si>
  <si>
    <t>Fast, light, arpeggiated piano</t>
  </si>
  <si>
    <t>This painting makes me feel calm and upbeat.¬† It has a very calm setting with many bright and vibrant colours. This painting makes me feel very peaceful and at ease.¬†</t>
  </si>
  <si>
    <t>I would be willing to pay about $1500 for this painting.¬†</t>
  </si>
  <si>
    <t>If this painting was a food it would be freshly baked cookies.¬† Like cookies, this painting is evokes calm, peaceful and positive feelings, the same way cookies do as a regular comfort food.¬†¬†</t>
  </si>
  <si>
    <t>If this painting had a soundtrack, it would be calm and peaceful, something you could sit back and listen to. It would have an upbeat but gentle feel similar to easygoing rock or light pop music that creates a positive mood.</t>
  </si>
  <si>
    <t>very happy and relaxed</t>
  </si>
  <si>
    <t>the piano and it's a nice soft tune¬†</t>
  </si>
  <si>
    <t>It makes me feel calm and relaxed, like taking a break from everything. Nothing feels rushed, and it‚Äôs easy to just sit and look at it.</t>
  </si>
  <si>
    <t>Herbal tea¬†</t>
  </si>
  <si>
    <t>Some kind of peaceful piano or violin music. Very soft, slow music that‚Äôs calming and peaceful. Something that helps you relax.</t>
  </si>
  <si>
    <t>Makes me feel very calm, like a meditative piece. A sense of serenity.¬†</t>
  </si>
  <si>
    <t>some fruit, like a watermelon.¬†</t>
  </si>
  <si>
    <t>A meditative soundtrack. Like a solo harp or piano.</t>
  </si>
  <si>
    <t>serene</t>
  </si>
  <si>
    <t>Lotus Root Soup</t>
  </si>
  <si>
    <t>nature sounds. maybe a canoe paddle splashing.</t>
  </si>
  <si>
    <t>Peaceful, Happy, Calm, Tranquility</t>
  </si>
  <si>
    <t>Wedding Cake</t>
  </si>
  <si>
    <t>Calming, pretty piano music. Perhaps Debussy or Ravel.</t>
  </si>
  <si>
    <t>This just makes me feel calm, as with one with nature.¬†</t>
  </si>
  <si>
    <t>watermelon</t>
  </si>
  <si>
    <t>calm country slow music¬†</t>
  </si>
  <si>
    <t>The painting makes me feel carefree, safe, and grateful. It feels like there is nothing to worry about, no stress.</t>
  </si>
  <si>
    <t>Jasmine tea.</t>
  </si>
  <si>
    <t>Acoustic guitar, something happy in a major key.</t>
  </si>
  <si>
    <t>It makes me feel joyful, peaceful, and happy.</t>
  </si>
  <si>
    <t>It woul be an upbeat, happy folk song with flutes in it.</t>
  </si>
  <si>
    <t>This painting makes me feel calm, tranquil, at peace and free of worries. I do not feel any pressure and I see life as a beautiful, yet calm, symphony of nature.</t>
  </si>
  <si>
    <t>A simple German strudel with powdered sugar and whipped cream, served with strawberries and blueberries.¬†</t>
  </si>
  <si>
    <t>A singular violin track that is very calm, has deep and not sharp notes, and perfect for listening to for falling asleep and studying.</t>
  </si>
  <si>
    <t>It doesn't really make me feel anything. It is like a normal view.</t>
  </si>
  <si>
    <t>A salad with lettuce, tomatoes, and other greens.</t>
  </si>
  <si>
    <t>It would be an upbeat with vocals and casual tones.</t>
  </si>
  <si>
    <t>Warm Intense and optimistic.</t>
  </si>
  <si>
    <t>Fried Broccoli</t>
  </si>
  <si>
    <t>Birds, kids, butterflies sound.</t>
  </si>
  <si>
    <t>Feel I am having a leisure walk in the park, calm</t>
  </si>
  <si>
    <t>Caesar Salad</t>
  </si>
  <si>
    <t>light music, calm, bright, not deep, not bass</t>
  </si>
  <si>
    <t>real happy and serene. I feel like I can smell the fresh flowers.¬†</t>
  </si>
  <si>
    <t>a nice fresh salad paired with rose wine.</t>
  </si>
  <si>
    <t>a love song. Very upbeat and the lyrics are sweet and cute.¬†</t>
  </si>
  <si>
    <t>Comfortable</t>
  </si>
  <si>
    <t>Osmanthus sugar lotus root</t>
  </si>
  <si>
    <t>Joyful</t>
  </si>
  <si>
    <t>He made me feel relaxed and calm. I felt my anxiety disappear.</t>
  </si>
  <si>
    <t>Poke.</t>
  </si>
  <si>
    <t>Melodious sound from violine, accomanied by piano, with a little percenatege of chello.¬†</t>
  </si>
  <si>
    <t>This painting makes me feel calm and relaxed. The soft colors and gentle reflections feel peaceful, like a quiet moment where everything slows down. It gives a soothing, comforting feeling and makes me want to just pause and enjoy the stillness.</t>
  </si>
  <si>
    <t>Vanilla and Strawberry ice cream</t>
  </si>
  <si>
    <t>it starts with a bird chirping sounds and then continue with a soft, slow music with gentle, flowing sounds that repeat calmly. It would feel peaceful and soothing, with a steady rhythm that helps you relax and breathe, like everything is moving quietly and smoothly.</t>
  </si>
  <si>
    <t>Content, comfortable.</t>
  </si>
  <si>
    <t>tiramisu</t>
  </si>
  <si>
    <t>fast, but soft.¬†</t>
  </si>
  <si>
    <t>Happy, relaxed, and pleased.</t>
  </si>
  <si>
    <t>2000 dollars.</t>
  </si>
  <si>
    <t>A happy and relaxing melody with nature sounds.</t>
  </si>
  <si>
    <t>peaceful and serene</t>
  </si>
  <si>
    <t>soft and light melody with clear rhythm</t>
  </si>
  <si>
    <t>I feel a sense of harmony and freshness when looking at this. The way the bridge gently arches over the water connects the viewer to the scene, making it feel welcoming. It reminds me of a cool summer day, evoking a feeling of balance between nature and structure.</t>
  </si>
  <si>
    <t>a salad with great sauce</t>
  </si>
  <si>
    <t>The music would be a shimmering, ambient composition with plenty of reverb. It would feel cool and refreshing, with notes that blend into one another without distinct edges. The melody would feel suspended in time, drifting aimlessly but harmoniously, creating a sense of depth and reflection that feels both bright and quiet at the same time.</t>
  </si>
  <si>
    <t>Joyful, midsummer, sweet.</t>
  </si>
  <si>
    <t>Matcha Yuzu Mille-Feuille</t>
  </si>
  <si>
    <t>Gentle piano chords unfold slowly, like drawn-out breaths. Low strings provide a sustained foundation, almost rhythmless, merely flowing steadily. The overall volume remains restrained and gentle, without climaxes.</t>
  </si>
  <si>
    <t>It makes me feel calm and relaxed.</t>
  </si>
  <si>
    <t>I would pay 7,000 CAD for this painting.</t>
  </si>
  <si>
    <t>It will be a sandwich and snacks.</t>
  </si>
  <si>
    <t>it has a more fast pace, cute, and relaxing soundtrack.</t>
  </si>
  <si>
    <t>bouncy</t>
  </si>
  <si>
    <t>Calm and chill and peaceful</t>
  </si>
  <si>
    <t>Bedroom,Bathroom,Dining room</t>
  </si>
  <si>
    <t>Chicken</t>
  </si>
  <si>
    <t>Piano Sonata No.16 in C major, K.545</t>
  </si>
  <si>
    <t>Make me feel nice and refresh, light after seeing that beautiful spring scene.</t>
  </si>
  <si>
    <t>200000$</t>
  </si>
  <si>
    <t>oilseed rape</t>
  </si>
  <si>
    <t>The soundtrack will be bright and engaging, with a rhythm of fast pace, make me feel positive</t>
  </si>
  <si>
    <t>very calm and peaceful¬†</t>
  </si>
  <si>
    <t>matcha macaron¬†</t>
  </si>
  <si>
    <t>studio ghibli¬†
something very whimsical, calm but positive¬†</t>
  </si>
  <si>
    <t>happy¬†</t>
  </si>
  <si>
    <t>300 CAD</t>
  </si>
  <si>
    <t>This painting makes me feel like it is spring, a season when everything becomes active again. The colors feel fresh and bright, as if nature is waking up after a long rest. It gives the feeling of new beginnings, growth, and renewal. The scene feels calm but also full of life, making me think about how everything is slowly being reborn and moving forward.</t>
  </si>
  <si>
    <t>A fresh spring salad with fruit and light dressing.</t>
  </si>
  <si>
    <t>The soundtrack would be light and flowing, with gentle, repeating melodies that feel fresh and alive. Brighter tones would slowly rise and fall, giving a sense of energy and renewal. The music would feel relaxing but full of life, like a quiet moment in spring when everything is growing and moving again. It would be smooth, warm, and hopeful.</t>
  </si>
  <si>
    <t>It makes me happy and feel beautiful. It gives calmness and peace.¬†</t>
  </si>
  <si>
    <t>A fruit cake</t>
  </si>
  <si>
    <t>A happy and calming melody. It's slightly upbeat, but not that much that it will give you too much energy.¬†</t>
  </si>
  <si>
    <t>happy, at peace</t>
  </si>
  <si>
    <t>cheesecake¬†</t>
  </si>
  <si>
    <t>happy instrumental melody</t>
  </si>
  <si>
    <t>The painting makes me feel calm, peaceful, and delicate.</t>
  </si>
  <si>
    <t>fruits</t>
  </si>
  <si>
    <t>The soundtrack has a slow, steady tempo, very delicate and gentle.</t>
  </si>
  <si>
    <t>This painting makes me feel peaceful and relaxed. The scene is full of soft greens and gentle light, and it feels like a quiet place far away from busy life. The reflections and the slightly blurred details give it a dreamy quality, as if everything is slowly breathing in warm air. It makes me think of taking a slow walk, having time to pause and just look around. Overall, it feels calm, soothing, and a little bit nostalgic, like a memory of a quiet afternoon in nature.</t>
  </si>
  <si>
    <t>If this painting was a food, it would be a lightly sweet iced green tea or a cool jasmine drink served in a clear glass on a warm day. The taste would be gentle and clean, with a soft floral note and just a bit of natural sweetness. It would not be heavy at all, more like something you sip slowly while resting somewhere quiet. The drink would feel refreshing and soft at the same time, cool on the tongue but also comforting, with a calm, almost silent kind of loneliness that still feels peaceful.</t>
  </si>
  <si>
    <t>The soundtrack would be slow and light, with a soft piano melody and faint strings in the background. The notes would be short and gentle, almost like small ripples of sound that fade away quickly. The music would stay mostly in a higher, bright range, but with a few deeper notes that appear from time to time, giving a sense of depth. The rhythm would be smooth and unhurried, as if time is stretching out on a warm afternoon. Overall, it would feel calm, airy, and quietly joyful, like resting in a sheltered place where nothing urgent is happening.</t>
  </si>
  <si>
    <t>Fresh and mesmerised</t>
  </si>
  <si>
    <t>mochi matcha</t>
  </si>
  <si>
    <t>Soft, slow melodies with gentle rhythms that feel soothing and steady, creating a sense of quiet relaxation and have a birds chirping voice in the background.</t>
  </si>
  <si>
    <t>green apple¬†</t>
  </si>
  <si>
    <t>peaceful slow violin piece that spur no anticipation, only anchoring you in the moment.¬†</t>
  </si>
  <si>
    <t>Feels like walking in a garden during spring.</t>
  </si>
  <si>
    <t>It will be similar to Vivaldi's Spring.</t>
  </si>
  <si>
    <t>Makes me feel like spring is here</t>
  </si>
  <si>
    <t>sunflower seeds</t>
  </si>
  <si>
    <t>nature calming music</t>
  </si>
  <si>
    <t>Relaxed, at peace with myself, excited.</t>
  </si>
  <si>
    <t>A french macaron.</t>
  </si>
  <si>
    <t>Something with a xylophone, cheerful but calm.</t>
  </si>
  <si>
    <t>Happy, warm</t>
  </si>
  <si>
    <t>Homemade lasagna</t>
  </si>
  <si>
    <t>Bright, relatively high pitch song</t>
  </si>
  <si>
    <t>I feel happy because it seems like it's good weather, and reminds me of a good day with your family having a picnic in the park, and you get to explore the park with your siblings or family friends. It also makes me feel warm because I can imagine the sun shining down, since everything is enveloped in a warm light.</t>
  </si>
  <si>
    <t>Mango sorbet</t>
  </si>
  <si>
    <t>Something fun, not super crazy. Maybe a little more upbeat but something that the younger generation would like.</t>
  </si>
  <si>
    <t>Makes me feel peaceful, calm and relaxed and very soothing.¬†</t>
  </si>
  <si>
    <t>Slow gentle soft string or piano piece with lots of long notes and legatos, smooth transitions and very small cresendos and decresendos¬†</t>
  </si>
  <si>
    <t>It makes me feel calm, like I'm resting by a pond on a sunny day listening to birds chirping.</t>
  </si>
  <si>
    <t>A nice warm bowl of soup.</t>
  </si>
  <si>
    <t>It's giving¬†Up soundtrack.</t>
  </si>
  <si>
    <t>happy, peaceful, content</t>
  </si>
  <si>
    <t>happy jovial music</t>
  </si>
  <si>
    <t>This makes me feel refreshed and energized, as well as calm.</t>
  </si>
  <si>
    <t>This would be a fresh sandwich, made with fresh bread and vegetables.</t>
  </si>
  <si>
    <t>A flute plays, a soft drum accompanyment.</t>
  </si>
  <si>
    <t>captivated and impressed</t>
  </si>
  <si>
    <t>fruit cake¬†</t>
  </si>
  <si>
    <t>a whimsical fairy like tune¬†</t>
  </si>
  <si>
    <t>Strawberry</t>
  </si>
  <si>
    <t>Flute as the main instrument, fast tempo, cheerful</t>
  </si>
  <si>
    <t>Happy, light</t>
  </si>
  <si>
    <t>Folk dance music</t>
  </si>
  <si>
    <t>calm, reminiscent, notsalgic, tranquil, peaceful</t>
  </si>
  <si>
    <t>$100,000 CAD</t>
  </si>
  <si>
    <t>Naan bread</t>
  </si>
  <si>
    <t>high strings, pizzicato, low droning bass,</t>
  </si>
  <si>
    <t>Happy and warm</t>
  </si>
  <si>
    <t>bright garden salad</t>
  </si>
  <si>
    <t>fast, staccato notes, major scale.¬†</t>
  </si>
  <si>
    <t>Happy, calm, natural</t>
  </si>
  <si>
    <t>Light, slow, soulful</t>
  </si>
  <si>
    <t>garden salad</t>
  </si>
  <si>
    <t>light, high, piano</t>
  </si>
  <si>
    <t>It makes me feel warm and peaceful. I want to lie down on the ground and sleep after seeing the painting.</t>
  </si>
  <si>
    <t>The soundtrack feels gentle and pleasant, like a calm spring morning. It is light and flowing, with a soft piano and violin creating a peaceful, soothing atmosphere. Small, delicate sounds appear now and then, like birds singing in early spring.¬†</t>
  </si>
  <si>
    <t>The bright colours makes me feel content.¬†</t>
  </si>
  <si>
    <t>It would be a plate of cut fruits.¬†</t>
  </si>
  <si>
    <t>The soundtrack would be peaceful sounding flute.¬†</t>
  </si>
  <si>
    <t>Relaxed, appreciative, happy</t>
  </si>
  <si>
    <t>Watermelon</t>
  </si>
  <si>
    <t>slow but cheerful, with resemblance of sound of nature like those from water and birds.</t>
  </si>
  <si>
    <t>It makes me feel calm and serene and happy.</t>
  </si>
  <si>
    <t>Salmon with parsnip ¬†puree and watercress salad</t>
  </si>
  <si>
    <t>Sound of the shire from Lord of the Rings</t>
  </si>
  <si>
    <t>Calm, content</t>
  </si>
  <si>
    <t>Spring mix salad</t>
  </si>
  <si>
    <t>upbeat, spring-themed, calm.</t>
  </si>
  <si>
    <t>feel calm and bright</t>
  </si>
  <si>
    <t>apple</t>
  </si>
  <si>
    <t>guitar acoustic music, with a light and bright tone</t>
  </si>
  <si>
    <t>content,¬†</t>
  </si>
  <si>
    <t>mom's homecooked meals</t>
  </si>
  <si>
    <t>leaves rustling</t>
  </si>
  <si>
    <t>it feels refreshing and also invokes positive emotion</t>
  </si>
  <si>
    <t>it would probably have flutes/clarinets and some of those other classical woodwind instruments. would be somewhat fast and maybe uses staccato¬†</t>
  </si>
  <si>
    <t>fresh</t>
  </si>
  <si>
    <t>bright and joyful</t>
  </si>
  <si>
    <t>Give a feeling of spring</t>
  </si>
  <si>
    <t>Cool beverage</t>
  </si>
  <si>
    <t>The rhythm is gentle, yet it is also very vigorous and full of vitality.</t>
  </si>
  <si>
    <t>It makes me feel calm. It gives me the sense of thriving.</t>
  </si>
  <si>
    <t>Avocado.</t>
  </si>
  <si>
    <t>Extremely calm, slow paced, ambient.</t>
  </si>
  <si>
    <t>Joyful, positive, calm, peaceful</t>
  </si>
  <si>
    <t>Greek salad</t>
  </si>
  <si>
    <t>Upbeat, melodic, soothing</t>
  </si>
  <si>
    <t>calm, at peace</t>
  </si>
  <si>
    <t>peach, strawberries.</t>
  </si>
  <si>
    <t>guitar playing calm and chill tones.</t>
  </si>
  <si>
    <t>I feel that I'm in the middle of the woods, inhaling fresh air.</t>
  </si>
  <si>
    <t>matcha tea</t>
  </si>
  <si>
    <t>sound if frogs during a mid summer night</t>
  </si>
  <si>
    <t>This painting makes me feel incredibly relaxed and peaceful. It feels like taking a deep breath of fresh air in a quiet garden. The soft focus reminds me of a pleasant memory from a holiday.</t>
  </si>
  <si>
    <t>A fresh garden salad with light vinaigrette, or maybe a cup of herbal matcha tea. It tastes refreshing, organic, and light.</t>
  </si>
  <si>
    <t>The sound of gently flowing water, frogs croaking softly in the distance, and birds chirping. Maybe a very soft piano melody playing slowly in the background.</t>
  </si>
  <si>
    <t>relaxed and calm</t>
  </si>
  <si>
    <t>acai bowl</t>
  </si>
  <si>
    <t>peaceful music with the sound of birds chirping</t>
  </si>
  <si>
    <t>happy, relaxed</t>
  </si>
  <si>
    <t>mint</t>
  </si>
  <si>
    <t>happy joyful music</t>
  </si>
  <si>
    <t>Âú®ÈùôË∞ßÊó†Êâ∞ÁöÑÁéØÂ¢É‰∏≠ÔºåÊàëÁã¨Ëá™Êº´Ê≠•ÔºåÊ¨£ËµèÁùÄËâ≥‰∏ΩÁöÑÁù°Ëé≤„ÄÇÊ≠§Êó∂Ê≠§ÂàªÔºåË¢´ÁõõÂºÄÁöÑÁù°Ëé≤ÁéØÁªïÔºå‰ªø‰ΩõÂºÄÂêØ‰∫Ü‰∏ÄÊÆµÂ≠§Áã¨ÁöÑÊé¢Á¥¢‰πãÊóÖÔºåÂç¥Êî∂Ëé∑‰∫Ü‰∏∞ÂéöÁöÑÂõûÊä•„ÄÇ</t>
  </si>
  <si>
    <t>Clear soup Ramen</t>
  </si>
  <si>
    <t>Tempo: 80‚Äì92 BPM
Key: Major with a touch of "borrowed minor key color"¬†
Touch: Primarily legato, occasionally using short, sharp sounds</t>
  </si>
  <si>
    <t>Freshness. Calm. Warmth. Refreshing. Like the shining sun. Relaxing. Peaceful.</t>
  </si>
  <si>
    <t>Lettuce. Salad. Vegetables. Fruits.</t>
  </si>
  <si>
    <t>Flutes. Woodwinds. Violins. Birdsong.</t>
  </si>
  <si>
    <t>This painting makes me want to recycle more often. I feel disdain for the way human-kind has polluted environments like these, poisoning wildlife with toxins and brainrot. While this painting depicts a scenery that one would typically imagine to be existant, it is missing the garbage and plastic waste that would realistically be found. I believe it describes human's effect on the environment when the painting of nature, is how it looked like before we found it.</t>
  </si>
  <si>
    <t>A caesar salad but without the croutons</t>
  </si>
  <si>
    <t>grand piano playing a lively chord progression in staccato</t>
  </si>
  <si>
    <t>This painting makes me feel calm and relaxed. It doesn‚Äôt evoke strong emotions, but it‚Äôs very beautiful and peaceful to look at.</t>
  </si>
  <si>
    <t>Fresh berries with honey</t>
  </si>
  <si>
    <t>The soundtrack would be soft and calming, with gentle piano and light strings. It would be slow and peaceful, and stay smooth and soothing.</t>
  </si>
  <si>
    <t>calm, serendipidous</t>
  </si>
  <si>
    <t>jello</t>
  </si>
  <si>
    <t>piano, mozart, or some kind of slow soundtrack, ballad</t>
  </si>
  <si>
    <t>inspired</t>
  </si>
  <si>
    <t>butterflies in my stomach</t>
  </si>
  <si>
    <t>Calm and at peace</t>
  </si>
  <si>
    <t>Warm Soup</t>
  </si>
  <si>
    <t>It sounds very peaceful and calming, and makes me want to fall asleep. It's slow and helps ease and calm my mind down, and helps me drift away from all the chaotic thoughts running in my head.</t>
  </si>
  <si>
    <t>confortable</t>
  </si>
  <si>
    <t>safe and sound</t>
  </si>
  <si>
    <t>Raspberry</t>
  </si>
  <si>
    <t>Piano classical with light vocal</t>
  </si>
  <si>
    <t>calm, pleasant, peaceful, happy, warm</t>
  </si>
  <si>
    <t>green apple pie</t>
  </si>
  <si>
    <t>soft, quaint, light, calm, happy, peaceful, relaxing, chimes</t>
  </si>
  <si>
    <t>It makes me feel warm and peaceful. The colors and gentle flow bring a cozy childhood summer vibe.</t>
  </si>
  <si>
    <t>light, bouncy rhythm, playful high notes, and warm, sunny chords underneath.</t>
  </si>
  <si>
    <t>Super relaxed</t>
  </si>
  <si>
    <t>Copy: 0. Original, 200$</t>
  </si>
  <si>
    <t>Sunny side up egg</t>
  </si>
  <si>
    <t>Piano and violin, Ghibli-like rhythm</t>
  </si>
  <si>
    <t>The painting makes me feel calm and at peace. It also feels quiet and slow and gives a feeling of comfort through its stillness.</t>
  </si>
  <si>
    <t>The soundtrack would be both serene and calm sounds combined with a large variety of different melodies that mix together.</t>
  </si>
  <si>
    <t>happy, green</t>
  </si>
  <si>
    <t>fine food</t>
  </si>
  <si>
    <t>dynamic, happy</t>
  </si>
  <si>
    <t>it feels like a chill spring afternoon at the back of a big house, family members gather around and have teas and desserts.¬†</t>
  </si>
  <si>
    <t>Carbonara</t>
  </si>
  <si>
    <t>it would be violin sorely with a quite warm melody</t>
  </si>
  <si>
    <t>Calm. Walking next to the pond in a spring afternoon with good sunlight. Simply enjoying the beauty of the nature and time.</t>
  </si>
  <si>
    <t>seaweed shortbread</t>
  </si>
  <si>
    <t>Spring - Vivaldi</t>
  </si>
  <si>
    <t>Content, joyful.</t>
  </si>
  <si>
    <t>Orange juice.</t>
  </si>
  <si>
    <t>Frog croak.</t>
  </si>
  <si>
    <t>It makes me feel relaxed and happy!</t>
  </si>
  <si>
    <t>It would be very light lone, easy going melody that flows well!</t>
  </si>
  <si>
    <t>This painting fills me with joy, its bright, warm colors creating an immersive view. I feel encapsulated by the sun‚Äôs rays, experiencing a peaceful moment of bliss within a wonderland.</t>
  </si>
  <si>
    <t>I imagine the soundtrack having a blissful, adventurous melody, like the feeling of skipping through a field without a care in the world. I envision the music featuring woodwind instruments blended with light percussion.</t>
  </si>
  <si>
    <t>peaceful, bright, fragrant, calm</t>
  </si>
  <si>
    <t>Assorted fruit</t>
  </si>
  <si>
    <t>a peaceful, delightful melody by wind chimes</t>
  </si>
  <si>
    <t>This painting makes me feel happy and curious about nature.</t>
  </si>
  <si>
    <t>It would be a salad with leafy greens and tomatoes</t>
  </si>
  <si>
    <t>This painting would be a slower jazz song.</t>
  </si>
  <si>
    <t>slightly excited, warm, and whimsical</t>
  </si>
  <si>
    <t>Matcha latte with strawberry puree</t>
  </si>
  <si>
    <t>Calm strings paired with light piano, very consistent and reminiscent of a Studio Ghibli soundtrack.</t>
  </si>
  <si>
    <t>calm, enjoy</t>
  </si>
  <si>
    <t>1000$ detailed, great skill showing and beautiful. but I dont spend my money on art tho.</t>
  </si>
  <si>
    <t>spinach.</t>
  </si>
  <si>
    <t>liquid flowing and bird.</t>
  </si>
  <si>
    <t>Content</t>
  </si>
  <si>
    <t>Tacos</t>
  </si>
  <si>
    <t>Grandiose¬†yet soothing</t>
  </si>
  <si>
    <t>Very happy, content, calm</t>
  </si>
  <si>
    <t>strawberries</t>
  </si>
  <si>
    <t>Very light, like a fiddle or a bluegrass sort of mountain music.¬†</t>
  </si>
  <si>
    <t>this painting makes me feel hopeful, enlighted, but a little concerned</t>
  </si>
  <si>
    <t>spaghetti and meatballs</t>
  </si>
  <si>
    <t>very upbeat, major key, happy and flowing melody</t>
  </si>
  <si>
    <t>It makes me feel warm, relaxed and happy.¬†</t>
  </si>
  <si>
    <t>cupcake</t>
  </si>
  <si>
    <t>A gentle lyrical song. It should be sang by a female singer.</t>
  </si>
  <si>
    <t>happy, whimsy, nice</t>
  </si>
  <si>
    <t>happy, calm, nature</t>
  </si>
  <si>
    <t>Makes me feel happy, it looks like a nice memory. I can feel the breeze.</t>
  </si>
  <si>
    <t>Smoothie</t>
  </si>
  <si>
    <t>Bright, upbeat, pop song, summer vibes.</t>
  </si>
  <si>
    <t>I feel peaceful and content. I feel like singing a song and enjoying beautiful weather.</t>
  </si>
  <si>
    <t>Tea</t>
  </si>
  <si>
    <t>This soundtrack is a string orchestral piece, and features a lot of scales and harmonics. It also has long notes that are dragged out, and plays lots of higher notes.</t>
  </si>
  <si>
    <t>Queasy</t>
  </si>
  <si>
    <t>Paint and Paper</t>
  </si>
  <si>
    <t>Peppa pig theme song</t>
  </si>
  <si>
    <t>I feel very bright and uplifting.</t>
  </si>
  <si>
    <t>cucumber</t>
  </si>
  <si>
    <t>Debussy</t>
  </si>
  <si>
    <t>calm, full of life</t>
  </si>
  <si>
    <t>vegetable salad</t>
  </si>
  <si>
    <t>full of life, joyful</t>
  </si>
  <si>
    <t>This painting gives me a vibrant yet peaceful atmosphere. It exudes the feeling of spring, bringing a sense of tranquility and ease. Looking at this painting makes me feel relaxed and more positive.</t>
  </si>
  <si>
    <t>I want to create a calm yet vibrant melody to accompany this painting. The melody should incorporate the sounds of insects chirping and flowing water, creating a sense of tranquility and comfort.</t>
  </si>
  <si>
    <t>I feel pleasant and overjoyed.</t>
  </si>
  <si>
    <t>It would be tropical fruits of any kind.¬†</t>
  </si>
  <si>
    <t>Music that would instill joy. Something involving quicker beats but not overpowering. Still an overall calming track.</t>
  </si>
  <si>
    <t>Calm, melancholic, relaxed.</t>
  </si>
  <si>
    <t>A fresh salad with light dressing.¬†</t>
  </si>
  <si>
    <t>Slow, minimal, graceful, soothing.</t>
  </si>
  <si>
    <t>happy and peaceful. how you feel when you take in scenery at the peak of a hike.</t>
  </si>
  <si>
    <t>a fresh salad with fruits and arugula</t>
  </si>
  <si>
    <t>lush life</t>
  </si>
  <si>
    <t>This paining makes me feel happy, and free.</t>
  </si>
  <si>
    <t>$40 CAD</t>
  </si>
  <si>
    <t>Cucumber.</t>
  </si>
  <si>
    <t>Calm, peaceful, birds chirping.¬†</t>
  </si>
  <si>
    <t>Comforted and warm, but melancholy because I'll soon awaken and leave the dream behind</t>
  </si>
  <si>
    <t>Sweet garden carrots</t>
  </si>
  <si>
    <t>Light and pleasant, like Claude Debussy's "Arabesque"</t>
  </si>
  <si>
    <t>Calm, peaceful, warm, playful</t>
  </si>
  <si>
    <t>Peeps</t>
  </si>
  <si>
    <t>Magical, light, fluffy, whimsical, bright</t>
  </si>
  <si>
    <t>energetic</t>
  </si>
  <si>
    <t>violin</t>
  </si>
  <si>
    <t>The painting makes me feel energized and happy. It makes me feel like going outside for a walk sitting down for a picnic.</t>
  </si>
  <si>
    <t>fruit salad</t>
  </si>
  <si>
    <t>The soundtrack would be light and playful with instruments like flutes, piano, triangle, etc. It would be faster in tempo and would provide feelings of joy and exploration.</t>
  </si>
  <si>
    <t>This painting makes me feel joyful and nostalgic, longing for the innoncence of childhood.</t>
  </si>
  <si>
    <t>Folksy, strings, chamber folk, chimes, birds</t>
  </si>
  <si>
    <t>peaceful and refreshed, calm but also energized and cheerful.</t>
  </si>
  <si>
    <t>10,000,000 (can't afford it)</t>
  </si>
  <si>
    <t>fruit, vegetable and cheese platter</t>
  </si>
  <si>
    <t>violin and piano accompaniment, light and cheerful, elegant classical music</t>
  </si>
  <si>
    <t>This painting feels unrealistic because it is too peaceful to be true. The bridge and the greens make this feel like the setup in a fairy tale. The greens seem to point towards the centre of the bridge, which can be a connection between two important people.</t>
  </si>
  <si>
    <t>100 CAD. Pure comfort.</t>
  </si>
  <si>
    <t>Charcuterie board. A mandate for a picnic.</t>
  </si>
  <si>
    <t>Feel The Magic by Engelwood.
¬†
Peaceful rhythm, peaceful background music, everything is so peaceful in this soundtrack.</t>
  </si>
  <si>
    <t>Very calm, content, and free.</t>
  </si>
  <si>
    <t>It would have windchimes and a woman's voice.</t>
  </si>
  <si>
    <t>This painting makes me feel serene and calm.¬†</t>
  </si>
  <si>
    <t>Jelly</t>
  </si>
  <si>
    <t>The soundtrack would be fast, light and airy, in major key. I think a flute would feature prominently in the soundtrack.</t>
  </si>
  <si>
    <t>It makes me feel at peace and warm, like I'm standing under the sun.¬†</t>
  </si>
  <si>
    <t>I would estimate the value of this painting to be around 250 million.¬†</t>
  </si>
  <si>
    <t>It would be a light but decadent dessert, such as a sponge cake with a whipped cream-like icing and lemon.¬†</t>
  </si>
  <si>
    <t>I would describe it as something bright and peaceful, which could be played at a tea party.¬†</t>
  </si>
  <si>
    <t>Happy and peaceful</t>
  </si>
  <si>
    <t>energetic and relaxing music with a happy mood</t>
  </si>
  <si>
    <t>This painting makes me feel happy, calm, warm.¬†</t>
  </si>
  <si>
    <t>Cheerful, playful, melodious</t>
  </si>
  <si>
    <t>It feels full of life.</t>
  </si>
  <si>
    <t>Upbeat and lively music with a strong sense of rhythm.</t>
  </si>
  <si>
    <t>Wonderful! The background is teeming with every shade of green, and the ever-approaching greenery makes the scene come to life despite the sense of complacency I sometimes get from artwork depicting scenery.</t>
  </si>
  <si>
    <t>Thereotically a million dollars</t>
  </si>
  <si>
    <t>Lo han jai (Buddha's delight)</t>
  </si>
  <si>
    <t>Orchestral music and concertos in the major key - not the sombre, dramatic-sounding ones</t>
  </si>
  <si>
    <t>This painting makes me feel happy, calm and peaceful</t>
  </si>
  <si>
    <t>Howl's moving castle¬†</t>
  </si>
  <si>
    <t>The image evokes a sense of calmness, stillness, and nostalgia, almost to the point of but not necessarily at the edge of staleness. The frozen time make it feel idyllic and restful, and the painting is perhaps a little bittersweet with its reminiscence.¬†</t>
  </si>
  <si>
    <t>The soundtrack would probably similar to a lot of old school disney music soundtracks, with likely a single singer, a moderate to quick tempo, high notes, and instruments such as flutes, violins, and pianos.</t>
  </si>
  <si>
    <t>relaxed and warm, like im sunbathing in a forest during summer</t>
  </si>
  <si>
    <t>70$</t>
  </si>
  <si>
    <t>matcha</t>
  </si>
  <si>
    <t>wind rustling through a forest while birdsong plays</t>
  </si>
  <si>
    <t>On a beautiful and leisurely summer day, go to a deserted and fresh-air park with a few friends or family members to have a picnic and take photos. Everyone enjoys an unexpected and relaxing vacation together.</t>
  </si>
  <si>
    <t>Gelato Mousse</t>
  </si>
  <si>
    <t>The melodious and lively rhythm, the soothing melody, and the dew and bright lyrics</t>
  </si>
  <si>
    <t>Relaxed, at peace.</t>
  </si>
  <si>
    <t>A calm violin piece.</t>
  </si>
  <si>
    <t>The painting makes me feel bright and happy.</t>
  </si>
  <si>
    <t>Caesar salad</t>
  </si>
  <si>
    <t>The soundtrack is happy and uplifting, with a guitar playing.</t>
  </si>
  <si>
    <t>This painting makes me feel old, nostalgic, and peaceful.</t>
  </si>
  <si>
    <t>I would pay $50.</t>
  </si>
  <si>
    <t>It would be a cream cheese bagel.</t>
  </si>
  <si>
    <t>The soundtrack would have birds chirping and nature sounds.</t>
  </si>
  <si>
    <t>This painting makes me feel happy, as if it were a bright sunny day.</t>
  </si>
  <si>
    <t>A mellow acoustic guitar song</t>
  </si>
  <si>
    <t>The painting makes me feel overwhelmed by the colours.</t>
  </si>
  <si>
    <t>I would spend up to $20 for this painting.</t>
  </si>
  <si>
    <t>Something with too many flavours.</t>
  </si>
  <si>
    <t>A calm classical piece, maybe by Bach, would fit well.</t>
  </si>
  <si>
    <t>joyful, energized</t>
  </si>
  <si>
    <t>lighthearted and playful</t>
  </si>
  <si>
    <t>Easy and relax¬†</t>
  </si>
  <si>
    <t>Salad¬†</t>
  </si>
  <si>
    <t>Sound of stream¬†</t>
  </si>
  <si>
    <t>Bright and cheerful</t>
  </si>
  <si>
    <t>Afternoon tea</t>
  </si>
  <si>
    <t>Cheerful and playful</t>
  </si>
  <si>
    <t>Happy and relaxed, like laying in the grass under the sun.</t>
  </si>
  <si>
    <t>A flaky, floral pastry (eg. Yunnan rose flower cakes)</t>
  </si>
  <si>
    <t>A light, upbeat tune with few instruments and no bass; more specifically, a flute with piano and/or violin</t>
  </si>
  <si>
    <t>I feel peaceful and calm when looking at this painting. The colors are light and fit together so the art appears natural and easy to look at. The plants appear to be moving with a cool breeze, which adds to the serenity of the piece.</t>
  </si>
  <si>
    <t>$20. It's a pretty painting that I wouldn't mind showing.</t>
  </si>
  <si>
    <t>Warm porridge or congee.</t>
  </si>
  <si>
    <t>A calm and soothing soundtrack that relaxes the mind.</t>
  </si>
  <si>
    <t>This painting makes me joyful and happy. It fills me with hope and makes me look forward to the day. Actually, it just made my day.</t>
  </si>
  <si>
    <t>It would be a giddy and energetic soundtrack filled with blissful melodies and quirky percussions. The melody would be upliting and tempo would be medium to fast.</t>
  </si>
  <si>
    <t>It makes me feel very happy and light. It reminds me of sunshine and nature in a beautiful way. It is also very calming to look at.</t>
  </si>
  <si>
    <t>50$</t>
  </si>
  <si>
    <t>The soundtrack would be in a major or augmented key, invoking extremely joyous emotions. It would be bright, very upbeat, and really enjoyable to listen to. It would be a great song to listen to on a summer walk in nature, making you want to skip. The music would make people smile and feel warm.</t>
  </si>
  <si>
    <t>It's very vibrant so it feels happier than some of the other paintings but also louder.</t>
  </si>
  <si>
    <t>Something like the Lord of the Rings soundtrack for the Hobbits (very joyful upbeat instrumental).</t>
  </si>
  <si>
    <t>I felt relaxed and happy; the bright scenery made me feel joyful and energetic.</t>
  </si>
  <si>
    <t>50 dollars</t>
  </si>
  <si>
    <t>Cake. Those cakes that look appealing make you want to eat them and bring you joy. It tastes good too, sweet and very flavorful.</t>
  </si>
  <si>
    <t>The upbeat song, with its fast and energetic rhythm, is very relaxing and can invigorate people, creating an overall pleasant and relaxed atmosphere.</t>
  </si>
  <si>
    <t>Peaceful and a bit sleepy</t>
  </si>
  <si>
    <t>Chamomile tea</t>
  </si>
  <si>
    <t>Lo-fi piano with some nature sounds</t>
  </si>
  <si>
    <t>Make me feel pretty happy</t>
  </si>
  <si>
    <t>Like a spring soundtrack</t>
  </si>
  <si>
    <t>I love this painting, this painting gives me the warm, calming, bird chipping, joyful, peaceful and I can feel the sun shining on my body. I feel like I am in the painting, smelling the lotus flower, is a nice sunday afternoon in spring where I am taking a walk in the park, and I saw this view. I feel really relaxing with this painting.¬†</t>
  </si>
  <si>
    <t>It would be a matcha and white choclate cheese cake.¬†</t>
  </si>
  <si>
    <t>it would have water pond, frog sounds, bird chipping, wind blowing through trees.¬†</t>
  </si>
  <si>
    <t>Very peaceful, connected to the Earth</t>
  </si>
  <si>
    <t>A beautifully sylvan melody that reminds you of how nice nature is</t>
  </si>
  <si>
    <t>This painting makes me feel at peace and relaxed. It makes me feel like I have nothing to worry about and that I should take things slow.</t>
  </si>
  <si>
    <t>Lotus cookie</t>
  </si>
  <si>
    <t>A slow, but uplifting oriental song with the flute and the piano.</t>
  </si>
  <si>
    <t>sunny day, fresh air, i can even smell the air</t>
  </si>
  <si>
    <t>fish and chips</t>
  </si>
  <si>
    <t>relief from the real world, here comes the sun, no matter what happens the sun will always be up there</t>
  </si>
  <si>
    <t>This one makes me feel peaceful and refreshed, like my brain finally got a chance to breathe.
¬†</t>
  </si>
  <si>
    <t>It would be a fresh fruit tart with pistachio cream.</t>
  </si>
  <si>
    <t>It would feel like quiet happiness, the kind that doesn‚Äôt need words.</t>
  </si>
  <si>
    <t>Energized</t>
  </si>
  <si>
    <t>Charcuterie board</t>
  </si>
  <si>
    <t>Birds, bright-sounding music</t>
  </si>
  <si>
    <t>Cozy</t>
  </si>
  <si>
    <t>Playful</t>
  </si>
  <si>
    <t>It makes me relaxed and peaceful without any sense of urgency and pressure.</t>
  </si>
  <si>
    <t>Bird song</t>
  </si>
  <si>
    <t>I feel fresh, warm, and excited for what is yet to come.¬†¬†</t>
  </si>
  <si>
    <t>Soft energetic strumming on a guitar with ethereal singing.¬†</t>
  </si>
  <si>
    <t>I feel warmth and tranquility with hints of childlike excitement.</t>
  </si>
  <si>
    <t>I would be willing to purchase this painting for 250 dollars.</t>
  </si>
  <si>
    <t>A pepperoni pizza.</t>
  </si>
  <si>
    <t>A piano melody full of consonance and happy chords.</t>
  </si>
  <si>
    <t>This painting makes me feel profoundly peaceful and relaxed. The soft, dappled colors and gentle reflections in the water create a meditative atmosphere. Looking at it feels like taking a deep breath of fresh garden air. It evokes a sense of harmony with nature and a desire to sit quietly and enjoy the simple beauty of the natural world.</t>
  </si>
  <si>
    <t>Fresh garden salad with edible flowers - light, refreshing, and full of natural greens with delicate pops of color, evoking the same sense of tranquility and connection to nature.</t>
  </si>
  <si>
    <t>A gentle, impressionistic piece featuring soft harp arpeggios and delicate flute melodies drifting over barely audible sounds of nature. The music would flow like water, with peaceful woodwinds creating a sense of dappled sunlight. Occasional quiet moments of silence add to the meditative quality, inviting the listener to simply breathe and be present.</t>
  </si>
  <si>
    <t>at peace and warm. Happy and playful with child-like joy</t>
  </si>
  <si>
    <t>Fruit custard / danish</t>
  </si>
  <si>
    <t>Folky song with occasional fast fluttering runs on the flute and piano and happy and warm accompaniment on folk guitar with simple and fast percussion. Warm and excited female vocalist sings.</t>
  </si>
  <si>
    <t>A tranquil, natural, and leisurely life in my twilight years. In a secluded garden, on a lazy afternoon, I caught a glimpse of it, and so it remained etched in my memory</t>
  </si>
  <si>
    <t>Peppermint water</t>
  </si>
  <si>
    <t>¬†Ambient music, featuring gentle water flow and wind sounds. Includes the rustling of plants swaying in the breeze and the chirping of insects.</t>
  </si>
  <si>
    <t>it feels relaxing and revitalizing, but also very still</t>
  </si>
  <si>
    <t>floral tea</t>
  </si>
  <si>
    <t>it would sound slightly cheerful/uplifting but still peaceful, with maybe a few different instruments</t>
  </si>
  <si>
    <t>Chill and hopeful</t>
  </si>
  <si>
    <t>a refreshing salad</t>
  </si>
  <si>
    <t>cheerful yet calm, with flutes and violins</t>
  </si>
  <si>
    <t>calm, at peace, cliche</t>
  </si>
  <si>
    <t>mineral water</t>
  </si>
  <si>
    <t>pastoral, Delius-esque, small orchestra; bird call-imitations in woodwinds; major key; shimmering texture</t>
  </si>
  <si>
    <t>Very pleasant, warm, makes me unconsciously smile.
This painting can lighten up my mood.</t>
  </si>
  <si>
    <t>Friends,Coworkers/Classmates,Strangers,By yourself</t>
  </si>
  <si>
    <t>Vanilla ice cream with light cream, less sugar, and a bit of freshness.</t>
  </si>
  <si>
    <t>Groovy and upbeat, somewhat melodious.</t>
  </si>
  <si>
    <t>Happy, energetic, peaceful but in a vibrant way.</t>
  </si>
  <si>
    <t>Spinach with rice</t>
  </si>
  <si>
    <t>Energetic, with many instruments, in a fast pace.</t>
  </si>
  <si>
    <t>Calm and serenity. The water with the scenery just reminds me of nature and exploring the outdoors, and definitely brings back fond and calm memories walking around trails with families and friends.</t>
  </si>
  <si>
    <t>I love this painting, but I am also a poor student, so I would pay a decent amount, but not too much. Maybe like 200-300 dollars.</t>
  </si>
  <si>
    <t>It reminds me of salad and lettuce. Just a calm, easy and green staple food, that doesn't do too much, and acts as a great comfort food at times.</t>
  </si>
  <si>
    <t>This soundtrack would be very calm and slow; like free flowing water, birds chirping, and really light themes and tones, with instruments like the flute and piccolo dancing around soothing melodies.</t>
  </si>
  <si>
    <t>This painting makes me feel calm and content.</t>
  </si>
  <si>
    <t>A fruit bowl.</t>
  </si>
  <si>
    <t>The soundtrack will consist of happy and vivid music playing.</t>
  </si>
  <si>
    <t>Happy, melancholic and warm</t>
  </si>
  <si>
    <t>120 000</t>
  </si>
  <si>
    <t>Happy, energetic and yearning</t>
  </si>
  <si>
    <t>light, imaginative</t>
  </si>
  <si>
    <t>a muffin</t>
  </si>
  <si>
    <t>serene, peaceful</t>
  </si>
  <si>
    <t>Calm and peaceful</t>
  </si>
  <si>
    <t>trumpet</t>
  </si>
  <si>
    <t>This painting makes me feel relaxed, maybe slightly sleepy.</t>
  </si>
  <si>
    <t>The soundtrack would probably be some upbeat pop music, with family-friendly lyrics.</t>
  </si>
  <si>
    <t>This painting makes me feel joyful and relaxed.</t>
  </si>
  <si>
    <t>Matcha cake.</t>
  </si>
  <si>
    <t>The soundtrack would be full of layered, flowing sounds. There are soft rhythms that rise and fall, light pulses that feel like breathing, and gentle movements that never stay still for long. Everything sounds active, fresh, and quietly powerful.</t>
  </si>
  <si>
    <t>It makes me feel peaceful.</t>
  </si>
  <si>
    <t>Flower</t>
  </si>
  <si>
    <t>Soft and slow</t>
  </si>
  <si>
    <t>This painting makes me feel extremely calm and peaceful, as if I‚Äôve stepped into a quiet and beautiful world where everything feels gentle and harmonious. The soft colors and flowing atmosphere create a sense of relaxation and emotional comfort, making life seem slow, simple, and serene. It feels so perfect and soothing that it almost seems impossible to exist in reality, like an ideal place free from stress or pressure. Looking at it gives me a sense of happiness and stillness, as if everything in the world is good and peaceful within this scene.</t>
  </si>
  <si>
    <t>a yogurt bowl with cereal, fruits and honey</t>
  </si>
  <si>
    <t>I imagine the soundtrack flowing with the same lightness and warmth as¬†beethoven's spring sonata: gentle, lyrical phrases that feel fresh and full of quiet joy. The melody would move gracefully and effortlessly, bright yet soft, carrying a sense of renewal and peaceful happiness. The harmonies would feel tender and balanced, never heavy or dramatic, just smooth and comforting. The rhythm would be steady and natural, like calm breathing, creating an atmosphere that feels serene, hopeful, and full of delicate life.</t>
  </si>
  <si>
    <t>This makes me feel calm like I should be reminded of how lucky I am to have the life I have and how beautiful the world is</t>
  </si>
  <si>
    <t>Eggs benedict with a glass of orange juice</t>
  </si>
  <si>
    <t>It would be an uplifting yet calm beat with hints of nature like birds chirping in the background</t>
  </si>
  <si>
    <t>Feels like wasted time, and that time should be used wisely.¬†¬†</t>
  </si>
  <si>
    <t>Makes me feel slow, sad, and for some reason hot.</t>
  </si>
  <si>
    <t>Lava cake</t>
  </si>
  <si>
    <t>Consistent tapping on a wall</t>
  </si>
  <si>
    <t>This painting makes me feel a sense of unease, as the objects in the scene are identifiable but presented in a way that is unfamiliar. The open space and lack of life also contribute to a feeling of vulnerability.¬†</t>
  </si>
  <si>
    <t>Mushroom cream soup</t>
  </si>
  <si>
    <t>A soundtrack for this painting would have low-pitched vibrations and a slow but steady beat. There would be one main instrument playing the melody, perhaps like a bass guitar, and optionally a bass drum to enunciate the beat.¬†</t>
  </si>
  <si>
    <t>This painting makes me feel sad and mildly stressed.</t>
  </si>
  <si>
    <t>Mashed potatoes</t>
  </si>
  <si>
    <t>Peaceful nature noises interrupted by sad ticking.</t>
  </si>
  <si>
    <t>makes me feel like I am stuck on an island, and I can't seem to find any help.¬†</t>
  </si>
  <si>
    <t>bowl of lentil soup</t>
  </si>
  <si>
    <t>Wind blowing and bird humming.¬†</t>
  </si>
  <si>
    <t>slow, lazy, tired</t>
  </si>
  <si>
    <t>Porridge</t>
  </si>
  <si>
    <t>a sad, slow, beat with a nostalgic melody</t>
  </si>
  <si>
    <t>This painting makes me feel tired and sad, and perhaps even a little bit warm.</t>
  </si>
  <si>
    <t>The soundtrack is dark, in a minor scale, and sounds very ominous and spooky.</t>
  </si>
  <si>
    <t>It makes me think about how I spend my time and how eventually I will get old and start to degrade, it is inevitable but it still makes me feel melancholic.</t>
  </si>
  <si>
    <t>Something psychedelic yet melancholic, lamenting about how they have or should spend their times.</t>
  </si>
  <si>
    <t>no feelings</t>
  </si>
  <si>
    <t>very dull baked beans¬†</t>
  </si>
  <si>
    <t>very uneasy classical music.</t>
  </si>
  <si>
    <t>Confused</t>
  </si>
  <si>
    <t>Munch by Ice Spice</t>
  </si>
  <si>
    <t>It makes me feel curious as to what the image repsesents.</t>
  </si>
  <si>
    <t>Muffin</t>
  </si>
  <si>
    <t>The sound track would have birds chirping noises, with a small sound of clicking something.</t>
  </si>
  <si>
    <t>This painting makes me feel visceral and human. It speaks to me about how time slips away like sand on a beach, and I should make the most of it.</t>
  </si>
  <si>
    <t>A hot bowl of soup</t>
  </si>
  <si>
    <t>Slow, orchestral, and vivid.</t>
  </si>
  <si>
    <t>I feel like the painting is conveying a hopeless sense of time slipping away. Or a place where time is no longer a concept that matters.</t>
  </si>
  <si>
    <t>a cold sandwich, once delicious</t>
  </si>
  <si>
    <t>It would be ambience rather than something melodic</t>
  </si>
  <si>
    <t>Lost</t>
  </si>
  <si>
    <t>Worms</t>
  </si>
  <si>
    <t>Confusing weird noises</t>
  </si>
  <si>
    <t>It makes me feel like ending is near as if there is something missing in life, the bird figure being dead without any life, the clock melting it is as if everything is coming to an end.</t>
  </si>
  <si>
    <t>Plain rice</t>
  </si>
  <si>
    <t>End of Beginning by Djo</t>
  </si>
  <si>
    <t>The painting looks nice. Other than that I don‚Äôt really emotionally connect with it.</t>
  </si>
  <si>
    <t>Calm piano melody in C minor</t>
  </si>
  <si>
    <t>This painting makes me feel like everything is pointless because time will eventually make it fade into the past</t>
  </si>
  <si>
    <t>Expired bread</t>
  </si>
  <si>
    <t>It would be a somber and dull tune</t>
  </si>
  <si>
    <t>sad and depressed</t>
  </si>
  <si>
    <t>Chicken breast</t>
  </si>
  <si>
    <t>Sad songs</t>
  </si>
  <si>
    <t>It makes me feel a bit anxious mainly because of the slimy clocks</t>
  </si>
  <si>
    <t>Melting ice cream</t>
  </si>
  <si>
    <t>late-night drake, emotion slow , space</t>
  </si>
  <si>
    <t>Melancholic, Slow, Patient, Nostalgic, Old, Traveling, Wandering</t>
  </si>
  <si>
    <t>Country, Stringy, Warm, Soft</t>
  </si>
  <si>
    <t>It makes me feel wary about my time, like it‚Äôs slipping away, along with the lives of other living things</t>
  </si>
  <si>
    <t>Brown rice</t>
  </si>
  <si>
    <t>The Climb - Miley Cyrus</t>
  </si>
  <si>
    <t>indifferent</t>
  </si>
  <si>
    <t>boring</t>
  </si>
  <si>
    <t>Confused, but interested</t>
  </si>
  <si>
    <t>Casserole</t>
  </si>
  <si>
    <t>Slow paced, maybe sad</t>
  </si>
  <si>
    <t>It makes me feel like time moves on continuously, without wait for anything or anyone</t>
  </si>
  <si>
    <t>chowder</t>
  </si>
  <si>
    <t>psychedelic non-standard timing, perhaps 3/8ths or 5/4¬†</t>
  </si>
  <si>
    <t>it makes me feel a little nostalgic with the clocks melting down and the decay of the landscape</t>
  </si>
  <si>
    <t>nostalgic, slow, a little somber but not too much, dreamy, hazy</t>
  </si>
  <si>
    <t>Slightly confused, hard to understand whats going on¬†</t>
  </si>
  <si>
    <t>Greasy Stirfry</t>
  </si>
  <si>
    <t>The painting sort of invokes a feeling of anxiety about the passage of time and being left behind. It makes me feel uncertain, but it doesn't resonate with any of my emotions.¬†</t>
  </si>
  <si>
    <t>Stuffed turkey</t>
  </si>
  <si>
    <t>A mellow, deep tune carried by a softly played violin. The violin is accompanied by a simple piano harmony that ensures it doesn't overshadow the violin.¬† The song doesn't really have an auditory climax and it doesn't really go up or down in intensity; it just persists in its simplicity.¬†</t>
  </si>
  <si>
    <t>The melting clocks make time feel unreal and unstable, which is what grabs me first. It‚Äôs thought-provoking but also confusing, and it took me a while to notice the centre shape looks like a face. Once I saw it, I felt a bit unsettled, but I‚Äôm still not sure exactly how it makes me feel.</t>
  </si>
  <si>
    <t>A quiet desert-style theme mixed with a slow, rising space soundtrack that feels big, tense, and a bit eerie.</t>
  </si>
  <si>
    <t>I think I understand what the artist is trying to hint at, but I don't really get it. I don't really like this art style; it feels dirty and somewhat hazy. I think this would be something a media arts teacher would pick out and tell their students to analyze the symbolism of colours and whatnots.</t>
  </si>
  <si>
    <t>chocolate chip cookie</t>
  </si>
  <si>
    <t>There's this very famous instrumental song called "lifeline" which is basically¬†</t>
  </si>
  <si>
    <t>I get a dull feeling from this painting. The first thing I notice is the clocks being hanged over certain surfaces and the fact that they are not being placed "nicely" indicates a negative¬†</t>
  </si>
  <si>
    <t>A bit sad or distraught.</t>
  </si>
  <si>
    <t>A piece of bread.</t>
  </si>
  <si>
    <t>A very quiet or silent type of music. Somewhat slow tempo, not very upbeat.</t>
  </si>
  <si>
    <t>Sad</t>
  </si>
  <si>
    <t>Noodles</t>
  </si>
  <si>
    <t>White noise</t>
  </si>
  <si>
    <t>The painting makes me feel mystery and a little uneasy.</t>
  </si>
  <si>
    <t>Pecan pie.</t>
  </si>
  <si>
    <t>Classical music that you could study to.</t>
  </si>
  <si>
    <t>Clock on the tree gives the theme of the painting.</t>
  </si>
  <si>
    <t>I don't want to buy this painting.</t>
  </si>
  <si>
    <t>Classic</t>
  </si>
  <si>
    <t>It looks similar to liminal spaces, giving feelings of uneasiness or unsettledness.¬†</t>
  </si>
  <si>
    <t>Molten chocolate cake</t>
  </si>
  <si>
    <t>Slow tempo, calm but uneasy feeling like a song from The Caretaker. The crackling sound of a dusty or old vinyl record in the background. Reverberation, slow strings. Ambient style.</t>
  </si>
  <si>
    <t>Stressed</t>
  </si>
  <si>
    <t>lobster</t>
  </si>
  <si>
    <t>eerie soundtrack with high bpm¬†</t>
  </si>
  <si>
    <t>Makes me feel uneasy, tired and drowsy.</t>
  </si>
  <si>
    <t>Pudding</t>
  </si>
  <si>
    <t>piano playing in an off key</t>
  </si>
  <si>
    <t>It gives me a feeling of strange.¬†</t>
  </si>
  <si>
    <t>Orange</t>
  </si>
  <si>
    <t>sound of wind.¬†</t>
  </si>
  <si>
    <t>Confusion, uncertain and secret.</t>
  </si>
  <si>
    <t>100000 doller</t>
  </si>
  <si>
    <t>Fish</t>
  </si>
  <si>
    <t>Echo</t>
  </si>
  <si>
    <t>Makes me feel nothing too unusual.</t>
  </si>
  <si>
    <t>About 1k-2k due to attributions to Salvador Ali.</t>
  </si>
  <si>
    <t>Sharawma¬†</t>
  </si>
  <si>
    <t>I would think of the late stage caretaker album</t>
  </si>
  <si>
    <t>A chaos of time¬†</t>
  </si>
  <si>
    <t>Congee</t>
  </si>
  <si>
    <t>Blood and fight</t>
  </si>
  <si>
    <t>Feel like i am losing time</t>
  </si>
  <si>
    <t>a dish that would give me nostalgia like a dish that my mother made when i was a kid</t>
  </si>
  <si>
    <t>a mellow slow song like motion picture soundtrack by radiohead</t>
  </si>
  <si>
    <t>It's an interesting feeling, it makes me think about how time just melts together. As the years go by everything blurs together and you start to forget about the day to day things and just live without taking in what really matters in life.¬†</t>
  </si>
  <si>
    <t>no more than 1000 dollars.¬†</t>
  </si>
  <si>
    <t>rice, frequent but influential.¬†</t>
  </si>
  <si>
    <t>slow melody piano¬†</t>
  </si>
  <si>
    <t>It makes me feel worried of the future¬†</t>
  </si>
  <si>
    <t>It would sound like a foreign Arabic instrumental with a vocal and maybe dark and mysterious vibes</t>
  </si>
  <si>
    <t>It makes me feel sad and sombre.</t>
  </si>
  <si>
    <t>Plain Toast</t>
  </si>
  <si>
    <t>A low and minimal soundtrack that has a clicking sound rhythm</t>
  </si>
  <si>
    <t>sad, reminds me of watching an episode of courage the cowardly dog</t>
  </si>
  <si>
    <t>cheese pizza</t>
  </si>
  <si>
    <t>a horse with no name from breaking bad about the desert sun</t>
  </si>
  <si>
    <t>It makes me feel a bit uncomfortable seeing the insects and clocks</t>
  </si>
  <si>
    <t>Slow rhythmic drumming with a weird piccolo melody</t>
  </si>
  <si>
    <t>sad, scared, worried, uneasy</t>
  </si>
  <si>
    <t>atmospheric, lonely, creepy</t>
  </si>
  <si>
    <t>This piece fills me with wonder and fascination. The melting clocks and dreamlike landscape feel surreal and imaginative. I love how the fluid shapes and serene yet mysterious atmosphere make me feel both calm and excited about the endless possibilities of creativity.</t>
  </si>
  <si>
    <t>A gooey caramel sundae with melting ice cream and rich flavors, sweet and surreal.</t>
  </si>
  <si>
    <t>A slow, dreamy melody with elongated notes and gentle echoes, punctuated by soft, dripping rhythms and a warm, ambient hum that evokes timeless wonder.</t>
  </si>
  <si>
    <t>Makes me think of how we have limited time in life. Makes me a little uneasy thinking about how I may waste my given time. However the colours and the light in the distance make the future seem hopeful.</t>
  </si>
  <si>
    <t>Grapefruit¬†</t>
  </si>
  <si>
    <t>Slow piano with ominous organs playing. In the background you can here some light harp playing and slightly cheerful drumming.</t>
  </si>
  <si>
    <t>Uneasy</t>
  </si>
  <si>
    <t>Rice</t>
  </si>
  <si>
    <t>Dark, anxious and fast.</t>
  </si>
  <si>
    <t>This painting makes me feel uncomfortable.</t>
  </si>
  <si>
    <t>Crispy french fries</t>
  </si>
  <si>
    <t>A really long and boring soundtrack, similar to the ones in documentaries.</t>
  </si>
  <si>
    <t>The painting makes me feel empty, almost as if life is governed by time, which is a depressing way to perceive living.</t>
  </si>
  <si>
    <t>French Fry</t>
  </si>
  <si>
    <t>Soft, drifting notes would move slowly, calm but slightly hollow. The music would feel soothing at first, yet leave a quiet sense that something unseen is nearby.</t>
  </si>
  <si>
    <t>Tired, like the passage of time itself is sluggish. The drooping timepieces remind me of times past, of a slow hot summer, of lounging until relaxation turns to rot.¬†¬†</t>
  </si>
  <si>
    <t>Cheese fondue¬†</t>
  </si>
  <si>
    <t>A melancholy, haunting melody in a minor key, that slows as it goes on. The piece starts off nostalgic, warm and reminiscent, but gets more distorted and shifts in speed until it is discordant and unnerving.¬†</t>
  </si>
  <si>
    <t>This painting elicits feelings of being small and realising that life is short</t>
  </si>
  <si>
    <t>Lukewarm Soup</t>
  </si>
  <si>
    <t>slow orchestra-like, a sad melody</t>
  </si>
  <si>
    <t>Sad about time and how we cant get it back, and that memories eventually fade away slowly.</t>
  </si>
  <si>
    <t>Soup.</t>
  </si>
  <si>
    <t>Slow violin + piano.</t>
  </si>
  <si>
    <t>Sombre, nostalgic</t>
  </si>
  <si>
    <t>broccoli</t>
  </si>
  <si>
    <t>uneasy, involving a violin with aggressive, scary notes</t>
  </si>
  <si>
    <t>* Powerless
*</t>
  </si>
  <si>
    <t>Not sure</t>
  </si>
  <si>
    <t>The ticking of a clock</t>
  </si>
  <si>
    <t>I didn't really feel much from this painting since it was relatively random. The clocks being in the desert felt off and the overall scenery seemed empty as well. There were patches of dark ground which contrasted from the sky but I didn't really know how to interpret it.</t>
  </si>
  <si>
    <t>50 dollars. It's probably worth a lot more but I personally wouldn't want it.</t>
  </si>
  <si>
    <t>Bread with jam. I chose this because the items in the painting were relatively contrasting in color from the desert/background.</t>
  </si>
  <si>
    <t>I feel like the soundtrack would have to be very random with sudden changes in sound or tone to reflect how random the painting is. Maybe a constant sound to describe the empty background and a few inserted sounds for the rest of the items.</t>
  </si>
  <si>
    <t>Confused, disoriented, unsettled</t>
  </si>
  <si>
    <t>melted ice cream</t>
  </si>
  <si>
    <t>calm, slow, quiet music</t>
  </si>
  <si>
    <t>Fallen</t>
  </si>
  <si>
    <t>Tiramisu</t>
  </si>
  <si>
    <t>Silence, wind blowing, ticking</t>
  </si>
  <si>
    <t>Soft, Peaceful</t>
  </si>
  <si>
    <t>tiktok</t>
  </si>
  <si>
    <t>melted</t>
  </si>
  <si>
    <t>10$</t>
  </si>
  <si>
    <t>cheese</t>
  </si>
  <si>
    <t>a stretched hush, like air holding its breath at the edge of a dream. A low, sustained tone drifts in, slightly detuned, as if time itself has softened and begun to sag.</t>
  </si>
  <si>
    <t>sad, nostalgic, reminiscent¬†</t>
  </si>
  <si>
    <t>The soundtrack would be calming and slow-paced. The rhythm would be consistent, and there would be a quiet noise in the background, reminding the listener of the rhythm.</t>
  </si>
  <si>
    <t>Questioning about myself and the proper ways things are supposed to be.</t>
  </si>
  <si>
    <t>a few thousand maybe?</t>
  </si>
  <si>
    <t>Family members,Coworkers/Classmates,Strangers,By yourself</t>
  </si>
  <si>
    <t>Meat pie</t>
  </si>
  <si>
    <t>A calm, somber soundtrack.</t>
  </si>
  <si>
    <t>It makes me feel serene and anxious</t>
  </si>
  <si>
    <t>popsicle</t>
  </si>
  <si>
    <t>A bright, melodic, and repetitive tune.</t>
  </si>
  <si>
    <t>It let me feel anxiet somehow, the color maybe, perhaps its the object whihc really looks like a fish, it has a dark and pressing vibe surrounding the paiting.</t>
  </si>
  <si>
    <t>5 dollor?</t>
  </si>
  <si>
    <t>no idea, in my mind all food is delicious I can't think of a food that does not taste good</t>
  </si>
  <si>
    <t>This painting reminds me about time and how it is limited.</t>
  </si>
  <si>
    <t>Probably $5000</t>
  </si>
  <si>
    <t>Pizza because of the colours</t>
  </si>
  <si>
    <t>It would probably be classical.</t>
  </si>
  <si>
    <t>sad, slow piano</t>
  </si>
  <si>
    <t>Neutral/Unsure</t>
  </si>
  <si>
    <t>mcdonalds</t>
  </si>
  <si>
    <t>classical</t>
  </si>
  <si>
    <t>nostalgic, hostile, feel like time is running out</t>
  </si>
  <si>
    <t>butter</t>
  </si>
  <si>
    <t>noisy, jagged, sounds like a real song but is not, something is wrong with the music</t>
  </si>
  <si>
    <t>In a dream state, where time has no value. There are endless possibilities of what I can do, with no limits.</t>
  </si>
  <si>
    <t>French fries</t>
  </si>
  <si>
    <t>White noise with the buzz of cicadas. Slow, low sounds of a trombone</t>
  </si>
  <si>
    <t>Relaxed yet exhausted</t>
  </si>
  <si>
    <t>A dry sandwich</t>
  </si>
  <si>
    <t>An ambient soundtrack with eeriness to it</t>
  </si>
  <si>
    <t>Sad, desolate, lost, tired</t>
  </si>
  <si>
    <t>An overripe peach</t>
  </si>
  <si>
    <t>The soundtrack is lonely, calm, very distorted. It is quite melancholy, maybe with some distorted and shakey piano, or a low hum.</t>
  </si>
  <si>
    <t>I feel the somber atmosphere and the dissolution of time, reminding me of my finitude.</t>
  </si>
  <si>
    <t>Turkey</t>
  </si>
  <si>
    <t>Ethereal, synth, warped, base-boosted¬†</t>
  </si>
  <si>
    <t>Time is everywhere associated with everything, and it hugs you as it ticks.</t>
  </si>
  <si>
    <t>Apple Pie</t>
  </si>
  <si>
    <t>Great Gig in the Sky - Pink Floyd</t>
  </si>
  <si>
    <t>sad</t>
  </si>
  <si>
    <t>eery</t>
  </si>
  <si>
    <t>Makes me think about how slow some events can be. Specifically makes me feel like I have all the time in the world to get my tasks done.</t>
  </si>
  <si>
    <t>Would sound slow and have a middle eastern touch to it.</t>
  </si>
  <si>
    <t>time melting away whilst the background stays solid and unchanged</t>
  </si>
  <si>
    <t>would be similar to Everywhere at the end of time. Slow and melancholy with a distorted background.¬†</t>
  </si>
  <si>
    <t>The melting clock shows a strange and unconventional order. This painting makes me feel absurd, but it's not without logic. It's like being in a universe with completely different physical laws, or perhaps time has been so long that it can't be measured, and everything has become rotten: even the clocks have "melted".</t>
  </si>
  <si>
    <t>I know nothing about art and I'm not rich enough so CAD$200 at the very maximum.</t>
  </si>
  <si>
    <t>Some sort of soft jelly.</t>
  </si>
  <si>
    <t>The sound track should be similar to psychedelic, containing constant pitch shifts and synthesizer tone, with no drum, no to minimum metre.</t>
  </si>
  <si>
    <t>This painting makes me feel my own sense of reality. The feeling that time drips and oozes sends chills down my spine. The baren landscape is mildly frightening. The background is a quite nice coast, but the incomprehensible shapes in the forefront and and melting of time give me a peculiar¬† feeling of disgust.</t>
  </si>
  <si>
    <t>I would be willing to pay $30 for this painting. I would not go over $40.</t>
  </si>
  <si>
    <t>It would be like add fish in oatmeal. The fish is mildly gross, and put in the boring, benal oatmeal somehow makes both things worse off. It makes me question why it exists, like I would that meal.</t>
  </si>
  <si>
    <t>The soundtrack would be slow, but ever constant sound of wind. It would be a very long and very boring soundtrack with in wich the only thing that I could constantly hear is the drone of wind. There may be an thistle or some other unspecific sound, but these are rare, random and uncommon. As the track continous the music would be progressively begin to loose quality, getting worse and wose over time until you hear nothing except a white noise.</t>
  </si>
  <si>
    <t>I feel empty, meanless of life</t>
  </si>
  <si>
    <t>some sadness, carrying a heavy ache in the chest</t>
  </si>
  <si>
    <t>I felt that time had stood still and vanished</t>
  </si>
  <si>
    <t>The music that makes the heartbeat gradually cease, and it feels like everything is desolate</t>
  </si>
  <si>
    <t>The painting shows clocks melted onto the surfaces, which makes me feel as if time is an illusion. It shows the concept of time slipping away portrayed in one picture, making me want to live in the moment.¬†</t>
  </si>
  <si>
    <t>Corn</t>
  </si>
  <si>
    <t>Je Te Laisserai Des Mots, a surreal feeling with a soothing and oddly calming even though I do not understand the language.</t>
  </si>
  <si>
    <t>This painting makes me feel like spending more time around family and friends.</t>
  </si>
  <si>
    <t>Warm brownie</t>
  </si>
  <si>
    <t>Acoustic guitar with reverb</t>
  </si>
  <si>
    <t>dazed</t>
  </si>
  <si>
    <t>moonlight sonata</t>
  </si>
  <si>
    <t>uneasy, feels like a reality check and gives off a sense of wasted/depleted time, impending doom</t>
  </si>
  <si>
    <t>orange</t>
  </si>
  <si>
    <t>goodbye blue sky by pink floyd</t>
  </si>
  <si>
    <t>It makes me feel like an observer. Everything changes with the passage of time.</t>
  </si>
  <si>
    <t>Plain bread</t>
  </si>
  <si>
    <t>Piano and violin playing together in a melancholic manner.</t>
  </si>
  <si>
    <t>This painting makes me feel depressed. It makes me feel like time is slipping through my fingers and I am not keeping up.</t>
  </si>
  <si>
    <t>Cheese fondue</t>
  </si>
  <si>
    <t>A slow and melancholic soundtrack that focuses on evoking emotion</t>
  </si>
  <si>
    <t>This painting makes me feel somewhat uneasy, partly because of the distorted object in the middle that I can't quite recognize and because of the uncharacteristic nature of certain objects. It makes me feel very gloomy, empty, uncertain and alone.</t>
  </si>
  <si>
    <t>An eerie, deep, droning, dramatic soundtrack with ticking and wind sounds perhaps.¬†</t>
  </si>
  <si>
    <t>A little woozy, like there's something I'm missing or forgetting.</t>
  </si>
  <si>
    <t>A slow, low ticking</t>
  </si>
  <si>
    <t>It makes me feel sad, lazy, and bit depressed.</t>
  </si>
  <si>
    <t>Boiled beans</t>
  </si>
  <si>
    <t>Slow scary piano with heavy bass</t>
  </si>
  <si>
    <t>It makes me feel like time is irrelevant when it comes to life. I see a dead tree, a dead animal and a low waterline with shrivelled clocks and it makes me feel like time is always running out.</t>
  </si>
  <si>
    <t>Popscicle¬†</t>
  </si>
  <si>
    <t>The soundtrack would be a consistent beat similar or faster than human heartbeats in the background with a low tune and not much singing.</t>
  </si>
  <si>
    <t>nothing</t>
  </si>
  <si>
    <t>for just the painting 30, if we take in account the context 300k</t>
  </si>
  <si>
    <t>adjarian khachapuri</t>
  </si>
  <si>
    <t>calm, melancholic</t>
  </si>
  <si>
    <t>It makes me feel confused, uncomfortable, curious, looking for answers.</t>
  </si>
  <si>
    <t>Like the SpongeBob song Hawaiian Cocktail.</t>
  </si>
  <si>
    <t>The open space gives me peace, especially since it overlooks the shore. The clocks being floppy indicates that the artist wanted to to portray time lost in life, which hits home. We waste a lot of time that we cannot get back in life and everybody including me can relate to that.</t>
  </si>
  <si>
    <t>Popeyes biscuit with no bev</t>
  </si>
  <si>
    <t>Hot wind gusts and silence.</t>
  </si>
  <si>
    <t>Anxious because of the clock paintings which make me think that time is running out.¬†</t>
  </si>
  <si>
    <t>Banana¬†</t>
  </si>
  <si>
    <t>The sound of wind and waves.¬†</t>
  </si>
  <si>
    <t>This makes me feel like I am wasting time.
¬†</t>
  </si>
  <si>
    <t>30 CAD</t>
  </si>
  <si>
    <t>It would be a mushy piece of bread.</t>
  </si>
  <si>
    <t>I don't really know.</t>
  </si>
  <si>
    <t>porage</t>
  </si>
  <si>
    <t>dark and slow</t>
  </si>
  <si>
    <t>The whole painting is giving a sad, dreaded vibe due to its cold colour scheme and "unmotivated" objects.¬†</t>
  </si>
  <si>
    <t>20 dollars because I am not a big fan of collecting paintings. I also don't like abstract paintings, so I wouldn't spend much to buy this painting.¬†</t>
  </si>
  <si>
    <t>Stale bread because this painting is depressing and hard to understand, just like how stale bread is unfortunate and hard to chew on.</t>
  </si>
  <si>
    <t>The soundtrack would be an eerie soundtrack with occasional cricket sounds in the background to mimic the silence felt when looking at this painting.</t>
  </si>
  <si>
    <t>The painting evokes a sense of loss or grief, as time is depicted as diminishing.¬†</t>
  </si>
  <si>
    <t>Stale potato chips.¬†</t>
  </si>
  <si>
    <t>Silent, eerie, and uncomfortable alarms are sounding in an echoey hall, as distant hums fill the silence with fear. The soundtrack consists of songs with no lyrics,¬†</t>
  </si>
  <si>
    <t>This painting makes me feel uneasy and thoughtful.</t>
  </si>
  <si>
    <t>Chocolate left out in the sun.</t>
  </si>
  <si>
    <t>Slow, quiet music with long notes that feels dreamy, empty, and a little creepy.</t>
  </si>
  <si>
    <t>Sad violin music</t>
  </si>
  <si>
    <t>Stressed about time running out in life.</t>
  </si>
  <si>
    <t>I feel frozen, like there's no point in wasting time on something that may not come to you.</t>
  </si>
  <si>
    <t>Untoasted bread with turkey slices</t>
  </si>
  <si>
    <t>Stretched out, slow melody.</t>
  </si>
  <si>
    <t>This painting makes me feel like I should really value time more than I currently do. It makes me feel like time is slipping away and that everyone needs to be grateful for each moment that we encounter in our lives.</t>
  </si>
  <si>
    <t>A mushroom soup</t>
  </si>
  <si>
    <t>A quiet soothing sound which really influences a person to be careful about their actions and be grateful for each and every moment.</t>
  </si>
  <si>
    <t>It leaves me with many questions. The imagery is so bizarre that if I didn't know the history of the piece, I would have thought it was an AI-generated image created from a weird prompt. It feels disjointed and confusing.</t>
  </si>
  <si>
    <t>silence with just a low buzzing drone sound and occasionally there would be a warping noise</t>
  </si>
  <si>
    <t>Confused on what's happening, but also there are clocks that are melting so it makes me feel like time is going by so fast</t>
  </si>
  <si>
    <t>pie</t>
  </si>
  <si>
    <t>FRIENDS by marie annie</t>
  </si>
  <si>
    <t>This painting makes me feel a little sad. It reminds me of how time quickly changes and moves.
It shows me how everything is inevitable, and that time is a social construct. The world was here before us and will be here after us, and time will too.</t>
  </si>
  <si>
    <t>bread. Definitely something with a less prominent, neutral taste with a dry texture.</t>
  </si>
  <si>
    <t>Probably some sort of alternative rock or indie. The song would definitely have some sort of strumming instrument like an electric or acoustic guitar. The instrument that stands out the most would be one with a higher pitch like a triangle or electric guitar. There would also be brass instruments involved for sure, like a flute or an oboe or maybe both. The soundtrack would have a melancholy vibe.</t>
  </si>
  <si>
    <t>It makes me feel scared because I get reminded how quick time is passing.¬†</t>
  </si>
  <si>
    <t>It starts slow then speeds up</t>
  </si>
  <si>
    <t>Sad - it makes me feel like time is running out.</t>
  </si>
  <si>
    <t>A bad meal - so maybe something like, broccoli.¬†</t>
  </si>
  <si>
    <t>Oscar winning tears.</t>
  </si>
  <si>
    <t>melancholy</t>
  </si>
  <si>
    <t>It makes me feel uneasy but also strangely fascinated. There‚Äôs a quiet, almost lonely feeling, like time has slowed down or stopped completely. It feels dream-like and a bit unsettling, but I can‚Äôt stop looking at it.</t>
  </si>
  <si>
    <t>A dessert that looks soft and melting, like something left out too long, sweet but slightly uncomfortable to consume.</t>
  </si>
  <si>
    <t>Slow, echoing sounds with long pauses between notes, almost like ambient music. It would feel quiet, distant, and slightly eerie, as if time is stretching out.</t>
  </si>
  <si>
    <t>This painting makes me feel withered, like good times are gone.</t>
  </si>
  <si>
    <t>This soundtrack would be slow and feel very hollow or empty. A lot of moments of silence, and mainly lead by a sombre piano.</t>
  </si>
  <si>
    <t>Sad, a world where I dont want to live in.</t>
  </si>
  <si>
    <t>a sad piano</t>
  </si>
  <si>
    <t>Anxious,¬†</t>
  </si>
  <si>
    <t>curry</t>
  </si>
  <si>
    <t>slow and calm but ominous.</t>
  </si>
  <si>
    <t>It makes me feel like destruction has occurred and that time has been defeated¬†</t>
  </si>
  <si>
    <t>An ominous soundtrack¬†</t>
  </si>
  <si>
    <t>It makes me feel like things are slipping past faster than I can fully process them. Being 21, it hits because I‚Äôm in that phase where life suddenly feels more serious and fast-moving, like I‚Äôve crossed into adulthood without really noticing when it happened. There‚Äôs a quiet anxiety in the scene that makes me feel like I need to keep up or risk being left behind.</t>
  </si>
  <si>
    <t>I‚Äôd be willing to pay around $100¬†for this piece. It doesn‚Äôt feel like something I‚Äôd want hanging in my living space every day, but I like how it makes me pause and think.¬†</t>
  </si>
  <si>
    <t>A kiwi</t>
  </si>
  <si>
    <t>It would probably be really slow and kind of weird, not in a dramatic way but more like something just feels off the whole time. There wouldn‚Äôt be much going on, just long sounds that drag on and then randomly fade out. It feels like the music wouldn‚Äôt really have a clear beat. It‚Äôs calm but also uncomfortable, like you‚Äôre waiting for something to happen and it never really does.</t>
  </si>
  <si>
    <t>This painting made me feel sort of depressed and hopeless.</t>
  </si>
  <si>
    <t>cantelope</t>
  </si>
  <si>
    <t>Soundtrack is soft and sounds old playing from a record player and it sounds nostalgic.¬†</t>
  </si>
  <si>
    <t>The image made me feel like time is precious, so we should spend it wisely.</t>
  </si>
  <si>
    <t>It would be a slow and sad.</t>
  </si>
  <si>
    <t>It makes me feel like time is being wasted and the background gives me a sense of lonliness.</t>
  </si>
  <si>
    <t>sad soundtrack</t>
  </si>
  <si>
    <t>melancholy piano with dramatic highs and lows</t>
  </si>
  <si>
    <t>It makes me feel confused. It makes me appreciate how weird the passage of time can feel.¬†</t>
  </si>
  <si>
    <t>Nachos and salsa.¬†</t>
  </si>
  <si>
    <t>It sounds a bit Arabic and slow. There is tension in the air. The sound fizzles out at some point, to wind noises.¬†</t>
  </si>
  <si>
    <t>It makes me feel lost. I think about the things which have happened to me and the things that might or will happen. And how looking back how weird and uncanny they feel if I try to dig them out of my mind again. The past feels warped by my feelings and experiences since then, coloured by the specific context which surrounds every episode. I remember that sometimes when I look at an old photo capturing a moment in time, it's often different from how I remembered it to be. It's discombobulating.¬†</t>
  </si>
  <si>
    <t>Chili</t>
  </si>
  <si>
    <t>Really experimental like a bunch of different things mashed together, has an ephemeral quality to it</t>
  </si>
  <si>
    <t>This painting shows an artist who worked all night and is very tired. He does not know what time it is anymore. The sun is rising, which shows that morning has come. This means he was working on something important for a long time. The artist looks very tired, and it feels like time is moving slowly for him.</t>
  </si>
  <si>
    <t>melted ice-cream</t>
  </si>
  <si>
    <t>very slow and quiet</t>
  </si>
  <si>
    <t>Time is fleeting away. It's on the shore no,w but will go away soon.</t>
  </si>
  <si>
    <t>Countdown like. Ticking</t>
  </si>
  <si>
    <t>conflicted</t>
  </si>
  <si>
    <t>Spicy Curry</t>
  </si>
  <si>
    <t>Clock ticking noises, but with a wobbly effect. Like a slow motion sound effect. Uneasy vibes. Minor key. Grandfather clock strikes at uneven intervals. A faint breathing or heartbeat sound in the background.</t>
  </si>
  <si>
    <t>Stranded on an island with time running out</t>
  </si>
  <si>
    <t>Bread.¬†</t>
  </si>
  <si>
    <t>Maybe a song about time coming to an end. maybe like an "as the world caves in" type of song</t>
  </si>
  <si>
    <t>Uneasy and uncomfortable. Feels like the artist is portraying some negative emotion but it's difficult to tell what.</t>
  </si>
  <si>
    <t>Overripe fruit</t>
  </si>
  <si>
    <t>Something slow and ominous</t>
  </si>
  <si>
    <t>It makes me feel kind of sad and depressed, and reminds me that time is always passing.</t>
  </si>
  <si>
    <t>Burnt pizza</t>
  </si>
  <si>
    <t>an opera soundtrack</t>
  </si>
  <si>
    <t>It giving me weird vibe but catch my attention immediately¬†</t>
  </si>
  <si>
    <t>100$</t>
  </si>
  <si>
    <t>Sausage¬†</t>
  </si>
  <si>
    <t>The color is dark. It like fall¬†</t>
  </si>
  <si>
    <t>Weird and sad</t>
  </si>
  <si>
    <t>Barely stale bread</t>
  </si>
  <si>
    <t>Imaginary time</t>
  </si>
  <si>
    <t>the dark colors and overall aesthetic make me feel calm</t>
  </si>
  <si>
    <t>calming</t>
  </si>
  <si>
    <t>It makes me feel uneasy, something about the dimness of the colours does not sit well with me¬†
¬†</t>
  </si>
  <si>
    <t>I don't really like the painting, so I would not pay anything</t>
  </si>
  <si>
    <t>oatmeal</t>
  </si>
  <si>
    <t>a depressing moody soundtrack</t>
  </si>
  <si>
    <t>It makes me feel¬† a little uneasy. The melting clocks make time feel strange and unreal, and the empty space feels lonely and quiet.</t>
  </si>
  <si>
    <t>It would be slow and quiet, with soft sounds and long pauses in between. The music feels gentle but slightly off, like it‚Äôs drifting and not going anywhere.¬†</t>
  </si>
  <si>
    <t>It feels like I am losing time in a harsh enviorment.
¬†</t>
  </si>
  <si>
    <t>Something harsh like a rotten orange</t>
  </si>
  <si>
    <t>not sure</t>
  </si>
  <si>
    <t>Personally, it comes off as really sad and lonely, like time is dragging on in a place where nothing is alive or moving. The empty landscape and the drooping shapes make it feel quiet in an uncomfortable way, almost like everything has lost its purpose. There‚Äôs a sense of isolation, as if you‚Äôre stuck alone with your thoughts and time just keeps melting away.</t>
  </si>
  <si>
    <t>cold rice and chicken</t>
  </si>
  <si>
    <t>The soundtrack would be very slow and minimal. Mostly quiet, with a few soft, sustained tones and a lot of silence in between. The mood would be heavy and calm at the same time, creating a feeling of emptiness and stillness. Nothing dramatic or fast, just a low, steady sound that makes you feel isolated and reflective.</t>
  </si>
  <si>
    <t>I believe the artwork seems to represent the bending of time and how things continuously change as time passes. Furthermore, it also seems to represent memories at each time represented by the clocks in the painting. I also see a blanket which most likely represents sleep.</t>
  </si>
  <si>
    <t>Butterscotch Icecream.</t>
  </si>
  <si>
    <t>It would be some form of country music that feels like peace, quiet, and a soothing vibe.</t>
  </si>
  <si>
    <t>It makes me feel uncomfortable. It's saying that as time goes on, memory deteriorates, and that makes me feel really uncomfortable and uneasy.¬†</t>
  </si>
  <si>
    <t>A big burger</t>
  </si>
  <si>
    <t>Something in the way - Nirvana</t>
  </si>
  <si>
    <t>Looking at this painting, the thoughts of mortality and distortion come to mind. There‚Äôs also a quiet, empty atmosphere that feels lonely and frozen in time, which is a little unsettling but also calm.</t>
  </si>
  <si>
    <t>3 million</t>
  </si>
  <si>
    <t>Panna cotta</t>
  </si>
  <si>
    <t>The soundtrack would be slow and sparse, with long stretches of near-silence. Soft, echoing notes drift in and out, almost like a distant melody that never fully settles.</t>
  </si>
  <si>
    <t>It makes me feel like life is passing by and there is no way to slow that down.¬†</t>
  </si>
  <si>
    <t>It would be a hamburger.</t>
  </si>
  <si>
    <t>The soundtrack would have piano and violin. The soundtrack would have a sad undertone to it.</t>
  </si>
  <si>
    <t>The painting makes me feel like time is ticking or slipping away, and it's like a sad thing that time catches up to all of us. It gives off the vibe that time is something we never get back, and as we get older, we'll be past our best times and only waiting for our clock to stop ticking.</t>
  </si>
  <si>
    <t>A fish like salmon, or a lobster.</t>
  </si>
  <si>
    <t>The soundtrack would be an instrumental, which is calm, yet evokes a deep feeling of reflection. It would have a sad and nostalgic melody with some light piano in the background.</t>
  </si>
  <si>
    <t>This painting makes me feel stressed about the passing of time.</t>
  </si>
  <si>
    <t>plain white rice</t>
  </si>
  <si>
    <t>a melancholy, slow, thought provoking soundtrack</t>
  </si>
  <si>
    <t>Abstract and difficult to understand. The background is beautiful, but not realistic. Makes me feel confused.¬†</t>
  </si>
  <si>
    <t>This painting makes me feel like time is passing quickly¬†</t>
  </si>
  <si>
    <t>Pumpkin pie</t>
  </si>
  <si>
    <t>I can imagine intense strings and violins playing</t>
  </si>
  <si>
    <t>This painting makes me feel like there is a slightly sad atmosphere, where things are nearing their end. It would be the imagination of some old guy reminiscing over the past, but the memories of the past have been distorted over time.</t>
  </si>
  <si>
    <t>¬†The wind is blowing and water is being hit against the sand</t>
  </si>
  <si>
    <t>This painting makes me feel somewhat confused as I am not too sure what is going on; however at the same time it feels sort of relaxing and peaceful.</t>
  </si>
  <si>
    <t>Thanksgiving dinner</t>
  </si>
  <si>
    <t>The soundtrack would be something soothing and quiet, with a sort of wind-like sound in the background to start it off.</t>
  </si>
  <si>
    <t>The picture makes me feel a scorching hot summer day. Hot enough to make even time melt away.</t>
  </si>
  <si>
    <t>kimchi</t>
  </si>
  <si>
    <t>A sound that reminds the listener of summer time Slow tempo and warm sounds.</t>
  </si>
  <si>
    <t>it reminds me of the deadlines I need to catch and triggers my anxiety</t>
  </si>
  <si>
    <t>calm, peaceful, but also a bit intense¬†</t>
  </si>
  <si>
    <t>The painting makes me feel disoriented and anxious.</t>
  </si>
  <si>
    <t>slow and unsettling</t>
  </si>
  <si>
    <t>It makes me feel like everything is a waste of time.</t>
  </si>
  <si>
    <t>Loneliness and emptiness.</t>
  </si>
  <si>
    <t>This painting creates a solemn and sombre feeling for me. It also induces despair and reflection.</t>
  </si>
  <si>
    <t>The soundtrack would start with a solemn depressing beat and would gradually crescendo into a overwhelming symphony.¬†</t>
  </si>
  <si>
    <t>Droopy, lazy, oopy-goopy. Very slothful</t>
  </si>
  <si>
    <t>Raclette</t>
  </si>
  <si>
    <t>Goofy, derpy, silly synth noises</t>
  </si>
  <si>
    <t>this painting makes me feel sad</t>
  </si>
  <si>
    <t>Caramel Pudding</t>
  </si>
  <si>
    <t>Slow, dripping synth pads; a hollow, distant pulse; occasional detuned piano notes; long stretches of airy silence, swelling into anxious crescendos before dissolving again.</t>
  </si>
  <si>
    <t>The painting makes me feel sombre, cold, and lifeless. However, there is also a distant, potentially fleeting warmth. I'm either at a new beginning or the moments before closure.</t>
  </si>
  <si>
    <t>Cold soup</t>
  </si>
  <si>
    <t>Slow, a little foreboding, and only instrumental, using only low tones. Primarily lonesome vibes, but with some calming segments.</t>
  </si>
  <si>
    <t>Pain.</t>
  </si>
  <si>
    <t>Very monotonous.</t>
  </si>
  <si>
    <t>timeless</t>
  </si>
  <si>
    <t>soundless</t>
  </si>
  <si>
    <t>it sorta makes me a bit sad, like everything even memories erode over time.</t>
  </si>
  <si>
    <t>Bathroom,Office,Dining room</t>
  </si>
  <si>
    <t>The soundtrack would be a slow timid instrumental that‚Äôs slowly fades away and distorts as the track progresses</t>
  </si>
  <si>
    <t>Pickle</t>
  </si>
  <si>
    <t>slow, sentimental violin</t>
  </si>
  <si>
    <t>Weird, and a little bit of depressed</t>
  </si>
  <si>
    <t>French snail</t>
  </si>
  <si>
    <t>????????? ???????? ??????? ? ??????????????? ?? ????? ?</t>
  </si>
  <si>
    <t>Uneasy and gloomy with a bit of intrigue</t>
  </si>
  <si>
    <t>Soggy bread</t>
  </si>
  <si>
    <t>Something sad and gloomy.</t>
  </si>
  <si>
    <t>I'm losing my sense of time</t>
  </si>
  <si>
    <t>soggy rye bread</t>
  </si>
  <si>
    <t>dissonant classical music</t>
  </si>
  <si>
    <t>This painting makes me feel unhappy as it makes me rethink my relationship with time.¬†</t>
  </si>
  <si>
    <t>I would be willing to pay $1000 for this painting.</t>
  </si>
  <si>
    <t>It would be a lava cake.</t>
  </si>
  <si>
    <t>The soundtrack would have words like time, memory, dream.¬†</t>
  </si>
  <si>
    <t>This painting makes me feel as if time slowed down and was dragged out. It feels as if I were going through something very painful and time slowed down.</t>
  </si>
  <si>
    <t>It would a stale loaf of bread</t>
  </si>
  <si>
    <t>Claire de Lune. This painting will sound very slow and mellow.</t>
  </si>
  <si>
    <t>The painting makes me feel bored. The melted clocks make feel that time has stopped and slown down. The mute colors make it feel me feel that I'm in a wasteland where time moves slowly.</t>
  </si>
  <si>
    <t>A raw potato</t>
  </si>
  <si>
    <t>I guess the sound track would sound like a the rythmic rumble of a train as it slowly moves through the country side. There shouldn't be any high pitched or sharp changes in tone. Maybe low frequency tones or sounds slowly appear and disappear in the soundtrack.</t>
  </si>
  <si>
    <t>This makes me feel absurd, desolate, and distorted.</t>
  </si>
  <si>
    <t>The soundtrack would feel solemn and tragic, interrupted by irregular, slightly unsettling drumbeats.</t>
  </si>
  <si>
    <t>Hollow, sad</t>
  </si>
  <si>
    <t>Burger</t>
  </si>
  <si>
    <t>beach song</t>
  </si>
  <si>
    <t>It makes me feel nostalgic, calm, and like I'm in a dream.</t>
  </si>
  <si>
    <t>Expressionist classical music, which is abstract and has a lot of dissonance.</t>
  </si>
  <si>
    <t>It feels weird as a common object is displayed through an uncommon form.</t>
  </si>
  <si>
    <t>quiet, slow and without lyrics</t>
  </si>
  <si>
    <t>10 I don't wanna buy this</t>
  </si>
  <si>
    <t>A piece of bread</t>
  </si>
  <si>
    <t>Mostly silence. Maybe some wind blowing or a rumble of thunder every now and then. Otherwise just 10 straight hours of wind blowing?¬†</t>
  </si>
  <si>
    <t>It makes me feel sad and tired.</t>
  </si>
  <si>
    <t>melancholic, sombre</t>
  </si>
  <si>
    <t>Gives the feeling of dread as time passes by.¬† Perhaps the person viewing the painting feels indifferent about time and that is why it is throw around all warped,</t>
  </si>
  <si>
    <t>Pasta or noodles</t>
  </si>
  <si>
    <t>A monotonous soundtrack somewhat like Jeoprody but different in overall tune to make it monotonous or calming.</t>
  </si>
  <si>
    <t>It makes me feel confused, hopeless, unsatisfied.</t>
  </si>
  <si>
    <t>sound of the wind, persistent, ticking noise, atmospheric strings</t>
  </si>
  <si>
    <t>This painting makes me feel uneasy and thoughtful. The strange, distorted shapes make time feel unstable, while the quiet setting gives it a calm but lonely mood.</t>
  </si>
  <si>
    <t>stale bread¬†</t>
  </si>
  <si>
    <t>The soundtrack would be very slow and quiet, with long pauses and soft, drawn-out notes. It would feel empty and distant, creating a calm but slightly uneasy atmosphere, like time is moving much slower than usual.</t>
  </si>
  <si>
    <t>This painting, especially the waves in the back, makes me feel a bit relaxed. Even the clock on the tree makes me feel like there's always time.</t>
  </si>
  <si>
    <t>Hotdog</t>
  </si>
  <si>
    <t>waves sound</t>
  </si>
  <si>
    <t>sorrow</t>
  </si>
  <si>
    <t>I makes me feel like time is marching forward and that time is exhausting.</t>
  </si>
  <si>
    <t>Tuna</t>
  </si>
  <si>
    <t>Slow, consistent/rhythmic, and repeating.</t>
  </si>
  <si>
    <t>I feel weird and confused? Looks kind of cool, but still don't know the context.</t>
  </si>
  <si>
    <t>Goulash</t>
  </si>
  <si>
    <t>A slow song that displays nostalgia</t>
  </si>
  <si>
    <t>makes me feel gloomy. The picture feels super wobbly and gives me a weird feeling that my head is spinning.¬†</t>
  </si>
  <si>
    <t>noodles¬†</t>
  </si>
  <si>
    <t>I can imagine a super calm sound trach, which is humming instead of actually rapping/singing. super calm music like meditation.</t>
  </si>
  <si>
    <t>Surreal, Etheric, slight alternate dimension/dreamlike atmosphere</t>
  </si>
  <si>
    <t>Estimated at 150,000,000 dollars, I would pay that for money laundering reasons</t>
  </si>
  <si>
    <t>some amalgamation of random food combinations that end up working together</t>
  </si>
  <si>
    <t>The soundtrack consists of 7 songs that have absolutely nothing in common (genre, melody, rhythm etc) but are individually good.¬†</t>
  </si>
  <si>
    <t>The painting both confuses and intrigues me deeply. It also gives me a vague sense of helplessness.</t>
  </si>
  <si>
    <t>Gruel</t>
  </si>
  <si>
    <t>It'd be a slow and eerie soundtrack, using a piano in the background in a foreboding way.</t>
  </si>
  <si>
    <t>Sad, reminiscing over moments I'll never get to experience again.</t>
  </si>
  <si>
    <t>Mom's home cooking</t>
  </si>
  <si>
    <t>low, sombre, slow, 1-2 instruments (i imagine a piano)</t>
  </si>
  <si>
    <t>It makes me feel tired and lethargic.</t>
  </si>
  <si>
    <t>Chicken Soup¬†</t>
  </si>
  <si>
    <t>Nostalgic, slow and relaxed.</t>
  </si>
  <si>
    <t>It makes me feel like I am isolated in a time warp, and the universe is contracting.</t>
  </si>
  <si>
    <t>Foie gras</t>
  </si>
  <si>
    <t>Suspense music</t>
  </si>
  <si>
    <t>droopy</t>
  </si>
  <si>
    <t>ground beef</t>
  </si>
  <si>
    <t>it would be slow</t>
  </si>
  <si>
    <t>Makes me feel sad because I see a dead horse.</t>
  </si>
  <si>
    <t>A Wild West sound track about highway men and death.</t>
  </si>
  <si>
    <t>This painting makes me feel uneasy</t>
  </si>
  <si>
    <t>sad, slow, and mystical</t>
  </si>
  <si>
    <t>I feel tranquil, still, and quiet.</t>
  </si>
  <si>
    <t>calm string orchestral music</t>
  </si>
  <si>
    <t>nervous</t>
  </si>
  <si>
    <t>sad, somber, mellow</t>
  </si>
  <si>
    <t>Distaste. The droopy clocks are weird, and rectangle prisms are jarring. Very barren, empty feeling. The cliffs are nice though.</t>
  </si>
  <si>
    <t>$0. You'd have to pay me to take it. Maybe only pay for it for kindling.</t>
  </si>
  <si>
    <t>Nutrient slop bar with no taste.</t>
  </si>
  <si>
    <t>Complete silence except for some wind blowing in the background.</t>
  </si>
  <si>
    <t>alone, like im in some hot environment</t>
  </si>
  <si>
    <t>a burger (because of its colors)</t>
  </si>
  <si>
    <t>stairway to heaven by Led Zeppelin-- matches the slow music to the moodiness-gloomy nature of this painting</t>
  </si>
  <si>
    <t>The painting makes me feel sad. It feels like it's trying to convey the feeling of time running out or only having a limited amount of time. Which is quite a sad message.¬†</t>
  </si>
  <si>
    <t>A blueberry I guess. The sombre blue in the painting kind of reminds me of the sombre blue that is the colour of blueberries.¬†</t>
  </si>
  <si>
    <t>First I feel the name of the soundtrack would be borrowed time. This title would be based on its theme of time being only so limited and you only have so much until your time here is over. I feel like the first few songs would be about enjoying life. The first song could be nice and sweet representing a person being born into this world. Then the next few songs would be themed about your childhood and growing up. Some of these songs would be bright and some would be kind of sad representing mistakes. However, they would still be upbeat, representing a person cherishing their memories whether good or bad. Then somewhere in the middle of the soundtrack, you would be hit with a hard sombre song. This song would represent a person realizing that there is only so much time left until their time here is over. This song would be drastic representing despair and the songs to follow would be more and more dreadful as the person realizes there is nothing they can do as the hours tick by and they realize they have less and less time. However, the final song or two would then be bittersweet even uplifting. It would represent a person finally coming to terms with what is to come next. Coming to terms with the fact that their life here will eventually come to an end. However, they accept the fact and decide to live their life the best they can.¬†</t>
  </si>
  <si>
    <t>Makes time feel meaningless. Even time eventually melts away and seeps into the environment around it.</t>
  </si>
  <si>
    <t>30 cents!</t>
  </si>
  <si>
    <t>Very cheesy pizza</t>
  </si>
  <si>
    <t>Slow, calm, quiet. Soft strings with no drums at all. And it'd be like 30 hours long.</t>
  </si>
  <si>
    <t>I've seen it before. It makes me feel/think about how time is malleable and how it can pass by pretty quickly</t>
  </si>
  <si>
    <t>-10 (maybe $5 im a uni student)</t>
  </si>
  <si>
    <t>Cheese because thats context</t>
  </si>
  <si>
    <t>clock ticking and slow melting violin? if that makes sense</t>
  </si>
  <si>
    <t>i've seen this painting so many times, at this point it kind of gives me boredom. It looked funny when i first saw it tho.</t>
  </si>
  <si>
    <t>slowly ticking noise</t>
  </si>
  <si>
    <t>This painting makes me feel sad, it conveys emotion through the objects themselves as they lost their rigidness and uses a dim setting which gives me a melancholic vibe.</t>
  </si>
  <si>
    <t>A bland soup</t>
  </si>
  <si>
    <t>Classical slow and sad music.</t>
  </si>
  <si>
    <t>it makes me realize the passing by of time and invokes a sad emotion.</t>
  </si>
  <si>
    <t>it would be meatloaf.</t>
  </si>
  <si>
    <t>the soundtrack would consist of a violin or piano, some instrument that invokes a sad and melancholic feeling.</t>
  </si>
  <si>
    <t>This painting makes me feel melancholic as if I'm watching life pass as a spectator. Dali uses clocks to symbolize timestamps which latch onto objects throughout your life. It feels like I'm looking into someones mind with each object representing key memories.</t>
  </si>
  <si>
    <t>String cheese</t>
  </si>
  <si>
    <t>the soundtrack feels like it's playing against time speeding up as it progresses. The melody comes in bursts fading and and fading out throughout.</t>
  </si>
  <si>
    <t>Intrigued</t>
  </si>
  <si>
    <t>1 million</t>
  </si>
  <si>
    <t>Slow synth harp instrumental</t>
  </si>
  <si>
    <t>This painting makes me feel tired and exhausting</t>
  </si>
  <si>
    <t>potato</t>
  </si>
  <si>
    <t>country music, that is slow and kind of somber.</t>
  </si>
  <si>
    <t>painting makes me feel sad, depressed and lonely</t>
  </si>
  <si>
    <t>Gloomy, lonely and depressing music</t>
  </si>
  <si>
    <t>It makes me feel calm but uneasy. It gives a sense of time slipping away.</t>
  </si>
  <si>
    <t>bitter melon</t>
  </si>
  <si>
    <t>Gentle piano mixed with low, wavering strings. Dreamy, quiet, and slightly eerie</t>
  </si>
  <si>
    <t>This painting makes me feel like I am stuck in a strange, quiet dream where time has stopped. The world seems to be soft and unstable. A sense of confusion, loneliness, isolation and unease.¬†</t>
  </si>
  <si>
    <t>melted Camembert cheese</t>
  </si>
  <si>
    <t>haunting, ambient drone that feels both endless and hollow.</t>
  </si>
  <si>
    <t>I feel the painting is trying to convey desperation with regards to the melting clocks and passing time.</t>
  </si>
  <si>
    <t>biscuits</t>
  </si>
  <si>
    <t>Slow jazz with a violin</t>
  </si>
  <si>
    <t>uncomfortable, hate myself</t>
  </si>
  <si>
    <t>Nigerian food</t>
  </si>
  <si>
    <t>absolutly no sound at all</t>
  </si>
  <si>
    <t>I feel a kind of stillness, but it‚Äôs not peaceful in a comforting way; it‚Äôs more like a suspended, surreal silence, as if the world is paused in an unnatural moment. There‚Äôs also a subtle loneliness in the empty space and vast horizon, which makes it feel introspective and disorienting at the same time.</t>
  </si>
  <si>
    <t>A soft, half-melted custard left out too long, served cold on a warm plate</t>
  </si>
  <si>
    <t>The soundtrack would be sparse and slow, built from stretched tones that seem to breathe rather than move forward</t>
  </si>
  <si>
    <t>This painting makes me feel odd.</t>
  </si>
  <si>
    <t>frozen pizza</t>
  </si>
  <si>
    <t>The soundtrack would be sad and gloomy, and it would have a classical tone to it.</t>
  </si>
  <si>
    <t>lazy, fleeting time, relaxed, not enough time, rushed, procrastination</t>
  </si>
  <si>
    <t>slow piano, single clear melody or few instruments, orchestral, clean, all high mid timbre instruments, river like rhythm, switch between major and minor keys</t>
  </si>
  <si>
    <t>Sad, nostalgic, intrigued</t>
  </si>
  <si>
    <t>A bowl of plain rice soup</t>
  </si>
  <si>
    <t>Slow, melancholic, peaceful, piano solo.¬†</t>
  </si>
  <si>
    <t>Reflective, anxious</t>
  </si>
  <si>
    <t>Olives</t>
  </si>
  <si>
    <t>It would be a somber looping melody</t>
  </si>
  <si>
    <t>This painting makes me feel almost as if I am wasting time by being unproductive</t>
  </si>
  <si>
    <t>Lasagna¬†</t>
  </si>
  <si>
    <t>Slow Tempo, minor tone, low octave¬†</t>
  </si>
  <si>
    <t>Relaxed, considering it has simple colours and an animal that is asleep.¬†¬†</t>
  </si>
  <si>
    <t>calm, laid-back and relaxing.¬†</t>
  </si>
  <si>
    <t>This painting makes me feel a bit motivated, like I need to use my time more wisely and need to take in the environment around me. But also makes me feel a bit anxious, like I'm wasting time.</t>
  </si>
  <si>
    <t>I would pay $20 - $30.</t>
  </si>
  <si>
    <t>Chocolate Cheesecake. I think this reminds me of chocolate cheesecake because the colours and mountain looks like cheese and the dark part seems like chocolate.</t>
  </si>
  <si>
    <t>Summer time Sadness by Lana Del Rey.
Like a slow country guitar with a sad women's voice. a bit high voice. With a steady beat. Love song.¬†</t>
  </si>
  <si>
    <t>A bitter melon</t>
  </si>
  <si>
    <t>Amour Plastique¬†</t>
  </si>
  <si>
    <t>Running out of time.</t>
  </si>
  <si>
    <t>green beans</t>
  </si>
  <si>
    <t>somber song, running out of time.</t>
  </si>
  <si>
    <t>This painting makes me feel uneasy but calm at the same time. The empty landscape and quiet lighting feel peaceful, but the melting clocks create a strange, unsettling mood‚Äîlike time is slipping away or doesn‚Äôt matter anymore. It gives me a feeling of dreamlike confusion, and it makes me think about how fragile memory and time can be.</t>
  </si>
  <si>
    <t>The soundtrack would be slow and eerie, with long, drawn out notes that feel like they‚Äôre stretching and fading. Overall, it would feel calm but unsettling, like time is moving too slowly and reality is slightly distorted.</t>
  </si>
  <si>
    <t>Sad, conscious of the passage of time, unreality</t>
  </si>
  <si>
    <t>slow, flowing, slightly western, emptiness, loneliness</t>
  </si>
  <si>
    <t>It feels uncanny. The sky is half warm half cold and the darkness is consuming the picture</t>
  </si>
  <si>
    <t>Baked Potato</t>
  </si>
  <si>
    <t>Sounds eerie, slow, dreamy.¬†</t>
  </si>
  <si>
    <t>I guess I‚Äôm pretty confused because I‚Äôm not sure what this painting is really supposed to be. The melted clocks are like neat but I don‚Äôt know what the thing in the middle is, or the branch looking thing that the other clock is on. It‚Äôs just confusing in general.¬†</t>
  </si>
  <si>
    <t>Cucumber</t>
  </si>
  <si>
    <t>a slow somewhat distorted uncanny piano track with some synth maybe.¬†</t>
  </si>
  <si>
    <t>It makes me feel conscious about time and things around me.</t>
  </si>
  <si>
    <t>meloncholic</t>
  </si>
  <si>
    <t>Melty and warp of time</t>
  </si>
  <si>
    <t>This painting makes me feel uneasy. There's an unsettling, hazy atmosphere conveyed through the painting. It makes me feel as though I'm forgetting something, just by looking at it. It also makes me feel a little confused.¬†</t>
  </si>
  <si>
    <t>Spaghetti.¬†</t>
  </si>
  <si>
    <t>There would be slow violins. A bit of a haunting or eerie sound. Maybe some slow piano melodies as well.¬†</t>
  </si>
  <si>
    <t>Confused or perplexed.</t>
  </si>
  <si>
    <t>Ham sandwich</t>
  </si>
  <si>
    <t>A slow, sombre song, perhaps played by a piano, sounding almost like it's falling apart.</t>
  </si>
  <si>
    <t>not sure, everything is melted though</t>
  </si>
  <si>
    <t>the sizzling sound of the sun on a hot day</t>
  </si>
  <si>
    <t>It makes me think about how time is passing and to take advantage of the moment. The painting almost draws on a feeling of sadness that everything eventually ends.</t>
  </si>
  <si>
    <t>Eerie sounds, almost like a ticking noise to describe time, and a hum in the background.</t>
  </si>
  <si>
    <t>The painting makes me feel sombre and hopeless.</t>
  </si>
  <si>
    <t>seaweed</t>
  </si>
  <si>
    <t>The soundtrack would be sad and sombre music.</t>
  </si>
  <si>
    <t>Kind of sad</t>
  </si>
  <si>
    <t>shrimp</t>
  </si>
  <si>
    <t>Wild west music</t>
  </si>
  <si>
    <t>The painting has unsettling feeling around it. It invokes a sense of unease and gloom.¬†</t>
  </si>
  <si>
    <t>hummus</t>
  </si>
  <si>
    <t>An eerie soundtrack where the tempo is changing constantly. Part of the soundtrack would make you feel like your being chased while other parts make you feel like your falling behind.¬†</t>
  </si>
  <si>
    <t>depressing</t>
  </si>
  <si>
    <t>rice</t>
  </si>
  <si>
    <t>Weirded</t>
  </si>
  <si>
    <t>Quiet ambience</t>
  </si>
  <si>
    <t>At first it was very confusing what the painting even was and it was only after couple moments I realized that the dried up thing was time and I noticed dried up clock hanging to dead tree and dead bird which shows how they ran out of time.</t>
  </si>
  <si>
    <t>Raisin¬†</t>
  </si>
  <si>
    <t>Mario music that they use on the second dessert map¬†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</si>
  <si>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This painting makes me feel nostalgic and reminds me of my childhood. The cartoon like style and the sunset colors give it a familiar feeling and make me reflect on the past.</t>
  </si>
  <si>
    <t>Tacos¬†</t>
  </si>
  <si>
    <t>The soundtrack would be slow and quiet, with soft, drawn out sounds. It would feel a bit dreamy and nostalgic, like background music that plays during a calm moment and makes you think rather than pay close attention.</t>
  </si>
  <si>
    <t>This painting makes me feel sad, given the realization that eventually everything comes to an end.</t>
  </si>
  <si>
    <t>Toast</t>
  </si>
  <si>
    <t>A violin playing in a sad tone, with a slow tempo.</t>
  </si>
  <si>
    <t>Depressing. It seems like life is meaningless.</t>
  </si>
  <si>
    <t>Time suddenly stops. Life is no longer meaningful. It's the end of the world.¬†</t>
  </si>
  <si>
    <t>feel nervous</t>
  </si>
  <si>
    <t>Canned herring</t>
  </si>
  <si>
    <t>sad sound</t>
  </si>
  <si>
    <t>Uncomfortable</t>
  </si>
  <si>
    <t>$10 000</t>
  </si>
  <si>
    <t>Stew</t>
  </si>
  <si>
    <t>Surreal, intense, melancholic,¬†</t>
  </si>
  <si>
    <t>The painting almost gives me a feeling of dread and anxiety. It has many strange aspects, making it feel surreal and like something from a dream.</t>
  </si>
  <si>
    <t>The soundtrack would be very hazy, and the songs would feel very melancholic and atmospheric. The music would be quite gloomy.¬†</t>
  </si>
  <si>
    <t>This painting makes me feel worried and uneasy about the ideas of things being intangible and uncontrollable.¬†</t>
  </si>
  <si>
    <t>A slow and kind of eerie song with parts that feel off-tune or in the wrong timings to invoke that feeling of uneasiness.¬†</t>
  </si>
  <si>
    <t>It makes me feel contemplative.¬†</t>
  </si>
  <si>
    <t>I'm sure the painting is worth a lot, but I'm not a physical art collector so I don't spend much on paintings so probably at most 99 dollars (not considering how much it will actually be worth to other people who would want to buy it).¬†</t>
  </si>
  <si>
    <t>A childhood favorite that is not as good as you remembered it.¬†</t>
  </si>
  <si>
    <t>It would be somber and vague and wavy. Maybe played as a violin solo.</t>
  </si>
  <si>
    <t>It just feels kind of bizarre but I don't really think about it too much.</t>
  </si>
  <si>
    <t>hotdog</t>
  </si>
  <si>
    <t>I wouldn't imagine any particular soundtrack but instead the wind simply blowing.</t>
  </si>
  <si>
    <t>The painting makes me feel worried about the future; it reminds me that my time is running out.</t>
  </si>
  <si>
    <t>a sad and mellow tune</t>
  </si>
  <si>
    <t>It makes me feel tired</t>
  </si>
  <si>
    <t>It would be slow and somber, almost like a whisper.</t>
  </si>
  <si>
    <t>Time is melting away and the feeling of disparity</t>
  </si>
  <si>
    <t>a hot sizzle with a sombre melody playing with a tick tock sound getting slower throughout the whole song and stopping at the end</t>
  </si>
  <si>
    <t>It makes me feel existential and somewhat sad about time going away</t>
  </si>
  <si>
    <t>sourdough bread</t>
  </si>
  <si>
    <t>string based soundtrack, heavy on slow and clear violins</t>
  </si>
  <si>
    <t>It makes me feel like time is running out and that the time we once had is fading away</t>
  </si>
  <si>
    <t>Slow beating drums and with marching and clapping in rhythm with the drums</t>
  </si>
  <si>
    <t>Slumped. Disorganized. Confused.¬†</t>
  </si>
  <si>
    <t>soggy noodles.¬†</t>
  </si>
  <si>
    <t>slow piano with frequent sad tones, or even confusing tones. maybe a badly played piano.</t>
  </si>
  <si>
    <t>This painting makes me face reality. The items in the photo remind me of how life is not endless and there is one resource we are all running out of. Makes me want to cherish moments I have and to not really take this life for granted. Represents the sad reality that everything does come to an end and the solemn colors used heavily signify that.¬†</t>
  </si>
  <si>
    <t>I believe the food would be broccoli that although the photo is sad to see as it reminds you the true reality of life, we also understand that it is a gentle reminder and doesn't mean any harm, only means good. This photo isn't purposefully trying to make you sad, it just reminds you about reality and how life works, just like broccoli. May not taste the best but eating it benefits your health, the same way seeing this painting may feel sad but is beneficial as it reminds you to do what you want in life since you will not be here forever.¬†</t>
  </si>
  <si>
    <t>I imagine a classical song with a very repetitive tone that is sad but has some beauty to it in its sadness. I think of a song which makes you feel sad but not hopeless. A song that makes you realize the beauty of life. It is not all sunshine and rainbows, life has ups and downs and the reality may be heavy hitting but sometimes we need such a reality to understand what we truly want out of this life.¬†</t>
  </si>
  <si>
    <t>makes me feel that i'm losing time even though it shows clocks just hanging around all sloppy but because of that sloppiness of time and not being concrete and standing straight makes me feel like im wasting time even though im just doing productive things right now. also makes me feel uncomfortable of seeing such a stable thing being painted so lazy. with the sun feels like it's setting, it also adds to those feelings. like it's time to shut things down. makes me feel slow, lazy, a little relaxed but in an uncomfortable ay.</t>
  </si>
  <si>
    <t>spaghetti
flatbread</t>
  </si>
  <si>
    <t>it would have a slow violin with a slow piano accompanying it. starts off slow with the piano and then they speed up and go slow but the last slowness of the song lasts shorter than the first slowness part of the song. it would have classical instruments and be mellow.</t>
  </si>
  <si>
    <t>It makes me feel worried about how little time I have.</t>
  </si>
  <si>
    <t>Pumpkin pie.</t>
  </si>
  <si>
    <t>Light drums combined with a slow metronome beat.</t>
  </si>
  <si>
    <t>This painting makes me feel like time is slipping, but it also creates a sense of discomfort and anxiety. It feels like a lot is wrong in the painting, although a lot of it feels familiar, in the sense that it is comprised of common objects like the clock. While it is very still and almost peaceful, it is a very uncomfortable feeling.¬†</t>
  </si>
  <si>
    <t>I would be willing to pay $150CAD for this painting.¬†</t>
  </si>
  <si>
    <t>I would say something very mellow like cucumbers, as it doesn‚Äôt taste like much to someone who doesn‚Äôt like it but it is enjoyable to those who do like it.¬†</t>
  </si>
  <si>
    <t>Calm, yet unsettling, primarily instrumental music with very mellow and quiet vocals.¬†</t>
  </si>
  <si>
    <t>conscious</t>
  </si>
  <si>
    <t>pancakes,</t>
  </si>
  <si>
    <t>$ 10 CAD</t>
  </si>
  <si>
    <t>low and consistent beat, like a metronome,¬†</t>
  </si>
  <si>
    <t>Drowsy</t>
  </si>
  <si>
    <t>cold McDonald's fries</t>
  </si>
  <si>
    <t>Cat's in the Cradle - Harry Chapin</t>
  </si>
  <si>
    <t>It makes me feel nervous and sad.</t>
  </si>
  <si>
    <t>fried egg</t>
  </si>
  <si>
    <t>violin backing soundtrack with maybe a choir</t>
  </si>
  <si>
    <t>The passage of time feels suffocating and tiring</t>
  </si>
  <si>
    <t>That depends, if I were a billionaire, probably 100 million, but because I'm not, probably $5000 max since I know how valuable this painting is. Otherwise, if this painting wasn't valuable, max $500.</t>
  </si>
  <si>
    <t>Warm and gooey cheese</t>
  </si>
  <si>
    <t>Probably something slow and getting slower at certain points, with dark overtunes and loud atmospheric feelings.</t>
  </si>
  <si>
    <t>It makes me feel depressed, losing track of time, and still.¬†</t>
  </si>
  <si>
    <t>A plate of untouched cold macaroni.¬†</t>
  </si>
  <si>
    <t>Still wind with some mechanical sounds randomly here and there.¬†</t>
  </si>
  <si>
    <t>uneasy, lonely, confused</t>
  </si>
  <si>
    <t>slow, minimal, echoing</t>
  </si>
  <si>
    <t>I feel dread, like I'm running out of time and all my memories will soon fade.</t>
  </si>
  <si>
    <t>A sleeping-pill infused gummy bear</t>
  </si>
  <si>
    <t>A slow droning noise that slowly fades</t>
  </si>
  <si>
    <t>cold</t>
  </si>
  <si>
    <t>egyptian desert sound</t>
  </si>
  <si>
    <t>It makes me think about all the time melting away.</t>
  </si>
  <si>
    <t>idk like 1 billion dollars</t>
  </si>
  <si>
    <t>Spaghetti¬†</t>
  </si>
  <si>
    <t>Time flies by, a slow banjo plays creepily.</t>
  </si>
  <si>
    <t>good, terrible</t>
  </si>
  <si>
    <t>5cad</t>
  </si>
  <si>
    <t>noise</t>
  </si>
  <si>
    <t>It makes me feel uncomfortable and it reminds me that time only goes forward, not backwards.</t>
  </si>
  <si>
    <t>A dark chocolate cake</t>
  </si>
  <si>
    <t>A sad, yet comforting violin tune</t>
  </si>
  <si>
    <t>The painting makes me feel melancholic. The thoughts I get from the painting is something like the idea that time melts away, and soon it will be over or that the clock will soon evaporate.</t>
  </si>
  <si>
    <t>20 bucks.</t>
  </si>
  <si>
    <t>blue cheese.</t>
  </si>
  <si>
    <t>creep - radiohead.</t>
  </si>
  <si>
    <t>time keep moving on, no one can be forever.</t>
  </si>
  <si>
    <t>it depends on how rich I am. free if I am poor, 1000$ if I am rich</t>
  </si>
  <si>
    <t>fallen leaf</t>
  </si>
  <si>
    <t>I would use a part of a music.
"life is too long to end at grave"¬†
or ‚ÄúMay time stay at this moment, and may you and I never be separated.‚Äù</t>
  </si>
  <si>
    <t>Desolate</t>
  </si>
  <si>
    <t>Hall of the mountain king</t>
  </si>
  <si>
    <t>It makes me feel anxious because I interpret the melting clocks as time running out.</t>
  </si>
  <si>
    <t>Cold Pizza</t>
  </si>
  <si>
    <t>The soundtrack would be mellow and have whistling. It would also have an Egyptian theme.</t>
  </si>
  <si>
    <t>I feel confused as to what is going on.</t>
  </si>
  <si>
    <t>crackers</t>
  </si>
  <si>
    <t>metronome that progressively gets slower paired with a cello playing a low notes slowly.</t>
  </si>
  <si>
    <t>The painting makes me feel uneasy. The background is desolate and lacks feeling. The colours used are blue-toned and not exactly warm. "Uncanny" could also be another word used. The world within this painting feels unsafe.</t>
  </si>
  <si>
    <t>153 CAD</t>
  </si>
  <si>
    <t>Beef broth simmered and thickened with potato essence¬†</t>
  </si>
  <si>
    <t>The melody is a sad prolonged, horn that was recorded with a low quality microphone. A person listening can vaguely hear static and the song reminds them of how it represents a person with dementia.</t>
  </si>
  <si>
    <t>It made me feel heavy in a way. In the sense that I would never escape memories good or bad. Especially the clock laying on top of that body, that persistence and presence of time. Felt heavy.</t>
  </si>
  <si>
    <t>Cold pasta</t>
  </si>
  <si>
    <t>¬†slow, disorienting, and quietly unsettling, mirroring the way time seems to melt and lose meaning.</t>
  </si>
  <si>
    <t>Long, lost, timeless, inevitable, dry, yearning, empty, lost, melancholy.</t>
  </si>
  <si>
    <t>Overcooked spaghetti with little to no texture, with pasta sauce that didn't emulsify correctly.</t>
  </si>
  <si>
    <t>Sounds like a slow melancholy melody that loops every 30 second in D minor.</t>
  </si>
  <si>
    <t>A violin.</t>
  </si>
  <si>
    <t>It makes me feeling confused, with a sense of time decaying and slipping away.</t>
  </si>
  <si>
    <t>25000000 dollars</t>
  </si>
  <si>
    <t>Pears.</t>
  </si>
  <si>
    <t>It feels like a chaotic piece of heavy¬† metal music but without drumbeats.</t>
  </si>
  <si>
    <t>the dull colors and visuals make for a dark atmosphere, almost sending chills down my spine.</t>
  </si>
  <si>
    <t>soggy cereal</t>
  </si>
  <si>
    <t>It sounds like the album "everywhere at the end of time" which is really creepy.</t>
  </si>
  <si>
    <t>This painting evoked a quiet yet intense unease in me, as if time itself had suddenly lost its rigidity, leaving the world in a strange state of stillness. I struggled to discern the object in the center, but I felt it shouldn't exist in reality.</t>
  </si>
  <si>
    <t>100 dollars</t>
  </si>
  <si>
    <t>A cold dessert slowly melting in the desert</t>
  </si>
  <si>
    <t>An extremely slow, sparse piece of music, as if time has been stretched out, causing the sound to sink and distort. The overall rhythm is almost imperceptible. It's not that there's no rhythm, but rather that the rhythm is dragged out so long that you can't even count it before you forget when the last beat occurred. Emotionally, it's like a lucid daze. Listening to it, you don't want to follow along, nor do you want to escape; you're simply forced to stop.</t>
  </si>
  <si>
    <t>Exhausted. It feels like I am lying in a warm bathtub, relaxing myself. Time goes by somehow, but does not matter. It sometimes go fast and sometimes does not.¬†</t>
  </si>
  <si>
    <t>I can hear 'wake me up when September ends'. It is such a slow, sagging song.¬†</t>
  </si>
  <si>
    <t>This painting makes me feel relaxed and at odds with reality. More than a picture is expressed, I feel as though I can hear weird noises bouncing throughout the canvas.</t>
  </si>
  <si>
    <t>This painting would be a block of cheese.</t>
  </si>
  <si>
    <t>A soundtrack for this painting would be composed of millions of strange sounds, including sounds that have never been heard by humans before. It would hold rhythms that have never been heard before. The soundtrack would startle almost any listener.</t>
  </si>
  <si>
    <t>It makes me feel a little queasy, makes me think about my time, and how I use it everyday. How time is slipping and it feels like with every passing day, I am just watching myself work in autopilot. This makes me feel very reflective and a little concerned, like I have no control over my time despite trying to do whatever I can to make the most of it.¬†</t>
  </si>
  <si>
    <t>Tomato soup</t>
  </si>
  <si>
    <t>Very mellow soundtrack, has a violin playing in it and it sounds loud, but rhythmic and sentimental.¬†</t>
  </si>
  <si>
    <t>This painting seems to try and make me feel that time comes for everyone and everything and all must fall. It makes me feel longing for more to see</t>
  </si>
  <si>
    <t>plain melted cheese</t>
  </si>
  <si>
    <t>soft blowing wind</t>
  </si>
  <si>
    <t>The painting makes me feel a bit anxious. Since the melting clocks signify that time is always passing, I feel as if I am currently not making the most out of my time.¬†¬†</t>
  </si>
  <si>
    <t>I imagine a western soundtrack. Something that is slow-paced and does not have any bassline. I also envision middle ranged notes that are spaced out between each other. Additionally, there are spaced out high notes that sound as if they came from a flute.¬†</t>
  </si>
  <si>
    <t>I feel confused because the painting doesn't make sense for the most part, but maybe that's the point</t>
  </si>
  <si>
    <t>Max around a 100$, but I'm sure this painting is worth way more to artistic snobs</t>
  </si>
  <si>
    <t>The soundtrack would convey emotions of confusion to the listener as the painting itself is supposed to represent that and maybe a bit of sadness in the tracks</t>
  </si>
  <si>
    <t>Time is an illusion and feels easy to throw away, like garbage after a beach party.</t>
  </si>
  <si>
    <t>croissant</t>
  </si>
  <si>
    <t>droning, low tones, liminal</t>
  </si>
  <si>
    <t>Droopy</t>
  </si>
  <si>
    <t>lasagna</t>
  </si>
  <si>
    <t>This painting made me feel as sense of dread and despair as the melting clock symbolize the fleeting moments of time passing by and how the darkness from the lower corner is creeping in. yet there still remain the cliff in the horizon and the shore still lit in the creping darkness, providing a sense of hope.¬†</t>
  </si>
  <si>
    <t>borscht</t>
  </si>
  <si>
    <t>Fall Out Boy - Centuries
The song talks about being either being remembered or being forgotten and how you are in charge of how and if you are remembered.</t>
  </si>
  <si>
    <t>the painting makes me feel sadness and despair, and slightly uneasy.</t>
  </si>
  <si>
    <t>burnt marshmallow</t>
  </si>
  <si>
    <t>The soundtrack would be slow and relaxed, with intermittent eerie sounds playing. It almost makes you want to fall asleep</t>
  </si>
  <si>
    <t>It makes me feel anxious about the time I spend and the value it holds.</t>
  </si>
  <si>
    <t>Beef Jerky</t>
  </si>
  <si>
    <t>Slow, mellow organ with a constant ticking sound.</t>
  </si>
  <si>
    <t>Anxious. The stress is not of time but what it will cost us to not take an action. All the clocks are a reminder that we are running out of enough time to do something. The anxiety of time running out leaves me empty.</t>
  </si>
  <si>
    <t>Arabian Dance By Tchaikovsky - Slightly scary humming tune that would is calming yet eerie.¬†</t>
  </si>
  <si>
    <t>It makes me think of how even though time passes, our memories, whether happy or sad, remain and might forever be there.¬†</t>
  </si>
  <si>
    <t>Maybe Another Time by Feng Suave. It reminds me of the feeling of time slipping by, yet one cannot do much about it. It is the sense of yearn that does it for me.</t>
  </si>
  <si>
    <t>Calm. The background is a calming scene with no clouds and no waves, muted colours and not too many focal points. Everything in the image looks to be in a resting state.</t>
  </si>
  <si>
    <t>The soundtrack would overall be calm. The songs would not be too fast or too slow. The music would not be technically advanced but satisfying in that the individual songs and the ordering of those songs would flow logically.</t>
  </si>
  <si>
    <t>The painting makes me feel powerless to the concept of time.</t>
  </si>
  <si>
    <t>Milk</t>
  </si>
  <si>
    <t>Low and somber sounds with the feeling of unendingness etched into the music.</t>
  </si>
  <si>
    <t>Since the clock and time are the main part of the painting, it somewhat gives me a sense of looming dread since it reminds me of deadlines, such as those for academics, workplace, or life in general. It also reminds me that we don't have infinite time, to treasure it with others when we can.</t>
  </si>
  <si>
    <t>Something with melted cheese, as the drooping clocks reminds me of melted cheese.¬†</t>
  </si>
  <si>
    <t>It would be a classical track that has the mood of a sombre funeral, with violins and piano being played in the background to remind you of the creeping time that will always tick by no matter what you do.</t>
  </si>
  <si>
    <t>Melancholic. Almost like the stage between two major emotions, such as grief and acceptance.¬†</t>
  </si>
  <si>
    <t>Stale tea left outside for a bit too long, making it cold.</t>
  </si>
  <si>
    <t>Violins and bass.</t>
  </si>
  <si>
    <t>Surreal.¬†
This painting makes you realise how fluid and dynamic the world really is, based on our perspectives and consciousness. We try to build these rigid structures to make everything make sense, but in actuality, it is all very fragile, and none of these societal constructs really exist.</t>
  </si>
  <si>
    <t>stoic, surreal, sombre, empty, flow</t>
  </si>
  <si>
    <t>This painting makes me feel like I should make good use of the time I have.</t>
  </si>
  <si>
    <t>cold pasta</t>
  </si>
  <si>
    <t>orchestral, minor key. lots of string instruments.</t>
  </si>
  <si>
    <t>This painting makes me feel uneasy and anxious, since the presence of clocks and the darkness in the corner makes me feel as if time is running out until something bad happens. The sagging clocks add a dreamlike and surreal quality to the work, and distorts reality.¬†</t>
  </si>
  <si>
    <t>This painting would be an apple</t>
  </si>
  <si>
    <t>The soundtrack would be dreamy, surreal, and unsettling.¬†</t>
  </si>
  <si>
    <t>makes me feel weird</t>
  </si>
  <si>
    <t>cooked lamb piece</t>
  </si>
  <si>
    <t>disorienting music</t>
  </si>
  <si>
    <t>It makes me feel a sense of unease</t>
  </si>
  <si>
    <t>That soundtrack sounds gloomy, has a slow tempo, and is low pitched.</t>
  </si>
  <si>
    <t>It feels like im in a dream, very unreal¬†</t>
  </si>
  <si>
    <t>some dark music¬†</t>
  </si>
  <si>
    <t>It makes me feel sad and hopeless, as there seems to be a drought anda¬† lack of resources.¬†</t>
  </si>
  <si>
    <t>beans</t>
  </si>
  <si>
    <t>mellow, sad, depressing</t>
  </si>
  <si>
    <t>the painting makes me feel a sense of sadness</t>
  </si>
  <si>
    <t>hot dog</t>
  </si>
  <si>
    <t>A slow, sad type of sound track</t>
  </si>
  <si>
    <t>Nostalgic, melancholic</t>
  </si>
  <si>
    <t>Oyster</t>
  </si>
  <si>
    <t>Violin with a melancholic tone.</t>
  </si>
  <si>
    <t>it makes me feel uneasy, makes me also think of the limited time i have and how valuable it is.</t>
  </si>
  <si>
    <t>a slow, sad soundtrack, primarily with a violin or a string instrument.</t>
  </si>
  <si>
    <t>This painting makes me feel melancholic, as though time has run out yet I still have much to do.¬†</t>
  </si>
  <si>
    <t>The soundtrack for this painting would be sombre classical music</t>
  </si>
  <si>
    <t>Existential</t>
  </si>
  <si>
    <t>Jell-O</t>
  </si>
  <si>
    <t>Eerie, slow, something not trying inherently to be scary but kinda comes off that way.</t>
  </si>
  <si>
    <t>The wilted and saggy clocks make me feel as if time has stopped in this irrelevant place in the planet. Similar to a feeling when no one shows up to a party. Where you can hear the dry air surrounding the POV. The ants on a funny orange thing don't really help the scene. They beg the question, "is that all?". A dead branch, bunch of ants, some type of animal hide in the sand. Perhaps the end is near, and even if it isn't, it's inevitable.</t>
  </si>
  <si>
    <t>Cheese that was warmed up, and then cooled off.</t>
  </si>
  <si>
    <t>Old crackly cassette background music.</t>
  </si>
  <si>
    <t>It has a sad tune and like a tragedy, it makes me feel uncomfortable.¬†</t>
  </si>
  <si>
    <t>Pizza¬†</t>
  </si>
  <si>
    <t>A dark and slow-paced background music</t>
  </si>
  <si>
    <t>The vague feeling is hard to grasp, like time rushing by, leaving a sense of oppression.</t>
  </si>
  <si>
    <t>sandwhich cookie</t>
  </si>
  <si>
    <t>The sound of the desert wind, the ticking of the clock</t>
  </si>
  <si>
    <t>This painting makes me feel eerie. I can almost hear a static noise resonate through the painting. It gives me a sense of unease.¬†</t>
  </si>
  <si>
    <t>Dry Pasta that is burnt</t>
  </si>
  <si>
    <t>A low static hum</t>
  </si>
  <si>
    <t>I feel scared cause everything is distorted but familiar at the same time</t>
  </si>
  <si>
    <t>30 cad</t>
  </si>
  <si>
    <t>slop food (everything mixed together so you cant tell what the food even is)</t>
  </si>
  <si>
    <t>eery and scary sound track</t>
  </si>
  <si>
    <t>Old and lack of liveliness</t>
  </si>
  <si>
    <t>Costco $1.50 hot dog</t>
  </si>
  <si>
    <t>***********************************************************************************************************************************************************************
Symphony No.3, Op.36 (1976) by¬†Henryk Gorecki. This soundtrack portrays a gloomy atmosphere to the audience. It invokes a sense of loss/mourn as I listen to the piece.
***********************************************************************************************************************************************************************</t>
  </si>
  <si>
    <t>This painting make me feel the physics in our world is important.¬†
This painting also make me feel the world is bizarre, I think it is the image that someone see when he take drugs.¬†</t>
  </si>
  <si>
    <t>goose</t>
  </si>
  <si>
    <t>soothing wave sound at the beach, but with jazz saxophone playing at the background</t>
  </si>
  <si>
    <t>human foot</t>
  </si>
  <si>
    <t>enter sandman</t>
  </si>
  <si>
    <t>This painting makes me feel like time erodes everything. It makes me feel sorrowful.</t>
  </si>
  <si>
    <t>Roasted Duck</t>
  </si>
  <si>
    <t>It makes me feel anxiety</t>
  </si>
  <si>
    <t>emptiness and futility about our life</t>
  </si>
  <si>
    <t>A slow, sombre¬†piece with a grand piano and a cello providing deep, low bass tones.</t>
  </si>
  <si>
    <t>sentimental about the passage of time</t>
  </si>
  <si>
    <t>slow, sad music</t>
  </si>
  <si>
    <t>Existential, terrified, anticipation for something negative that's bound to happen.</t>
  </si>
  <si>
    <t>Lentil soup</t>
  </si>
  <si>
    <t>A cinematic orchestra playing slow, dramatic tunes.</t>
  </si>
  <si>
    <t>It makes me feel like time is dead</t>
  </si>
  <si>
    <t>It would be a calm, slow tune.</t>
  </si>
  <si>
    <t>Time is a concept created by humans that can make life feel slow and lethargic when you strictly follow a schedule which is shown by how the clocks are 'soggy'¬† and limp, washed up on the beach. It also showcases how time can be wasted away.</t>
  </si>
  <si>
    <t>Soggy burger</t>
  </si>
  <si>
    <t>Somber orchestra with no lyrics, focused on violins.</t>
  </si>
  <si>
    <t>The painting makes me feel like time is slipping away</t>
  </si>
  <si>
    <t>Cinnamon roll</t>
  </si>
  <si>
    <t>The soundtrack would be calm yet slightly and subtly disturbing</t>
  </si>
  <si>
    <t>This painting makes me feel a tiny bit anxious because it reminds me that time is passing by and not stopping and a lot has been wasted.</t>
  </si>
  <si>
    <t>peach</t>
  </si>
  <si>
    <t>an old movie soundtrack with old tv audio quality</t>
  </si>
  <si>
    <t>This painting makes me feel sad.</t>
  </si>
  <si>
    <t>Burrito</t>
  </si>
  <si>
    <t>Soft piano soundtrack</t>
  </si>
  <si>
    <t>The painting makes me feel like that time goes to the end, and everything is dying and fade away.</t>
  </si>
  <si>
    <t>25 dollars, pay for the effort of the artist.¬†</t>
  </si>
  <si>
    <t>It would be a melted chocolate after best before date and¬†</t>
  </si>
  <si>
    <t>Start with the wind sound and gradually return to quiet.</t>
  </si>
  <si>
    <t>It makes me feel sad and powerless</t>
  </si>
  <si>
    <t>sponge cake</t>
  </si>
  <si>
    <t>In the court of the crimson king</t>
  </si>
  <si>
    <t>This painting makes me feel a little bit of sadness but also calm. I really like the depiction of the melting clocks, I think it speaks volume for the fluidity of time and the overall painting just looks very distorted. It feels like it's trying to say how time isn't really fixed/ "solid" and how we let it define our day to day and don't actually live in the moment.</t>
  </si>
  <si>
    <t>grilled cheese with chili</t>
  </si>
  <si>
    <t>Something that has a lot of country music notes in it</t>
  </si>
  <si>
    <t>Blueberry juice</t>
  </si>
  <si>
    <t>Crickets chirping</t>
  </si>
  <si>
    <t>This painting makes me feel in awe, like I‚Äôm looking at a beautiful night sky in real life. The art style isn‚Äôt realistic, but the thick brush strokes together form an enchanting skyline depiction, which makes me feel content by looking at it.¬†</t>
  </si>
  <si>
    <t>Lamb kebab¬†</t>
  </si>
  <si>
    <t>The soundtrack for this painting would be a quiet, low-pitched piano melody. The tempo would start slow then progressively get faster before slowing down again.¬†</t>
  </si>
  <si>
    <t>Vanilla pudding</t>
  </si>
  <si>
    <t>Peaceful nature noises, like wind and rain.</t>
  </si>
  <si>
    <t>It makes me feel like my neighbourhood is under some climate threat.¬†</t>
  </si>
  <si>
    <t>Ramen noodles</t>
  </si>
  <si>
    <t>Thunder sound¬†</t>
  </si>
  <si>
    <t>comfy</t>
  </si>
  <si>
    <t>Beef Stew</t>
  </si>
  <si>
    <t>An echoey song with wind in the background.</t>
  </si>
  <si>
    <t>It makes me feel awake and observant.</t>
  </si>
  <si>
    <t>The soundtrack would have piano, it would be calming and very interesting to listen to.</t>
  </si>
  <si>
    <t>Awe and wonder and the night sky, hope and brightness shining through a dark knight</t>
  </si>
  <si>
    <t>500k</t>
  </si>
  <si>
    <t>blueberry smoothie</t>
  </si>
  <si>
    <t>some kind of lo-fi music where the beats are more laidback but ellicts a feeling of being wavy. Something that while not loud is still upbeat</t>
  </si>
  <si>
    <t>decent</t>
  </si>
  <si>
    <t>no music its just wind</t>
  </si>
  <si>
    <t>Nostalgia</t>
  </si>
  <si>
    <t>Chicken Katsudon</t>
  </si>
  <si>
    <t>Juna by Clairo</t>
  </si>
  <si>
    <t>Makes me feel at peace.</t>
  </si>
  <si>
    <t>Blueberry smoothie¬†</t>
  </si>
  <si>
    <t>The sound track for this painting would be noises of air blowing by.</t>
  </si>
  <si>
    <t>Hopeful, bewildered, and amazed.</t>
  </si>
  <si>
    <t>100 Million</t>
  </si>
  <si>
    <t>A Popsicle</t>
  </si>
  <si>
    <t>Upbeat, glimmering, and hopeful.</t>
  </si>
  <si>
    <t>It makes me feel like I'm in the painted world, perhaps viewing the sky as someone who's lost their mind</t>
  </si>
  <si>
    <t>blueberry milkshake</t>
  </si>
  <si>
    <t>The soundtrack would be a slow paced descent, about a person losing their hold on reality</t>
  </si>
  <si>
    <t>Relaxed</t>
  </si>
  <si>
    <t>Prime rib</t>
  </si>
  <si>
    <t>Beethoven¬†</t>
  </si>
  <si>
    <t>Life keeps going on, it does not stop. The swirling feeling makes me feel like it is constantly moving and changing.</t>
  </si>
  <si>
    <t>Apocalypse by CAS</t>
  </si>
  <si>
    <t>Happy¬†</t>
  </si>
  <si>
    <t>Soft Violin.</t>
  </si>
  <si>
    <t>It makes me want to look up at the sky</t>
  </si>
  <si>
    <t>A nice and smooth latte</t>
  </si>
  <si>
    <t>It'd be classical music</t>
  </si>
  <si>
    <t>Nauseous</t>
  </si>
  <si>
    <t>Energetic music</t>
  </si>
  <si>
    <t>intense but comforting at the same time</t>
  </si>
  <si>
    <t>dreamy, reflective</t>
  </si>
  <si>
    <t>Small, Wondrous, Calm, Melancholic, Fuzzy, Relaxed</t>
  </si>
  <si>
    <t>Starry, Cloudy, Glittery, Soft, Lush</t>
  </si>
  <si>
    <t>Amazed and in awe, it makes me miss clear night skies where I can see stars. It also feels cozy with a small town vibe.</t>
  </si>
  <si>
    <t>Thats Amore - Dean Martin</t>
  </si>
  <si>
    <t>silly</t>
  </si>
  <si>
    <t>Good</t>
  </si>
  <si>
    <t>Intense</t>
  </si>
  <si>
    <t>it makes me appreciate the night sky, since we can't see much of it in larger cities.¬†</t>
  </si>
  <si>
    <t>1 million +</t>
  </si>
  <si>
    <t>cookie</t>
  </si>
  <si>
    <t>Calm, slow tempo, classical instrumental</t>
  </si>
  <si>
    <t>it makes me feel content and happy</t>
  </si>
  <si>
    <t>smores</t>
  </si>
  <si>
    <t>it would be happy, slow, melodic</t>
  </si>
  <si>
    <t>Very calm and peaceful.</t>
  </si>
  <si>
    <t>A steak.</t>
  </si>
  <si>
    <t>Classical Waltz, Ballroom Dancing, Ballet. Very calm music.</t>
  </si>
  <si>
    <t>Lots of uneasy emotions</t>
  </si>
  <si>
    <t>Doughnut</t>
  </si>
  <si>
    <t>Heavy metal</t>
  </si>
  <si>
    <t>It makes me feel calm and amused.</t>
  </si>
  <si>
    <t>Sticky toffee pudding.</t>
  </si>
  <si>
    <t>Rainy late night drives music.</t>
  </si>
  <si>
    <t>I feel dizzy at¬† the first look.
I find comfort by looking down over the village.</t>
  </si>
  <si>
    <t>1000 CAD</t>
  </si>
  <si>
    <t>Dessert</t>
  </si>
  <si>
    <t>String quartet</t>
  </si>
  <si>
    <t>Blue cupcake</t>
  </si>
  <si>
    <t>Jazzy, a melody played on a piano, string instruments in the background, reverb, saxophone.¬†</t>
  </si>
  <si>
    <t>water</t>
  </si>
  <si>
    <t>quiet and slow</t>
  </si>
  <si>
    <t>Calm, attentive and engaged</t>
  </si>
  <si>
    <t>smoothie</t>
  </si>
  <si>
    <t>a calm piano with eerie Halloween soundtrack elements.</t>
  </si>
  <si>
    <t>fantasy¬†</t>
  </si>
  <si>
    <t>grapes¬†</t>
  </si>
  <si>
    <t>the sound of cicadas at night</t>
  </si>
  <si>
    <t>Peace and majesty¬†</t>
  </si>
  <si>
    <t>50000000000 doller</t>
  </si>
  <si>
    <t>Nocturne¬†</t>
  </si>
  <si>
    <t>Nighttime</t>
  </si>
  <si>
    <t>Similar to the Dali one, 1-2k</t>
  </si>
  <si>
    <t>A late night soup</t>
  </si>
  <si>
    <t>One of Beethoven s sonata</t>
  </si>
  <si>
    <t>Feel good</t>
  </si>
  <si>
    <t>Mooncake</t>
  </si>
  <si>
    <t>Very long song</t>
  </si>
  <si>
    <t>nostalgic and at ease</t>
  </si>
  <si>
    <t>Spring,Fall,Winter</t>
  </si>
  <si>
    <t>skewers from a street food vendor</t>
  </si>
  <si>
    <t>majestic and not too upbeat or slow.</t>
  </si>
  <si>
    <t>Its calming feel, it reminds of the clam night sky on a quiet summer night.¬†</t>
  </si>
  <si>
    <t>1000 at most</t>
  </si>
  <si>
    <t>pasta, comfort food....</t>
  </si>
  <si>
    <t>violin music.¬†</t>
  </si>
  <si>
    <t>Chocolate glazed donut</t>
  </si>
  <si>
    <t>A classic Christmas type instrumental with jingles and high piano notes</t>
  </si>
  <si>
    <t>Makes me feel anxious and sad</t>
  </si>
  <si>
    <t>Cold turkey sandwich</t>
  </si>
  <si>
    <t>It would have slow soundtrack with heavy bass and low rhythm that feel heavy</t>
  </si>
  <si>
    <t>sombre piano music by erik satie</t>
  </si>
  <si>
    <t>Calmer</t>
  </si>
  <si>
    <t>Fresh soft piece of bread</t>
  </si>
  <si>
    <t>calm piano melody</t>
  </si>
  <si>
    <t>calm, peaceful</t>
  </si>
  <si>
    <t>quiet, classical, soft, harmonic</t>
  </si>
  <si>
    <t>This piece makes me feel calm and inspired; the swirling patterns and vibrant night sky give me a sense of wonder and tranquility.</t>
  </si>
  <si>
    <t>A swirling blueberry cheesecake with ribbons of lemon curd and starry sprinkles, vibrant and sweet just like the colors and motion.</t>
  </si>
  <si>
    <t>A gentle, swirling orchestral piece with crescendos and twinkling notes that rise and fall, evoking a calm yet dynamic night atmosphere.</t>
  </si>
  <si>
    <t>Calm, relaxed and content. It makes me feel accomplished and happy with my life.¬†</t>
  </si>
  <si>
    <t>Ham and cheese sandwich with mayo and tomatoes</t>
  </si>
  <si>
    <t>Calm and serene piano. Light synth in the background. A little acoustic guitar. Light drumming.</t>
  </si>
  <si>
    <t>Beef wellington</t>
  </si>
  <si>
    <t>A smooth, slow and calm lofi type sound.</t>
  </si>
  <si>
    <t>This painting makes me feel calm and at ease.</t>
  </si>
  <si>
    <t>Salmon and rice.</t>
  </si>
  <si>
    <t>A soundtrack built from the echoing sound of bells.</t>
  </si>
  <si>
    <t>The painting makes me feel calm and starstruck as I enjoy the vibrant and deep colours filling the canvas.</t>
  </si>
  <si>
    <t>The soundtrack would move in gentle waves of sound, rising and falling in slow, swirling patterns. Soft tones would shimmer while deeper notes roll underneath, creating a calm but restless feeling, like motion that never fully sleeps.</t>
  </si>
  <si>
    <t>Awe-struck, like the scale of the universe is revealed to the viewer. The painting ignites in me a curiosity to see more, to explore, and to find my place in a vast universe.¬†</t>
  </si>
  <si>
    <t>A crisp, cold, vine of grapes.¬†</t>
  </si>
  <si>
    <t>A layered, sci-fi melody that starts with one instrument and builds to a grand crescendo as the scale of the painting is revealed to the listener.¬†</t>
  </si>
  <si>
    <t>This painting makes me feel like a tiny fish in the ocean. There are much greater things than me around.¬†</t>
  </si>
  <si>
    <t>Triumphant music</t>
  </si>
  <si>
    <t>Dark chocolate.</t>
  </si>
  <si>
    <t>Calm harp.</t>
  </si>
  <si>
    <t>Wonder, hopeful</t>
  </si>
  <si>
    <t>soft, calm, picking up towards the end but not intense</t>
  </si>
  <si>
    <t>Soda</t>
  </si>
  <si>
    <t>I don't think there were many emotions that I felt. All I really noticed were the vibrant colors in the sky. Not only that but I also felt that the textures used throughout the painting were relatively unique.</t>
  </si>
  <si>
    <t>100 dollars. It's probably worth a lot more since it was made by a famous painter but I personally wouldn't want to spend too much since I'm not into paintings.</t>
  </si>
  <si>
    <t>I think this painting would be something like pizza. There is a consistent use of elements such as stars and houses which I thought to be like toppings.</t>
  </si>
  <si>
    <t>Due to the use of dark and cool colors, I think this soundtrack would be something ominous or gloomy. Similar to a soundtrack used in a horror movie or a graveyard scene.</t>
  </si>
  <si>
    <t>comfortable</t>
  </si>
  <si>
    <t>blueberry pie</t>
  </si>
  <si>
    <t>steady piano music</t>
  </si>
  <si>
    <t>Creme Brule</t>
  </si>
  <si>
    <t>Crickets, Owls</t>
  </si>
  <si>
    <t>peace, illusion</t>
  </si>
  <si>
    <t>yogurt</t>
  </si>
  <si>
    <t>mix of intense, swirling emotion, quiet melancholy, and awe-inspiring celestial wonder</t>
  </si>
  <si>
    <t>it feels cold and dark</t>
  </si>
  <si>
    <t>cold water</t>
  </si>
  <si>
    <t>layered strings circling each other in wide arcs, rising and falling in uneven waves.¬†</t>
  </si>
  <si>
    <t>Calming, peaceful, relaxed, awe, small,¬†</t>
  </si>
  <si>
    <t>A quiet whistling in the background and a lone vocalist. The soundtrack is slow, and the instruments include piano and string instruments, such as a violin and a cello.</t>
  </si>
  <si>
    <t>Alive and well.</t>
  </si>
  <si>
    <t>well i know this work, so definitely a few million.</t>
  </si>
  <si>
    <t>Tangerine.</t>
  </si>
  <si>
    <t>jazzy, calm and collected.</t>
  </si>
  <si>
    <t>Aggravated and Overwhelmed</t>
  </si>
  <si>
    <t>Cream Cheese Bagel</t>
  </si>
  <si>
    <t>A relentless, emotionally charged violin led theme.</t>
  </si>
  <si>
    <t>Dreaming</t>
  </si>
  <si>
    <t>100000000000, although I can't afford it</t>
  </si>
  <si>
    <t>um, an 7 flavour icecream</t>
  </si>
  <si>
    <t>It makes me feel intrigued.</t>
  </si>
  <si>
    <t>Probably something like a bagel.</t>
  </si>
  <si>
    <t>It would probably be jazz.</t>
  </si>
  <si>
    <t>mesmerized</t>
  </si>
  <si>
    <t>an orchestral piece with cello</t>
  </si>
  <si>
    <t>wine</t>
  </si>
  <si>
    <t>baroque</t>
  </si>
  <si>
    <t>awe inspired, sleepy, hypnotized</t>
  </si>
  <si>
    <t>dry aged steak</t>
  </si>
  <si>
    <t>restless, swirling, inrense bass</t>
  </si>
  <si>
    <t>Dizzy, turbulent and anxious.¬†</t>
  </si>
  <si>
    <t>Strong wind through the trees and distant voices of a neighborhood¬†</t>
  </si>
  <si>
    <t>Blueberry muffin</t>
  </si>
  <si>
    <t>Ambient soundtrack with a sense of coldness to it</t>
  </si>
  <si>
    <t>Excited, filled with wonder, in awe</t>
  </si>
  <si>
    <t>Spaghetti and meatballs</t>
  </si>
  <si>
    <t>Piano, violins, very bright, fast but not too fast, a good rhythm, exciting</t>
  </si>
  <si>
    <t>content, neutral, awe-struck</t>
  </si>
  <si>
    <t>merry, upbeat, classical orchestra</t>
  </si>
  <si>
    <t>Trippy, empathetic and ethereal</t>
  </si>
  <si>
    <t>Dark was the night, cold was the ground - Blind Willie Johnson</t>
  </si>
  <si>
    <t>neutral</t>
  </si>
  <si>
    <t>magical</t>
  </si>
  <si>
    <t>it would sound like the soundtrack from interstellar.</t>
  </si>
  <si>
    <t>world is vast and beautiful</t>
  </si>
  <si>
    <t>light salad with raisins</t>
  </si>
  <si>
    <t>ethereal and light with piano melodic tones</t>
  </si>
  <si>
    <t>Vast, distortion conflicts with tranquil, like dream, highly suppressed and constrained madness.</t>
  </si>
  <si>
    <t>CAD$1000000</t>
  </si>
  <si>
    <t>Spatial, distorted sound of firewood, violin.</t>
  </si>
  <si>
    <t>This painting gives me nostalgia for a time when I saw the world in a much more beautiful light. It evokes the whimsy and magical energy within a child's mind. To see the night sky, so beautful and full reminds me of the totality of existence itself.</t>
  </si>
  <si>
    <t>I would be willing to pay $80 for this painting.</t>
  </si>
  <si>
    <t>This would be a nice glass of wine that a rich person may have while sitting on their balconey at night. It would be complex, feel enriching, smooth and pleasant. It would be in a high quality glass and glisten in the presence of light.¬†</t>
  </si>
  <si>
    <t>I would be a pleasing jazz melody. The music would come just a bit far off and you hear it in the distance.¬†</t>
  </si>
  <si>
    <t>some abstract feeling on the night sky, the stars</t>
  </si>
  <si>
    <t>calm, peace</t>
  </si>
  <si>
    <t>Tranquility</t>
  </si>
  <si>
    <t>Meat broth</t>
  </si>
  <si>
    <t>Electronic music is blooming, with serene wavelengths yet brimming with power</t>
  </si>
  <si>
    <t>Calm, and quiet.</t>
  </si>
  <si>
    <t>Freezie.</t>
  </si>
  <si>
    <t>Sweater Weather. The soundtrack is upbeat yet sad at the same time.</t>
  </si>
  <si>
    <t>This painting makes me feel relaxed and makes me want to go out with friends.</t>
  </si>
  <si>
    <t>Ice cream cake</t>
  </si>
  <si>
    <t>Slow piano song</t>
  </si>
  <si>
    <t>strawberry fields beetles</t>
  </si>
  <si>
    <t>idk confusion, hypnotized almost</t>
  </si>
  <si>
    <t>oblivion by grimes</t>
  </si>
  <si>
    <t>tilapia</t>
  </si>
  <si>
    <t>piano, slow beat.</t>
  </si>
  <si>
    <t>This painting evokes nostalgia. It reminds me of when I first saw it, and who I was back then.</t>
  </si>
  <si>
    <t>Swiss roll cake</t>
  </si>
  <si>
    <t>A hauntingly beautiful soundtrack full of string instruments and a slower tempo with longer musical phrases.</t>
  </si>
  <si>
    <t>It makes me feel calm and relaxed. It makes me feel cold but the good kind like a cool breeze. It gives me a sense of peace and serenity. It makes me feel like I'm alone in the middle of the night where everything is quiet and I am closer to my thoughts.</t>
  </si>
  <si>
    <t>A slow and quiet piano piece that's calm and relaxing. It has a slow melody that's almost twinkling. Sounds almost like a lullaby.</t>
  </si>
  <si>
    <t>In awe, perhaps. I want to go to a place like that.</t>
  </si>
  <si>
    <t>Lindt's Lindor chocolate</t>
  </si>
  <si>
    <t>Like a dreamy piano, perhaps accompanied by a distant, soft rustling</t>
  </si>
  <si>
    <t>It makes me feel happy and in awe of the beauty in our universe.</t>
  </si>
  <si>
    <t>Acoustic guitar for a romantic song</t>
  </si>
  <si>
    <t>Calm, thoughtful, mystical.</t>
  </si>
  <si>
    <t>A chicken roast.</t>
  </si>
  <si>
    <t>Jazz, saxophone, happy but not too upbeat and calming.</t>
  </si>
  <si>
    <t>30 or 300k (with context)</t>
  </si>
  <si>
    <t>sunny side egg</t>
  </si>
  <si>
    <t>Amazed, in awe, somber, feel like exploring.</t>
  </si>
  <si>
    <t>Elden ring soothing ambient music</t>
  </si>
  <si>
    <t>One of my favorite paintings. It makes me feel amazed and in awe.</t>
  </si>
  <si>
    <t>Something very smooth, like Nutella or a nice smoothie.</t>
  </si>
  <si>
    <t>Jingles</t>
  </si>
  <si>
    <t>It makes me feel calm.¬†</t>
  </si>
  <si>
    <t>pomegranate</t>
  </si>
  <si>
    <t>The sound of cold air/wind¬†</t>
  </si>
  <si>
    <t>Makes me feel a little sad but not too much. Doesn't make me feel sad or happy or distraught or angry.¬†</t>
  </si>
  <si>
    <t>40 CAD</t>
  </si>
  <si>
    <t>It would be a piece of dark chocolate.</t>
  </si>
  <si>
    <t>Just sounds of air passing by.</t>
  </si>
  <si>
    <t>relieved</t>
  </si>
  <si>
    <t>bells and charms</t>
  </si>
  <si>
    <t>This painting gives me a feeling of serenity with the bright swirls in the blue sky, but also a bit of despair with the dark tree branching upwards.¬†</t>
  </si>
  <si>
    <t>I am not financially strong enough to pay thousands, but I am willing to pay around 500 for this art piece.¬†</t>
  </si>
  <si>
    <t>The decorative drawings on cookies. I feel like this would be a good painting to draw on a cookie.¬†</t>
  </si>
  <si>
    <t>A calming piano soundtrack designed for people who cannot sleep at night.¬†</t>
  </si>
  <si>
    <t>Makes me feel loopy, and a bit disoriented.¬†</t>
  </si>
  <si>
    <t>Fancy Pasta</t>
  </si>
  <si>
    <t>The soundtrack is a mix of joyful and sad, and talks about life in a city, with lots of orchestral backgrounds throughout.¬†</t>
  </si>
  <si>
    <t>Blueberry pie.</t>
  </si>
  <si>
    <t>Soft, flowing music with rising and falling sounds</t>
  </si>
  <si>
    <t>Intense piano</t>
  </si>
  <si>
    <t>I don't feel much of anything.</t>
  </si>
  <si>
    <t>gelato</t>
  </si>
  <si>
    <t>just wind</t>
  </si>
  <si>
    <t>Curious, in awe and lively</t>
  </si>
  <si>
    <t>A good hamburger</t>
  </si>
  <si>
    <t>Mystical and magical</t>
  </si>
  <si>
    <t>This painting makes me feel a bit confused, as in a little hazy, and maybe even a bit sad due to the way Vincent van Gogh has used the brush strokes to create that effect.¬†</t>
  </si>
  <si>
    <t>This painting would be ramen.</t>
  </si>
  <si>
    <t>A sad sound which really allows a person to express all their emotions.</t>
  </si>
  <si>
    <t>It gives me a sense of awe mixed with a little bit of anxiety because everything is swirling so fast.</t>
  </si>
  <si>
    <t>waffles with blueberries</t>
  </si>
  <si>
    <t>A classical orchestral piece dominated by violins playing fast, swirling scales</t>
  </si>
  <si>
    <t>familiar, sombre, calm, longing</t>
  </si>
  <si>
    <t>505¬†by Arctic Monkeys</t>
  </si>
  <si>
    <t>This painting makes me feel bright. It makes me feel cool like a Saturday night. This painting brings me excitement but also calmness. It makes me feel like going out or travelling. It has a familiar exciting comforting vibe.</t>
  </si>
  <si>
    <t>Soup. Some kind of hearty food with a good prominent taste. Definitely a more wet food.</t>
  </si>
  <si>
    <t>This would definitely have the piano in most of its songs. The songs would be at a higher pitch. It could have some more calm songs and some more poppy songs. The genre would be some kind of pop or electric.</t>
  </si>
  <si>
    <t>A smooth jazz song</t>
  </si>
  <si>
    <t>This feeling makes me feel neutral, and doesn't make me feel much.</t>
  </si>
  <si>
    <t>Something boring - so maybe something like, noodles.</t>
  </si>
  <si>
    <t>Escapism, by Raye.</t>
  </si>
  <si>
    <t>awestruck</t>
  </si>
  <si>
    <t>hopefull</t>
  </si>
  <si>
    <t>It makes me feel emotional in a deep way. There‚Äôs a mix of calm and chaos, as if everything is moving, but somehow it still feels peaceful. It feels introspective and makes me think a lot.</t>
  </si>
  <si>
    <t>A comforting, warm meal on a cold night, but with strong flavours that would stay with you for long/</t>
  </si>
  <si>
    <t>Flowing music with rising and falling intensity, like waves of sound. It would feel emotional and expressive, with moments of calm followed by bursts of energy.</t>
  </si>
  <si>
    <t>This painting makes me feel relaxed, like another day has gone by and things are going to be okay.</t>
  </si>
  <si>
    <t>An emotional soundtrack; relaxing, dreamy and melancholic.</t>
  </si>
  <si>
    <t>Happy, Party night</t>
  </si>
  <si>
    <t>Happy Piano and violin¬†</t>
  </si>
  <si>
    <t>slow, dark, in some minor key.</t>
  </si>
  <si>
    <t>Makes me feel calm</t>
  </si>
  <si>
    <t>buegwe</t>
  </si>
  <si>
    <t>calming sound track</t>
  </si>
  <si>
    <t>I feel pretty neutral about it overall. The blue tones and the way everything kind of moves reminds me of the ocean, so it feels calming in that sense, but not in a super strong way.</t>
  </si>
  <si>
    <t>Probably around $80‚Äì$100. I like looking at it and it feels calming, but it‚Äôs not something I‚Äôd spend a lot on. It feels more like something I‚Äôd hang up because it looks nice rather than because it really means something personal to me.</t>
  </si>
  <si>
    <t>I imagine something slow and repetitive. Not much happening at once, just sounds that blend together and feel smooth. It would be calming and easy to listen to without really focusing on it.</t>
  </si>
  <si>
    <t>Makes me feel a sense of calm wonder.¬†</t>
  </si>
  <si>
    <t>Sounds like the song city of stars¬†</t>
  </si>
  <si>
    <t>It makes me feel happy.</t>
  </si>
  <si>
    <t>Fast and energetic but a little creepy.</t>
  </si>
  <si>
    <t>It makes me feel cold and gloomy.</t>
  </si>
  <si>
    <t>it would be a very sad soundtrack.</t>
  </si>
  <si>
    <t>scared</t>
  </si>
  <si>
    <t>spaghetti¬†</t>
  </si>
  <si>
    <t>eerie pipe organ¬†</t>
  </si>
  <si>
    <t>It makes me feel awe and wonderful about how beautiful the night sky could be.¬†</t>
  </si>
  <si>
    <t>Blueberry ice-cream.¬†</t>
  </si>
  <si>
    <t>It sounds magical, like out of Harry Potter. A lot of glockenspiel and bells.¬†</t>
  </si>
  <si>
    <t>In a lot of awe and wonder at how large the universe is and just how small we are. Also lots of memories of camping in places where there's no light pollution. The crisp cold air hitting my lungs. You really feel sense of profound sadness, to be honest, it's like nothing matters in the grand scheme of things.¬†</t>
  </si>
  <si>
    <t>Pomegranates</t>
  </si>
  <si>
    <t>Choir singing or just any large group of people singing together.</t>
  </si>
  <si>
    <t>When I look at this painting, I feel excited and a little bit scared. It looks like a giant, magical storm is coming to attack the village. The sky is swirling like a big wave in the ocean. The stars look like they are exploding!
I feel like a hero needs to come and save the people in the houses. The village is very dark and quiet, so they don't know the sky is turning into a monster. It feels like the start of a big adventure movie.</t>
  </si>
  <si>
    <t>whisper, fast winds</t>
  </si>
  <si>
    <t>Drowning in the endless night. Hopeless.</t>
  </si>
  <si>
    <t>Flowing, piano-like</t>
  </si>
  <si>
    <t>Sleepy and calm</t>
  </si>
  <si>
    <t>Blueberry cream filling</t>
  </si>
  <si>
    <t>It would be classical music. Twinkle twinkle little star, green sleeves, swan lake. Or something with Christmas vibes. Hark the angels sing.</t>
  </si>
  <si>
    <t>Calm but also makes me want to take a long night walk in the city</t>
  </si>
  <si>
    <t>maybe R&amp;B type music</t>
  </si>
  <si>
    <t>Calm and relaxed</t>
  </si>
  <si>
    <t>Something quiet, slow, and relaxing</t>
  </si>
  <si>
    <t>a melodic summer soundtrack about the beach</t>
  </si>
  <si>
    <t>It giving me a peace of mind</t>
  </si>
  <si>
    <t>A night in the farm</t>
  </si>
  <si>
    <t>Pop Rock candy</t>
  </si>
  <si>
    <t>Drifting sky</t>
  </si>
  <si>
    <t>soothing</t>
  </si>
  <si>
    <t>calm music</t>
  </si>
  <si>
    <t>I am a really big fan of this painting, its so intricate and it makes me feel excited</t>
  </si>
  <si>
    <t>maybe like a calm beat soundtrack like lofi</t>
  </si>
  <si>
    <t>It makes me feel calm and thoughtful. The moving sky feels emotional, while the scene below feels quiet and peaceful.</t>
  </si>
  <si>
    <t>It‚Äôd be soft and flowing, kinda emotional but calming. Slow music that drifts along and makes you feel thoughtful and peaceful.</t>
  </si>
  <si>
    <t>¬†
* The composition suggests inner turmoil or heightened emotional states</t>
  </si>
  <si>
    <t>something sweet like cake</t>
  </si>
  <si>
    <t>something like classical¬†</t>
  </si>
  <si>
    <t>¬†it makes me feel small in a good way, calm but thoughtful, like staring at the sky when you‚Äôre tired and letting your mind wander.</t>
  </si>
  <si>
    <t>warm bowl of soup with lots of spices.</t>
  </si>
  <si>
    <t>The soundtrack would be mostly slow and flowing. Low, sustained tones form a constant background. High, clear notes occasionally punctuate the space.</t>
  </si>
  <si>
    <t>This painting seems to represent a city full of lights under the moonlight. It gives an energetic vibe and a feeling to just be out there with people to enjoy with some food, party and other activities. It also feels somewhat calm in the sense that the painting contains moonlight and some form of stars/planets which makes want to appreciate nature as it is. In general it feels like a modern piece which was drawn in the past.</t>
  </si>
  <si>
    <t>2000 CAD</t>
  </si>
  <si>
    <t>Spicy Schezwan Fried Rice</t>
  </si>
  <si>
    <t>Feels like an exciting pop music with high energy levels.</t>
  </si>
  <si>
    <t>Makes me feel happy and free with all the stars and the swirls in the sky.¬†</t>
  </si>
  <si>
    <t>French toast</t>
  </si>
  <si>
    <t>Cool - Daniel Caeser</t>
  </si>
  <si>
    <t>It makes me feel calm and restless in a state of turmoil at the same time.¬†</t>
  </si>
  <si>
    <t>5 million</t>
  </si>
  <si>
    <t>Marble cake</t>
  </si>
  <si>
    <t>The soundtrack would feel calm but lively at the same time. It‚Äôs peaceful enough to relax to, but always moving, giving you a sense of wonder and energy, like the world is quietly alive around you.</t>
  </si>
  <si>
    <t>This painting makes me feel calm and sleepy.</t>
  </si>
  <si>
    <t>It would be a blueberry muffin with a crispy outer layer.</t>
  </si>
  <si>
    <t>It would be a calming classical soundtrack with no lyrics.¬†</t>
  </si>
  <si>
    <t>This painting makes me feel calm, yet evokes a sentiment of loneliness and some darkness.</t>
  </si>
  <si>
    <t>On of those mixable yogurts with a blueberry jam at the bottom.</t>
  </si>
  <si>
    <t>A dark piano and orchestra classical piece with light snow-sounding effects. Should be like a vampire Dracula dark vibe, but with a light consistent background key pattern.</t>
  </si>
  <si>
    <t>This painting makes me feel cozy and content, because it is windy outside but everyone is warm in their houses, admiring the night sky.</t>
  </si>
  <si>
    <t>freshly baked bread</t>
  </si>
  <si>
    <t>Unrealistic, dream, dark.</t>
  </si>
  <si>
    <t>chicken</t>
  </si>
  <si>
    <t>slow, pulsing low strings. With sound of winds but comforting while sadness.</t>
  </si>
  <si>
    <t>Makes me feel whimsical</t>
  </si>
  <si>
    <t>I can imagine something from a Tim Burton film¬†</t>
  </si>
  <si>
    <t>It makes me feel peaceful and restful</t>
  </si>
  <si>
    <t>a live jazz band that is elegant</t>
  </si>
  <si>
    <t>It makes me feel slightly sad, yet relaxed. It also makes me admire the painting.</t>
  </si>
  <si>
    <t>Ice cream or water (if that's allowed)</t>
  </si>
  <si>
    <t>The soundtrack is very sad and slow, with a sort of beat that makes one think back about their life and reflect. Maybe with some rain playing softly.</t>
  </si>
  <si>
    <t>Makes me feel a cool breeze while I'm laying in bed trying to fall asleep</t>
  </si>
  <si>
    <t>A fast tempo with a consistent and boring repetition of the sound patterns</t>
  </si>
  <si>
    <t>chaotic and confused</t>
  </si>
  <si>
    <t>chaotic, sad, and intense</t>
  </si>
  <si>
    <t>Inspired, calm, quiet and still.</t>
  </si>
  <si>
    <t>coffee</t>
  </si>
  <si>
    <t>A slow, soft piece with gently swirling melodies and long pauses that feels quiet.</t>
  </si>
  <si>
    <t>Rather calm and collected. Nothing too emotion evoking in the painting.</t>
  </si>
  <si>
    <t>Calming, sleeping music.</t>
  </si>
  <si>
    <t>This painting exhibits feelings of grandiose and hopefulness; there is also an element of serenity.</t>
  </si>
  <si>
    <t>The soundtrack would sound like something from an adventurous movie, with hopeful tunes that eventually lead to a serene and melancholic symphony. It would end with some sort of grand finale.</t>
  </si>
  <si>
    <t>Fills me with awe, inspiration, appreciation for nature and beauty. It calms me and it feels serene and larger than life. Very satisfied feeling.</t>
  </si>
  <si>
    <t>Blueberry White Chocolate Cheesecake</t>
  </si>
  <si>
    <t>Soft, quiet, personal, intimate piano melody with a brief little charming high point. Piano fades in and fades out at the start and end.</t>
  </si>
  <si>
    <t>this painting makes me feel calm</t>
  </si>
  <si>
    <t>blueberry icecream</t>
  </si>
  <si>
    <t>rising strings, soft chimes, distant choir hums, and pulsing rhythms‚Äîcalm underneath, but always moving, like a dream that won‚Äôt sit still.</t>
  </si>
  <si>
    <t>Silent, longing, a little apprehensive. Like something could suddenly happen, but also stuck in time.</t>
  </si>
  <si>
    <t>Slow and quiet. Homely feeling, maybe orchestral.</t>
  </si>
  <si>
    <t>Tired</t>
  </si>
  <si>
    <t>Quiet</t>
  </si>
  <si>
    <t>imaginary</t>
  </si>
  <si>
    <t>peaceful and quiet</t>
  </si>
  <si>
    <t>It makes me feel a sense of awe and beauty</t>
  </si>
  <si>
    <t>A nice relaxing flute or maybe some jazz</t>
  </si>
  <si>
    <t>Beautiful</t>
  </si>
  <si>
    <t>Japanese cold noodles</t>
  </si>
  <si>
    <t>Peaceful, light piano</t>
  </si>
  <si>
    <t>Mysterious, and relax</t>
  </si>
  <si>
    <t>999999999999999999999999999999</t>
  </si>
  <si>
    <t>Warabi Mochi</t>
  </si>
  <si>
    <t>ÈîüÊñ§Êã∑ÁÉ´ÁÉ´ÁÉ´ÈîüÊñ§Êã∑ÁÉ´ÁÉ´ÁÉ´ÈîüÊñ§Êã∑ÁÉ´ÁÉ´ÁÉ´ÈîüÊñ§Êã∑ÁÉ´ÁÉ´ÁÉ´ÈîüÊñ§Êã∑ÁÉ´ÁÉ´ÁÉ´ÈîüÊñ§Êã∑ÁÉ´ÁÉ´ÁÉ´ÈîüÊñ§Êã∑ÁÉ´ÁÉ´ÁÉ´ÈîüÊñ§Êã∑ÁÉ´ÁÉ´ÁÉ´ÈîüÊñ§Êã∑ÁÉ´ÁÉ´ÁÉ´ÈîüÊñ§Êã∑ÁÉ´ÁÉ´ÁÉ´ÈîüÊñ§Êã∑ÁÉ´ÁÉ´ÁÉ´ÈîüÊñ§Êã∑ÁÉ´ÁÉ´ÁÉ´ÈîüÊñ§Êã∑ÁÉ´ÁÉ´ÁÉ´ÈîüÊñ§Êã∑ÁÉ´ÁÉ´ÁÉ´ÈîüÊñ§Êã∑ÁÉ´ÁÉ´ÁÉ´ÈîüÊñ§Êã∑ÁÉ´ÁÉ´ÁÉ´ÈîüÊñ§Êã∑ÁÉ´ÁÉ´ÁÉ´ÈîüÊñ§Êã∑ÁÉ´ÁÉ´ÁÉ´</t>
  </si>
  <si>
    <t>Makes me feel like im in medieval times</t>
  </si>
  <si>
    <t>Chill and calm similar to loft</t>
  </si>
  <si>
    <t>bittersweet, longing, melancholic</t>
  </si>
  <si>
    <t>gloomy and calm</t>
  </si>
  <si>
    <t>blueberry smoothie bowl</t>
  </si>
  <si>
    <t>The soundtrack would start off with calm and windy sounds. Then, as the song progresses the sounds would get more intense.</t>
  </si>
  <si>
    <t>This painting makes me feel very calm and it feels like if I took a psychedelic and went star gazing.</t>
  </si>
  <si>
    <t>lucky charms cereal</t>
  </si>
  <si>
    <t>deux arabesques, the painting would sound very relaxing and calming. Stars would dance.¬†</t>
  </si>
  <si>
    <t>Makes me feel creative and slightly sleeply.</t>
  </si>
  <si>
    <t>The sound track for this would be like a rythmic sound of the breeze of the wind. Combined with rythmic clicks of light switches, and the rumble of cars accelerating and decelerating.¬†</t>
  </si>
  <si>
    <t>This painting makes me feel calm and relaxed, while also filling me with a sense of awe and the vastness of the universe.</t>
  </si>
  <si>
    <t>The soundtrack would be graceful and flowing, with a smooth and waltz-like rhythm.</t>
  </si>
  <si>
    <t>a child, dreaming, excited to see the future</t>
  </si>
  <si>
    <t>Taro boba</t>
  </si>
  <si>
    <t>Exciting, lifting music</t>
  </si>
  <si>
    <t>It makes me feel calm, in wonder, serene.</t>
  </si>
  <si>
    <t>Fettuccine.</t>
  </si>
  <si>
    <t>String orchestra music, slow jazz, romantic.</t>
  </si>
  <si>
    <t>Calm and sacred</t>
  </si>
  <si>
    <t>blueberry ice cream</t>
  </si>
  <si>
    <t>8 bit music, sharp and exaggerating</t>
  </si>
  <si>
    <t>After seeing that last image: hopeful</t>
  </si>
  <si>
    <t>Icecream¬†</t>
  </si>
  <si>
    <t>It's giving "Title Screen Music" from Sheepy. So calm, quiet and slightly uplifting, a little sombre.¬†</t>
  </si>
  <si>
    <t>Breathless</t>
  </si>
  <si>
    <t>Exciting</t>
  </si>
  <si>
    <t>It makes me feel cam as if I am viewing a starry night myself.</t>
  </si>
  <si>
    <t>$50 assuming it is a reprint.</t>
  </si>
  <si>
    <t>It would be berries, more specifically blueberries because they have one or 2 colours usually (green and blue).</t>
  </si>
  <si>
    <t>A galatic kind of music sort of llike the Celeste title screen.</t>
  </si>
  <si>
    <t>wonder, calmness, nostalgia, peace</t>
  </si>
  <si>
    <t>Dark chocolate</t>
  </si>
  <si>
    <t>Twinkling bell sounds, luscious strings, harp, flutes, woodwinds</t>
  </si>
  <si>
    <t>It makes me feel both calm and restless at the same time. The movement feels intense and emotional, but there‚Äôs also a sense of wonder and quiet reflection.</t>
  </si>
  <si>
    <t>ice cream¬†</t>
  </si>
  <si>
    <t>The soundtrack would be fast and flowing, with rising and falling melodies that feel emotional and dramatic. It would sound intense but also hopeful, like constant motion that never fully settles.</t>
  </si>
  <si>
    <t>It makes me feel calm.</t>
  </si>
  <si>
    <t>Soothing humming birds.</t>
  </si>
  <si>
    <t>non diegetic</t>
  </si>
  <si>
    <t>Awe</t>
  </si>
  <si>
    <t>Beavertail</t>
  </si>
  <si>
    <t>Mellow, soft, spacey/distorted notes</t>
  </si>
  <si>
    <t>Chilly, would make me want to go outside for a night walk.¬†</t>
  </si>
  <si>
    <t>Shoegaze kind of song, indie pop.¬†</t>
  </si>
  <si>
    <t>makes me feel nostalgic. I have a very similar, if not the exact same painting at home which my grandpa gave me. So i‚Äôm super nostalgic.¬†</t>
  </si>
  <si>
    <t>burger¬†</t>
  </si>
  <si>
    <t>it feels like a bunch of rap music (my favourite music) since i love this painting.</t>
  </si>
  <si>
    <t>Somewhere in between nostalgia and internal stress</t>
  </si>
  <si>
    <t>100,000 (no money laundering, just to have it)</t>
  </si>
  <si>
    <t>a slightly burnt marshmallow (a bit sad, a bit tainted, but still tastes really good)</t>
  </si>
  <si>
    <t>Lot's of violin, occasionally frantic</t>
  </si>
  <si>
    <t>It fascinates me and instills both a sense of calmness and doubt in me.</t>
  </si>
  <si>
    <t>Blueberry ice cream</t>
  </si>
  <si>
    <t>The soundtrack would be a calm classical piece, using violins and a piano in the background.</t>
  </si>
  <si>
    <t>awe-inspired, amazed</t>
  </si>
  <si>
    <t>there is no soundtrack, just a silent cold breeze</t>
  </si>
  <si>
    <t>Awestruck, melancholic, and hopeful</t>
  </si>
  <si>
    <t>Brown sugar apple porridge</t>
  </si>
  <si>
    <t>instrumental, quiet and melancholic.</t>
  </si>
  <si>
    <t>It makes me feel like I am travelling through a windy forest at night.</t>
  </si>
  <si>
    <t>Windy background noise</t>
  </si>
  <si>
    <t>it makes me think about the stars</t>
  </si>
  <si>
    <t>it would have bells</t>
  </si>
  <si>
    <t>It would be an ambient soundtrack with the sounds of wind and calm instruments.¬†</t>
  </si>
  <si>
    <t>sad and dizzy¬†</t>
  </si>
  <si>
    <t>calm, slow, and orchestral¬†</t>
  </si>
  <si>
    <t>Makes me feel excited because of the movement of the sky,</t>
  </si>
  <si>
    <t>smoked salmon</t>
  </si>
  <si>
    <t>up beat classical music</t>
  </si>
  <si>
    <t>Ice</t>
  </si>
  <si>
    <t>Quiet, flute, mellow</t>
  </si>
  <si>
    <t>Calm, serene, a little longing.</t>
  </si>
  <si>
    <t>$50 (I'm broke)</t>
  </si>
  <si>
    <t>Fresh, warm blueberry pie</t>
  </si>
  <si>
    <t>Peaceful, gentle chirping of night bugs and a refreshing breeze</t>
  </si>
  <si>
    <t>its giving -- go with the flow vibes. Mysterious - in dramatic way., some murder investigation in that town perhaps?</t>
  </si>
  <si>
    <t>blue cheese!!</t>
  </si>
  <si>
    <t>Angel by Massive Attack, Horace Andy.. (the mysterious James-Bond vibes)</t>
  </si>
  <si>
    <t>It makes me feel a bit sad. It kind of reminds me of the night time but like a sombre¬†version of it.¬†</t>
  </si>
  <si>
    <t>Oh it kind of reminds me of purple grapes. I think the reason why is due to how it is displaying its take on night time.¬†</t>
  </si>
  <si>
    <t>I feel like the soundtrack for this painting would be like in the sombre blues genre. Because I feel like that is the best type of music that would display the dreary night time this painting is displaying. I don't think there would be any changes in type of song, I feel like the would all be sombre blues.¬†</t>
  </si>
  <si>
    <t>Overall, very calm, but with a sense of yearning for something more. Maybe a slight nostalgia</t>
  </si>
  <si>
    <t>Just nature sounds. Like a soft wind flowing through trees. You can hear the movement of the branches. It's sounds cold and quiet.</t>
  </si>
  <si>
    <t>It makes me feel the peaceful nights</t>
  </si>
  <si>
    <t>blue icecream</t>
  </si>
  <si>
    <t>quiet ambience and some small violin</t>
  </si>
  <si>
    <t>i love this painting! it makes me happy and content</t>
  </si>
  <si>
    <t>bluberries</t>
  </si>
  <si>
    <t>quiet, calming, ambience</t>
  </si>
  <si>
    <t>300$</t>
  </si>
  <si>
    <t>Calm jazzy music with piano.</t>
  </si>
  <si>
    <t>it makes me wonder about the beauty of the world.</t>
  </si>
  <si>
    <t>it would be chocolate parfait.</t>
  </si>
  <si>
    <t>it would be soothing and calm.</t>
  </si>
  <si>
    <t>This painting makes me feel calm yet mildly perturbed. Like the weather is just barely too cold for comfort yet still not cold enough for you to want to leave.</t>
  </si>
  <si>
    <t>pesto fettucine</t>
  </si>
  <si>
    <t>a slow piece with in a minor key. occasional gusts of speed.</t>
  </si>
  <si>
    <t>Insignificant</t>
  </si>
  <si>
    <t>Blue Berry Ice Cream</t>
  </si>
  <si>
    <t>Calm violin with an assortment of deep sounding band instruments</t>
  </si>
  <si>
    <t>I feel mysterious within the painting, and brings me curiosity and hopeful feelings.</t>
  </si>
  <si>
    <t>mysterious piano music</t>
  </si>
  <si>
    <t>It makes me feel calm at during night time</t>
  </si>
  <si>
    <t>Croissant</t>
  </si>
  <si>
    <t>Calm Chill music playing when your driving late at night</t>
  </si>
  <si>
    <t>It makes me feel peaceful but emotional. Calm, inspired, and a little overwhelmed in a beautiful way.</t>
  </si>
  <si>
    <t>A warm blueberry tart or a rich dark-chocolate dessert.</t>
  </si>
  <si>
    <t>A flowing, orchestral piece with rising and falling strings. Slow at first, then swelling with energy. Emotional, dreamy, and full of motion</t>
  </si>
  <si>
    <t>nervous and mysterious</t>
  </si>
  <si>
    <t>Blueberry Lemon Swirl Mousse Cake</t>
  </si>
  <si>
    <t>Swirling strings with deep resonance and ethereal choir</t>
  </si>
  <si>
    <t>interested</t>
  </si>
  <si>
    <t>songs with very loud trumpets¬†</t>
  </si>
  <si>
    <t>easy, clam</t>
  </si>
  <si>
    <t>50k</t>
  </si>
  <si>
    <t>soba noodle</t>
  </si>
  <si>
    <t>clam and relaxing lofi</t>
  </si>
  <si>
    <t>This painting makes me feel emotionally stirred and slightly unsettled, as if I‚Äôm witnessing the world through heightened senses.</t>
  </si>
  <si>
    <t>It would be like a rich, intensely spiced stew: deep, dark flavors layered with sudden bursts of brightness.</t>
  </si>
  <si>
    <t>The soundtrack would be driven by sweeping, restless motion rather than a steady beat.¬†</t>
  </si>
  <si>
    <t>It makes me feel sleepy.</t>
  </si>
  <si>
    <t>shepherd's pie</t>
  </si>
  <si>
    <t>It would be calm with a classical tone, and it would have a lower vibe to it, not a lot of ups and downs.</t>
  </si>
  <si>
    <t>turmoil, calm, mixed emotions, storm is coming, ominous, anticipation, preparation, concern, awe, amazement, shock, peace, serenity</t>
  </si>
  <si>
    <t>hot latte</t>
  </si>
  <si>
    <t>orchestral, piano, high pace, high volume, fortissimo, presto, vivace, string quartet, grandiose, archipelagos</t>
  </si>
  <si>
    <t>wonder, curious, distant, excited</t>
  </si>
  <si>
    <t>Astronaut food tubes.</t>
  </si>
  <si>
    <t>Fast paced with slower sections, orchestra. classical.</t>
  </si>
  <si>
    <t>Hopeful, intrigued, dreamy</t>
  </si>
  <si>
    <t>Cosmic brownies</t>
  </si>
  <si>
    <t>It would be a wondrous but slow tune</t>
  </si>
  <si>
    <t>Optimistic</t>
  </si>
  <si>
    <t>Blueberry Ice Cream</t>
  </si>
  <si>
    <t>Smooth flow, maracas in the background, lots of natural ambiance¬†</t>
  </si>
  <si>
    <t>this painting is a bit more complex than the last one. Some of the feelings it invokes is sombreness, calmness and peaceful.</t>
  </si>
  <si>
    <t>melancholy¬†</t>
  </si>
  <si>
    <t>This painting makes me feel a bit bored because the painting's a classic and I've seen it many times. It also makes me feel a bit chilly or a bit cold on the inside. It's not my favourite painting. I like the swirls and the different blues.¬†</t>
  </si>
  <si>
    <t>$1-$15</t>
  </si>
  <si>
    <t>Family members,Coworkers/Classmates,Strangers</t>
  </si>
  <si>
    <t>Blueberries¬†</t>
  </si>
  <si>
    <t>Something slow. Sad or emo. electric Guitar.¬†</t>
  </si>
  <si>
    <t>Debussy - Clair de Lune</t>
  </si>
  <si>
    <t>Very nostalgic, out in the country vibes.</t>
  </si>
  <si>
    <t>croissant¬†</t>
  </si>
  <si>
    <t>A woozy song, very relaxed song, nostalgic song.</t>
  </si>
  <si>
    <t>This painting makes me feel peaceful but also a little calm. The bright, swirling sky feels full of energy, like the world is alive and moving, even at night.</t>
  </si>
  <si>
    <t>It would sound like a soft, dreamy song with slow piano and gentle strings, but with a little restless energy underneath, calm, emotional, and slightly overwhelming, like late, night thoughts.</t>
  </si>
  <si>
    <t>whimsical, magical, appreciative of nighttime, peaceful</t>
  </si>
  <si>
    <t>chimes, whimsical, floaty, smooth piano</t>
  </si>
  <si>
    <t>Feels calm, peaceful. It reminds me of how beautiful the night sky is when there are less light pollution.</t>
  </si>
  <si>
    <t>Hot clear soup (Like pho)</t>
  </si>
  <si>
    <t>Magical, dreamy, twinkling, mysterious, quiet and the noise or melody would be like robotic/alien.</t>
  </si>
  <si>
    <t>Content, nostalgic. Like I‚Äôm revisiting a small town that I grew up in and haven‚Äôt visited in a long time.¬†</t>
  </si>
  <si>
    <t>Mango shake</t>
  </si>
  <si>
    <t>Something upbeat with a soft organ. People talking with a soft cowbell. It‚Äôs chaos with the variety but harmonious at the same time</t>
  </si>
  <si>
    <t>Normal</t>
  </si>
  <si>
    <t>cold turkey</t>
  </si>
  <si>
    <t>slow soundtrack</t>
  </si>
  <si>
    <t>Mocktail</t>
  </si>
  <si>
    <t>It makes me feel calm. It makes me feel as though I am a spectator of something quiet and beautiful. I feel like there's a bit of mystique in the atmosphere coming from this painting.¬†</t>
  </si>
  <si>
    <t>Cheese.¬†</t>
  </si>
  <si>
    <t>There would be a soft percussion sound with some piano melody. The tempo would be relaxed, and be an overall calming melody.¬†</t>
  </si>
  <si>
    <t>Nostalgic, since it's one of the few paintings I can actually remember from a young age.</t>
  </si>
  <si>
    <t>A nice warm soup</t>
  </si>
  <si>
    <t>Quiet and slow, perhaps with a violin as the main instrument, and with ambient sounds like waves.</t>
  </si>
  <si>
    <t>sound of wind</t>
  </si>
  <si>
    <t>Makes me feel happy, as it is a nice view that shows the beauty of our skies. As we look from afar we see the contrast between nature and man made buildings.</t>
  </si>
  <si>
    <t>Interstellar vibes, appreciating the world for what it is. Calm but motivating.</t>
  </si>
  <si>
    <t>This painting makes me feel small but hopeful</t>
  </si>
  <si>
    <t>It would be ice cream</t>
  </si>
  <si>
    <t>The soundtrack is calm and peaceful.</t>
  </si>
  <si>
    <t>blackberries</t>
  </si>
  <si>
    <t>Silent night</t>
  </si>
  <si>
    <t>It makes me feel a sense of wonder and freedom.¬†</t>
  </si>
  <si>
    <t>Ice cream.¬†</t>
  </si>
  <si>
    <t>An uplifting yet calm soundtrack. Music that you would listen to while stargazing.¬†</t>
  </si>
  <si>
    <t>lonely</t>
  </si>
  <si>
    <t>hypnotic, tranquil</t>
  </si>
  <si>
    <t>Water</t>
  </si>
  <si>
    <t>Lullaby</t>
  </si>
  <si>
    <t>This painting makes me feel sort of impressed but not too much really. It looks like it was pretty easy to paint and I think how the sky looks like ocean is cool.</t>
  </si>
  <si>
    <t>Blue Berry</t>
  </si>
  <si>
    <t>I would probably do something like a nursery rhyme</t>
  </si>
  <si>
    <t>It reminds me of a Disney movie, but other than that it does not really make me feel anything in particular.</t>
  </si>
  <si>
    <t>The soundtrack would feel very dense and muted, with a dull background sound similar to soft white noise. Not much would be happening, and it would feel repetitive and uneventful rather than dramatic.</t>
  </si>
  <si>
    <t>It makes me feel like there's an intense world out there, which we haven't even scratched the surface of.</t>
  </si>
  <si>
    <t>It would be a soundtrack that starts grand with trumpets, and gradually gets calmer, and then soft piano notes would play, trying to convey the feeling of scale.</t>
  </si>
  <si>
    <t>Peaceful and calm. Energetic.</t>
  </si>
  <si>
    <t>Pasta.</t>
  </si>
  <si>
    <t>Never give up in life. The world is beautiful. You can always find a place to live and get away from the city.</t>
  </si>
  <si>
    <t>feel dark</t>
  </si>
  <si>
    <t>Terrifying sound</t>
  </si>
  <si>
    <t>calm, curious, tranquil,¬†</t>
  </si>
  <si>
    <t>$100 000</t>
  </si>
  <si>
    <t>Somber, quiet, soothing, nostalgic</t>
  </si>
  <si>
    <t>This painting makes me a feel a variety of emotions. There is a sense of restlessness, but also of awe and wonder. It feels very mystical.¬†</t>
  </si>
  <si>
    <t>The soundtrack would be soft and sweet, like a lullaby. It would be dreamy, but also have ups and downs, and some parts that go faster and are more intense.¬†</t>
  </si>
  <si>
    <t>It makes me feel amazed by its beauty and moved by the intensity of it.¬†</t>
  </si>
  <si>
    <t>Very intense music that keeps building and is powerful, emotional, and deep.¬†</t>
  </si>
  <si>
    <t>A bit in wondrous.¬†¬†</t>
  </si>
  <si>
    <t>I don't spend much money on physical art, so ignoring its value on the secondary market I would pay 50 dollars for it at most.¬†</t>
  </si>
  <si>
    <t>Blueberry ice cream.¬†</t>
  </si>
  <si>
    <t>A happy but slow orchestra.¬†</t>
  </si>
  <si>
    <t>Reminds me of a video game I have played. A map called 'Der Eisendrache'</t>
  </si>
  <si>
    <t>milk</t>
  </si>
  <si>
    <t>I would imagine some kind of christmas soundtrack.</t>
  </si>
  <si>
    <t>The painting makes me feel a sense of whimsy. As if it were magical.</t>
  </si>
  <si>
    <t>something indie and magical, like folksy.¬†</t>
  </si>
  <si>
    <t>It would be a blueberry pie</t>
  </si>
  <si>
    <t>It would be quiet calm and relaxing</t>
  </si>
  <si>
    <t>wimsically dreadful</t>
  </si>
  <si>
    <t>spagetti</t>
  </si>
  <si>
    <t>chimes and twinkling sounds with a harp and organ</t>
  </si>
  <si>
    <t>calm and somewhat happy
¬†</t>
  </si>
  <si>
    <t>parfait</t>
  </si>
  <si>
    <t>classical music that is fast paced with violins and piano</t>
  </si>
  <si>
    <t>Makes me feel cozy like I just had a nice day and now get to look up at the sky to end the day</t>
  </si>
  <si>
    <t>Warm bowl of soup</t>
  </si>
  <si>
    <t>The soundtrack would consist of soft piano sounds with a violin and cello</t>
  </si>
  <si>
    <t>Beauty. Nature. Love. Gratitude. Light. hope. smooth and calm.¬†</t>
  </si>
  <si>
    <t>rice ball with seaweed and grapes.¬†</t>
  </si>
  <si>
    <t>Calm, mid tempo. soothing. Peaceful. Big speaker far away in a forest. echo.¬†</t>
  </si>
  <si>
    <t>This painting makes me feel calm as it represents moments when one can think by themselves and really ponder what they'd like to see. It represents peace in some way, the calmness through this painting can be felt in every section of the painting.¬†¬†</t>
  </si>
  <si>
    <t>It would be a blueberry. Not leaving a huge statement, not leaving anything tiny, just something small which when eaten doesn't disturb the peace but amplifies it. Something which doesn't need to be seen once but multiple times to fully understand the painting. Same way you don't eat one blueberry but multiple. Every time you see this painting the painting looks better in the sense that you may miss details you didn't see before.¬†</t>
  </si>
  <si>
    <t>A soundtrack that is calming and peaceful. Nothing too abrupt or loud, something soft which makes you smile. The soundtrack is something you can close your eyes to relax to or open your eyes and feel the beauty of the painting alongside a calming tune. Nothing loud, something relaxing, mellow and soft.¬†</t>
  </si>
  <si>
    <t>makes me feel calm, sleepy, relaxed, inspired to take in more of life, grounded, want</t>
  </si>
  <si>
    <t>lentils</t>
  </si>
  <si>
    <t>inspirational background track when the main character has completed their mission, found themselves adn their passions and is currectly working on them to reach a higher point in life so definitely calm, with guitar and piano, wind instruments, calm stringing.</t>
  </si>
  <si>
    <t>It makes me feel wonder regarding the nature of our world.</t>
  </si>
  <si>
    <t>Cinnamon roll.</t>
  </si>
  <si>
    <t>A calm flute piece paired with a soft violin.</t>
  </si>
  <si>
    <t>This painting overwhelmingly makes me feel a sense of peace and contentment. Moreover, when I look at this painting I feel like it represents the beauty in the world being so much bigger than what might immediately meet the eye.¬†</t>
  </si>
  <si>
    <t>$200-$300CAD¬†</t>
  </si>
  <si>
    <t>A popsicle, because it‚Äôs cool toned and relaxed.¬†</t>
  </si>
  <si>
    <t>Upbeat, uplifting, instrumental, specifically strings.¬†</t>
  </si>
  <si>
    <t>wind instuments,¬†</t>
  </si>
  <si>
    <t>whimsical</t>
  </si>
  <si>
    <t>20 million</t>
  </si>
  <si>
    <t>filet mignon</t>
  </si>
  <si>
    <t>Wonderwall - Oasis</t>
  </si>
  <si>
    <t>I feel a sense of awe and wonder</t>
  </si>
  <si>
    <t>A piano soundtrack</t>
  </si>
  <si>
    <t>Somewhat calm and flowy because of the wave pattern and nighscape</t>
  </si>
  <si>
    <t>Blueberry Souffle</t>
  </si>
  <si>
    <t>A nighttime calm sound that flows well, and some starry feelings/twinkles.</t>
  </si>
  <si>
    <t>Hollow, open, enlightened, lonely.¬†</t>
  </si>
  <si>
    <t>Chocolate Bourbon cake.¬†</t>
  </si>
  <si>
    <t>Classical music with mild tone but gets intense in few parts of the song, relatively long song thats mostly calm.¬†</t>
  </si>
  <si>
    <t>relaxed, hopeful, contemplative</t>
  </si>
  <si>
    <t>slow, dreamy, emotional</t>
  </si>
  <si>
    <t>Calm, content.</t>
  </si>
  <si>
    <t>A warm piece of buttered bread</t>
  </si>
  <si>
    <t>A calm quartet piece, like old festive music</t>
  </si>
  <si>
    <t>calm and sleepy</t>
  </si>
  <si>
    <t>silent night</t>
  </si>
  <si>
    <t>1000000000000000000000000 dollars</t>
  </si>
  <si>
    <t>Happy flowers dancing and frolicking together in a circle.</t>
  </si>
  <si>
    <t>bad</t>
  </si>
  <si>
    <t>2cad</t>
  </si>
  <si>
    <t>shape of you</t>
  </si>
  <si>
    <t>Comforting, yet melancholy</t>
  </si>
  <si>
    <t>A bouquet of candies and chocolates</t>
  </si>
  <si>
    <t>A quiet piano tune, sombre but somewhat jolly.</t>
  </si>
  <si>
    <t>It makes me a feel a little happy. The ideas of seeing the stars so clearly in night makes me a little happy at the thought of being able to witness something like that.</t>
  </si>
  <si>
    <t>~50 bucks.</t>
  </si>
  <si>
    <t>a mac salad with specifically no green bell peppers. with a dinner roll on the side.</t>
  </si>
  <si>
    <t>What a wonderful world - Louis Armstrong</t>
  </si>
  <si>
    <t>Chaos and disorder</t>
  </si>
  <si>
    <t>No idea, I can't get any idea from this painting.</t>
  </si>
  <si>
    <t>Violin orchestra</t>
  </si>
  <si>
    <t>I feel relaxed as I would looking up at the night sky on a calm evening.</t>
  </si>
  <si>
    <t>Sundae</t>
  </si>
  <si>
    <t>I imagine crickets chirping while a violin softly plays in the background.</t>
  </si>
  <si>
    <t>emptiness like the void of the night sky.</t>
  </si>
  <si>
    <t>soothing and calm and slow.</t>
  </si>
  <si>
    <t>The painting feels like an ordinary warm summer night. It is very comfortable and hits right at home. It is reminiscent of a beautiful night where the viewer themselves have a bright future ahead of them.</t>
  </si>
  <si>
    <t>1032 CAD</t>
  </si>
  <si>
    <t>Naturally occurring carbon black vitis sourced exclusively from Sicily</t>
  </si>
  <si>
    <t>There is a synth in the background holding single keys of a major chord for a respectable period of time. The music is very ambient. It does not disrupt your thought-flow and greatly helps sooth your mind. There is no intense melody and instead, soft high pitch keys play gently.</t>
  </si>
  <si>
    <t>Nothing sparked or rather no distinct emotion was present as I was viewing this painting.</t>
  </si>
  <si>
    <t>cheese sandwich</t>
  </si>
  <si>
    <t>jazz soundtrack</t>
  </si>
  <si>
    <t>dreamy, sleepy, airy, light, imaginary, inspired.</t>
  </si>
  <si>
    <t>Acai bowl</t>
  </si>
  <si>
    <t>a composition of both violin and piano with occasional harp.</t>
  </si>
  <si>
    <t>Spagetti</t>
  </si>
  <si>
    <t>Piano.</t>
  </si>
  <si>
    <t>This piece feels dreamlike and distant, yet chaotic and disordered.</t>
  </si>
  <si>
    <t>450000000 dolllars</t>
  </si>
  <si>
    <t>Banana.</t>
  </si>
  <si>
    <t>I perceive a very regular rhythm, yet the melody is interspersed with numerous non-diatonic notes.</t>
  </si>
  <si>
    <t>The contrast between the bright stars and the muddy landscape is very emotive.</t>
  </si>
  <si>
    <t>raspberry cheesecake</t>
  </si>
  <si>
    <t>a gentle, light piano playing, with its high notes reverberating throughout an empty hall.</t>
  </si>
  <si>
    <t>This painting makes me feel a strong mix of calm and emotional intensity. The swirling motion and vibrant colors create a sense of energy and restlessness, as if the scene is constantly moving. At the same time, the quiet atmosphere gives me a feeling of reflection and solitude. It feels slightly overwhelming but also comforting, as though it captures both inner turmoil and peace at once.</t>
  </si>
  <si>
    <t>500 dollars</t>
  </si>
  <si>
    <t>Dishes with very rich and contrasting flavors, such as a bowl of spicy and warm soup.</t>
  </si>
  <si>
    <t>This background music is characterized by its fluidity and pronounced emotional fluctuations. The rhythm is not stable, sometimes accelerating and sometimes slowing down, creating a sense of inner turmoil. The melody seems to continuously extend and revolve, alternating between tension and release. The timbre is bright but not lighthearted, interspersed with deep notes, making the overall listening experience both exciting and restrained. This music doesn't relax you; rather, it immerses you, as if you're experiencing a complex and profound emotional journey, full of energy yet tinged with loneliness and contemplation.</t>
  </si>
  <si>
    <t>I can feel the vivid movement. All the swirls and tiny tracks of brush feel to be very active.</t>
  </si>
  <si>
    <t>apple cider</t>
  </si>
  <si>
    <t>I can hear the symphony of many instruments. So many different instruments are making up the beautiful and colourful sounds. The sounds are never boring; they are full of energies and every exiting.¬†</t>
  </si>
  <si>
    <t>This painting makes me feel joyful, the painting appears to have stopped in time to greet me.</t>
  </si>
  <si>
    <t>This painting would be a Butternut Squash.</t>
  </si>
  <si>
    <t>The soundtrack for this painting would be composed for the piano, it would be played legato, softly, gently, and with a slight ring to every note.</t>
  </si>
  <si>
    <t>seems dreamy so makes me feel happy and appreciative, as well as a little dreamy and thoughtful</t>
  </si>
  <si>
    <t>spaghetti
¬†</t>
  </si>
  <si>
    <t>very calm with soft piano playing, reminding me of the nighttime, would have a medium tempo with distinct notes, very uplifting radiating positivity.</t>
  </si>
  <si>
    <t>it makes me feel small and insignificant</t>
  </si>
  <si>
    <t>ice cube</t>
  </si>
  <si>
    <t>end of movie in a busy city</t>
  </si>
  <si>
    <t>This painting makes me feel at peace. The bright sun, along with the glowing surrounding stars, makes the atmosphere feel easy. Moreover, the whirls of wind in the background is very calming. The colour contrast reminds me of sunrise, signifying a new day.¬† ¬†</t>
  </si>
  <si>
    <t>I imagine a mid to fast paced soundtrack without a bassline. I can also envision both high and low notes, however mainly mid-ranged notes. Additionally, the notes are fairly close together, meaning that there aren't large pauses. I could see a piano or trumpet playing the soundtrack.¬†</t>
  </si>
  <si>
    <t>I feel good looking at this paint because I'm aware of the countless techniques behind this painting which is what makes it so impressive¬†</t>
  </si>
  <si>
    <t>The original painting: whatever amount of millions if I had the money
A copy: 1000$ max.</t>
  </si>
  <si>
    <t>Chocolate ice cream</t>
  </si>
  <si>
    <t>A very somber based soundtrack filled with emotions of nostalgia, sadness and acceptance</t>
  </si>
  <si>
    <t>It feels like I'm staring at the sky while tripping on acid, and I can't look away.</t>
  </si>
  <si>
    <t>some kind of mediterranean fig salad, emphasis on the figs.</t>
  </si>
  <si>
    <t>constant low tone, occasional xylophone hit, violins, no climax.</t>
  </si>
  <si>
    <t>The painting makes me feels disoriented, because of the numerous spiral patterns found in it. The darker background of the painting gives it a depressing tone, which is contrasted by the bright moon in the sky.</t>
  </si>
  <si>
    <t>0, I don't like paintings</t>
  </si>
  <si>
    <t>Ratatouille¬†</t>
  </si>
  <si>
    <t>Metal music</t>
  </si>
  <si>
    <t>This painting makes me feel calm and safe, as the dark sky is lit up and seems to be windy and snowy with the town in the near distance being in for the night and the cooler colors imply winter and that combined with a cold storm night evokes feelings of being a child in a warm blanket, safe and sounds while the storm rages outside.</t>
  </si>
  <si>
    <t>Antonio Vivaldi - Winter (Full) - The Four Seasons
The song continues to build and speed up the violins for about half of the song then calms them down to a slower and calmer pace, which is followed by another gradual build up into a final flourish¬†while talking about how the harsh winter provides dire conditions yet we are able to find our own delight in each other, our homes, and in the winter despite its harsh nature.</t>
  </si>
  <si>
    <t>makes me feel small in a big world, and lonely.</t>
  </si>
  <si>
    <t>cake with blueberries and lemon</t>
  </si>
  <si>
    <t>upbeat, moderately fast, smooth, and joyful, with slow interludes.¬†</t>
  </si>
  <si>
    <t>I feel the calm and whimsical</t>
  </si>
  <si>
    <t>violin and woodwind on a fast, light, bouncy melody.</t>
  </si>
  <si>
    <t>Gloomy and calm. I would be sitting near my window to look at the sky and it would look like this.¬†</t>
  </si>
  <si>
    <t>Cold Beer</t>
  </si>
  <si>
    <t>Pyramid Song by Radiohead - Makes you rethink and question your life; if it is worth living or not.¬†</t>
  </si>
  <si>
    <t>Because I know the story behind the artwork, it makes me feel a form of dread, just thinking about what the artist went through while painting this.</t>
  </si>
  <si>
    <t>Love in the Time of Socialism by the Yellow House. The soundtrack takes us through the thoughts of a man as he imagines various lives he could have had and what he could be destined for.</t>
  </si>
  <si>
    <t>A bit turbulent. The way the night sky is drawn, in a way that makes it appear windy, makes what would otherwise be a serene painting convey feelings of chaos and unrest.</t>
  </si>
  <si>
    <t>pea soup</t>
  </si>
  <si>
    <t>The music would be beautiful with some sadder/ darker undertones. For the most part the music would not be overly complex but every once in a while there would be an unexpected but brilliant change in the music.</t>
  </si>
  <si>
    <t>The painting makes me feel calm and easy.</t>
  </si>
  <si>
    <t>Blueberry Pie</t>
  </si>
  <si>
    <t>A calm and soft piano piece.</t>
  </si>
  <si>
    <t>It gives a sense of wonder as it shows a different perspective of the skies above, painting in a way that seems unrealistic but seems like it could be possible, or an idealistic view of the sky, full of wonder and charm.</t>
  </si>
  <si>
    <t>Some sort of soup or congee as the blurriness of the painting reminds me of mixing sugar with congee and then the sugar getting dissolved into the congee, looking somewhat like the stars in the painting.</t>
  </si>
  <si>
    <t>Quiet, atmospheric music, potentially similar to that of rain drops falling down. Something you would listen to the background while working on a dark rainy day/night.</t>
  </si>
  <si>
    <t>Neutral, mostly.¬†</t>
  </si>
  <si>
    <t>acoustic and reverb</t>
  </si>
  <si>
    <t>Cold and windy - like a storm is coming, which would unnecessarily disturb a peaceful little town, but it is beautiful since it seems to know something about death and hope.</t>
  </si>
  <si>
    <t>Something cold, like an ice slushy or an iced coffee.</t>
  </si>
  <si>
    <t>R&amp;B, guitar, soul</t>
  </si>
  <si>
    <t>i feel wonder</t>
  </si>
  <si>
    <t>sugar cookie</t>
  </si>
  <si>
    <t>triangles and xylophones. lots of twinkling noises</t>
  </si>
  <si>
    <t>This painting makes me feel unsettled and agitated, due to the juxtaposition between a quiet and uneventful town and the large black spire. This painting elicits a fear of the unknown because of the looming, swirling dark object towering above the town.¬†</t>
  </si>
  <si>
    <t>If this painting was a food, it would be ice cream</t>
  </si>
  <si>
    <t>The song would be unsettling and jarring, like the discordant soundtrack of a horror movie.</t>
  </si>
  <si>
    <t>blue cheesecake</t>
  </si>
  <si>
    <t>calm and serene</t>
  </si>
  <si>
    <t>A soundtrack that is cheerful and pleasant to hear.</t>
  </si>
  <si>
    <t>unreal, illusion¬†</t>
  </si>
  <si>
    <t>dark theme music</t>
  </si>
  <si>
    <t>Neutral</t>
  </si>
  <si>
    <t>ominous, loud, villain</t>
  </si>
  <si>
    <t>feel kind of wavy, nothing really in particular.</t>
  </si>
  <si>
    <t>kool aid</t>
  </si>
  <si>
    <t>Lofi, chill and calm type of soundtrack</t>
  </si>
  <si>
    <t>Calm, at ease.</t>
  </si>
  <si>
    <t>Lemonade with blue syrup.</t>
  </si>
  <si>
    <t>Nocturne</t>
  </si>
  <si>
    <t>it makes me feel happy and wonder about the stars and the overall landscape of the painting.</t>
  </si>
  <si>
    <t>a dreamy soundtrack, with instruments such as the piano and/or violin.</t>
  </si>
  <si>
    <t>This painting makes me feel whimsical and curious.¬†</t>
  </si>
  <si>
    <t>hot cocoa</t>
  </si>
  <si>
    <t>the soundtrack would be whimsical, like Harry Potter music</t>
  </si>
  <si>
    <t>Nice</t>
  </si>
  <si>
    <t>Chocolate chip cookies out of the oven</t>
  </si>
  <si>
    <t>Eerie, whimsical, slow, harder to hear than it should be</t>
  </si>
  <si>
    <t>I feel in awe. The world around us is so big. Sometimes even what we find alien has been there before us. I feel like I'm in one of those houses. Reading a book in this rustic settlement, hoping to one day go out to see the world. Perhaps in the day where it won't be so bright.</t>
  </si>
  <si>
    <t>Frank Sinatra style songs.</t>
  </si>
  <si>
    <t>It makes me feel shiny and live in the star sky.</t>
  </si>
  <si>
    <t>Stargazy pie</t>
  </si>
  <si>
    <t>A fast-paced, energetic, and vibrant song.</t>
  </si>
  <si>
    <t>Peaceful and comfortable</t>
  </si>
  <si>
    <t>Distant murmurs of voices, rich with the vibrancy of life, mingled with faint frog croaks and the tolling of church bells.</t>
  </si>
  <si>
    <t>It makes me feel happy and wonderous</t>
  </si>
  <si>
    <t>Piano music with the faint sound of twinkling stars.¬†</t>
  </si>
  <si>
    <t>makes me feel excited and hopeful</t>
  </si>
  <si>
    <t>50 cad</t>
  </si>
  <si>
    <t>warm soup that makes you feel light</t>
  </si>
  <si>
    <t>a nice slow and calming melody</t>
  </si>
  <si>
    <t>calm and relaxed</t>
  </si>
  <si>
    <t>fresh spring rolls</t>
  </si>
  <si>
    <t>Silent night, Holy night by Frank Sinatra. The track soothes whatever pressure I'm feeling while listening to it. The tempo is slow and the volume is quiet, representing well the scene portrayed by Van Gogh.</t>
  </si>
  <si>
    <t>make me feel strange, again feels like something takes drug and draw this</t>
  </si>
  <si>
    <t>dark ambient music</t>
  </si>
  <si>
    <t>nauseous</t>
  </si>
  <si>
    <t>human toenail</t>
  </si>
  <si>
    <t>clandestina by emma myers</t>
  </si>
  <si>
    <t>Mysterious</t>
  </si>
  <si>
    <t>Vitamin Water</t>
  </si>
  <si>
    <t>Like a flowy relaxed song that calms you're ears.</t>
  </si>
  <si>
    <t>a comforting and calming feeling</t>
  </si>
  <si>
    <t>Aglio e Olio pasta</t>
  </si>
  <si>
    <t>classic jazz</t>
  </si>
  <si>
    <t>relaxing</t>
  </si>
  <si>
    <t>Melons</t>
  </si>
  <si>
    <t>Jazz music in coffee shops</t>
  </si>
  <si>
    <t>Sad, calm, comforted</t>
  </si>
  <si>
    <t>Chocolate lava cake</t>
  </si>
  <si>
    <t>Slow and soothing, with a melancholy undertone.</t>
  </si>
  <si>
    <t>It makes me feel calm and sombre</t>
  </si>
  <si>
    <t>S'mores¬†</t>
  </si>
  <si>
    <t>A calm tune that one would listen to prior to going to sleep</t>
  </si>
  <si>
    <t>Confused as I don't see anything special about this, not feeling much as the starry sky is represented by swirls which makes it seem confusing</t>
  </si>
  <si>
    <t>A piano piece, something like Moonlight Sonata, slightly romantic but nostalgic.</t>
  </si>
  <si>
    <t>The painting makes me feel calm and at ease</t>
  </si>
  <si>
    <t>Noodle soup</t>
  </si>
  <si>
    <t>The soundtrack would be a calm piano piece with strings in the background</t>
  </si>
  <si>
    <t>It makes me feel a bit tight or in a tight place</t>
  </si>
  <si>
    <t>drinking water</t>
  </si>
  <si>
    <t>old tom and jerry show sound¬†</t>
  </si>
  <si>
    <t>This painting makes me feel hopeful</t>
  </si>
  <si>
    <t>Calm flute soundtrack</t>
  </si>
  <si>
    <t>This painting makes me feel quiet, chaos, and mysterious.¬†</t>
  </si>
  <si>
    <t>Over a billion</t>
  </si>
  <si>
    <t>A Dessert from Michelin-Starred restaurant.</t>
  </si>
  <si>
    <t>Mysterious Symphony</t>
  </si>
  <si>
    <t>moody and contemplative¬†</t>
  </si>
  <si>
    <t>a cup of hot noodles¬†</t>
  </si>
  <si>
    <t>cold summer by c418</t>
  </si>
  <si>
    <t>This painting makes me feel very happy and calm. I love the starry night paired with the dark building (I'm assuming) on the side. The stars which are bright and amidst the 'chaos' in the sky is very calming and reflects how there's hope amidst turmoil in life.¬†</t>
  </si>
  <si>
    <t>A nice decedent chocolate fudgy cake</t>
  </si>
  <si>
    <t>Something mellow like jazz with lots of subtle sounds in the background like twinkly lights</t>
  </si>
  <si>
    <t>Tranquil</t>
  </si>
  <si>
    <t>Corn flakes</t>
  </si>
  <si>
    <t>Birds chirping</t>
  </si>
  <si>
    <t>This painting makes me feel joyful and safe, as I feel cushioned by a beautiful and comfortable nature enclosing. The art style and the colours make the setting very pleasing to look at, so much that I am excited to see more of some similar paintings.¬†</t>
  </si>
  <si>
    <t>Watermelon¬†</t>
  </si>
  <si>
    <t>The soundtrack for this painting would be high-pitched with medium-tempo. The instruments involved would be piano and flute leading the melody, as well as violin assisting with harmonization. The soundtrack would start off with the soft, quiet sounds from the flute and piano before gradually becoming louder with the violin harmony coming in.¬†</t>
  </si>
  <si>
    <t>Crickets chirping, water rushing by</t>
  </si>
  <si>
    <t>nature, cricket sounds.¬†</t>
  </si>
  <si>
    <t>happy, hopeful, free</t>
  </si>
  <si>
    <t>a chirpy, hopeful melody.¬†</t>
  </si>
  <si>
    <t>This painting makes me feel relaxed, happy, and grateful.</t>
  </si>
  <si>
    <t>The soundtrack is in a upper major scale, has piano and the harp incorporated, and is very peaceful.</t>
  </si>
  <si>
    <t>Tranquil and at peace, it feels like Im outside and happy, content with my life and enjoying every moment.</t>
  </si>
  <si>
    <t>6000k</t>
  </si>
  <si>
    <t>A pastry of some kind where its sweet and enveloping, a cake for example</t>
  </si>
  <si>
    <t>Something upbeat and happy mixed like some form of pop song i.e see you again by tyler the creator mixed in with tranquil songs</t>
  </si>
  <si>
    <t>eased</t>
  </si>
  <si>
    <t>sandwhich/sub</t>
  </si>
  <si>
    <t>some happy classical music</t>
  </si>
  <si>
    <t>Romantic</t>
  </si>
  <si>
    <t>Superpowers by Daniel Caeser</t>
  </si>
  <si>
    <t>This painting makes me feel relaxed, and calm.</t>
  </si>
  <si>
    <t>The sound track¬† for this painting would be of animals running and shouting.¬†</t>
  </si>
  <si>
    <t>This painting makes me feel at peace, relaxed, and calm.</t>
  </si>
  <si>
    <t>Lemonade</t>
  </si>
  <si>
    <t>Natural, containing percussion, with light humming, and a guitar.</t>
  </si>
  <si>
    <t>It feels like a garden from a children's storybook. I feel relaxed and want to explore</t>
  </si>
  <si>
    <t>A chicken salad</t>
  </si>
  <si>
    <t>It would be upbeat, hopeful and inspiring curiosity</t>
  </si>
  <si>
    <t>peaceful¬†</t>
  </si>
  <si>
    <t>Cherry</t>
  </si>
  <si>
    <t>Joyful and peaceful</t>
  </si>
  <si>
    <t>It makes me feel happy, it makes me feel like life is blooming, good things exist and nature is beautiful. There is beauty in everything</t>
  </si>
  <si>
    <t>What makes you beautiful by One Direction</t>
  </si>
  <si>
    <t>Salad.</t>
  </si>
  <si>
    <t>Piano but happy tone</t>
  </si>
  <si>
    <t>It makes me feel calm and at peace</t>
  </si>
  <si>
    <t>A salad</t>
  </si>
  <si>
    <t>Happy, energetic music</t>
  </si>
  <si>
    <t>Calm and happy</t>
  </si>
  <si>
    <t>Salmon with mashed potatoes</t>
  </si>
  <si>
    <t>Calm music</t>
  </si>
  <si>
    <t>Macha</t>
  </si>
  <si>
    <t>Happy, Relaxed, Chill, Calm, Tranquil, Equanimous, Peaceful, Blissful</t>
  </si>
  <si>
    <t>Chill, Chipmunk Soul, Sunny, Warm, Major Scale, Happy, Joyful, Lo-Fi</t>
  </si>
  <si>
    <t>It made me feel calm and appreciative of nature, the scenery is simple yet beautiful.¬†</t>
  </si>
  <si>
    <t>Focaccia Bread</t>
  </si>
  <si>
    <t>Willow - Taylor Swift</t>
  </si>
  <si>
    <t>Happy, upbeat song</t>
  </si>
  <si>
    <t>calm , relaxed, warm</t>
  </si>
  <si>
    <t>4 million +</t>
  </si>
  <si>
    <t>Caesar salad¬†</t>
  </si>
  <si>
    <t>bright, major keyed, classical¬†</t>
  </si>
  <si>
    <t>it makes me feel really happy and calm, it's a very beautiful painting so a little awe inspiring as well.</t>
  </si>
  <si>
    <t>it would be very upbeat, happy, medium paced, and very thoughtful</t>
  </si>
  <si>
    <t>Calm and Relaxed</t>
  </si>
  <si>
    <t>Uplifting and happy.</t>
  </si>
  <si>
    <t>Calm but upbeat and bright jazz song. A song that you fall in love with.</t>
  </si>
  <si>
    <t>Calm and soothing.</t>
  </si>
  <si>
    <t>A nice soothing breeze with a light music.</t>
  </si>
  <si>
    <t>The painting makes me feel fresh, delightful and positive.</t>
  </si>
  <si>
    <t>Sugarcane.</t>
  </si>
  <si>
    <t>A really nice and peaceful morning alarm, that would put you in a good mood for the rest of the day.</t>
  </si>
  <si>
    <t>I was overwhelmed by all the green.
¬†</t>
  </si>
  <si>
    <t>500CAD</t>
  </si>
  <si>
    <t>appetizer</t>
  </si>
  <si>
    <t>Guitar song</t>
  </si>
  <si>
    <t>Calm, content, relaxed, safe, comfortable.</t>
  </si>
  <si>
    <t>Fruit salad¬†</t>
  </si>
  <si>
    <t>Slow beat, lofi style, reverb, slow melody on a string quartet.</t>
  </si>
  <si>
    <t>Love song</t>
  </si>
  <si>
    <t>Peaceful, happy, and at ease.</t>
  </si>
  <si>
    <t>a joyful band with string instruments.</t>
  </si>
  <si>
    <t>I feel calm</t>
  </si>
  <si>
    <t>matcha cake</t>
  </si>
  <si>
    <t>sound of flowing water¬†</t>
  </si>
  <si>
    <t>Warm and quiet¬†</t>
  </si>
  <si>
    <t>70000000000 doller</t>
  </si>
  <si>
    <t>White noise¬†</t>
  </si>
  <si>
    <t>At a pond, calm</t>
  </si>
  <si>
    <t>1-2k</t>
  </si>
  <si>
    <t>Spring by Vivaldi</t>
  </si>
  <si>
    <t>Busy</t>
  </si>
  <si>
    <t>Shrimp</t>
  </si>
  <si>
    <t>strong bgm</t>
  </si>
  <si>
    <t>like i am taking a stroll in the park</t>
  </si>
  <si>
    <t>toast and a fried egg</t>
  </si>
  <si>
    <t>an upbeat, pop-like song. something that would be played on the radio</t>
  </si>
  <si>
    <t>it makes me feel very nostalgic, reminds me of my childhood.¬†</t>
  </si>
  <si>
    <t>pizza, specifically from pizza pizza¬†</t>
  </si>
  <si>
    <t>water flowing sounds.</t>
  </si>
  <si>
    <t>Beautiful and content and relaxed and happy</t>
  </si>
  <si>
    <t>Birds chirping and a beautiful piano instrumental and violin</t>
  </si>
  <si>
    <t>The painting makes me feel happy and motivated</t>
  </si>
  <si>
    <t>Upbeat track with a melody that is gentle and calm</t>
  </si>
  <si>
    <t>happy, fresh</t>
  </si>
  <si>
    <t>chilled out slow song</t>
  </si>
  <si>
    <t>It makes me feel happy, relaxed</t>
  </si>
  <si>
    <t>A fresh apple</t>
  </si>
  <si>
    <t>A happy piano accompaniment with a flute melody</t>
  </si>
  <si>
    <t>happy, alive, joyful</t>
  </si>
  <si>
    <t>fish</t>
  </si>
  <si>
    <t>cinematic, nature, joyful</t>
  </si>
  <si>
    <t>This serene scene fills me with peace and joy; the lush greens and gentle reflections make me feel calm, rejuvenated, and connected to nature.</t>
  </si>
  <si>
    <t>A fresh garden salad with crisp greens, edible flowers, and a light sweet vinaigrette, refreshing and full of natural flavors.</t>
  </si>
  <si>
    <t>A gentle flowing melody with soft strings and piano, evoking the ripples and serene ambiance of a peaceful pond, with light notes that shimmer like sunlight on water.</t>
  </si>
  <si>
    <t>Happy and hopeful. It makes me reflect on all the little things in life and what brings me joy. It also makes me calm.</t>
  </si>
  <si>
    <t>A fruit salad with lots of strawberries.</t>
  </si>
  <si>
    <t>Happy guitar strumming. Light and fun drums. Joyful piano. Upbeat harping</t>
  </si>
  <si>
    <t>A bright and gleeful song.</t>
  </si>
  <si>
    <t>This painting makes me feel warm and at peaceful.</t>
  </si>
  <si>
    <t>A soundtrack made of the sound of animals and bugs in nature.</t>
  </si>
  <si>
    <t>The painting makes me feel happy and relaxed as I enjoy familiar vibrant colours and an atmosphere that is reminiscent of good times.</t>
  </si>
  <si>
    <t>Mexican Tacos.</t>
  </si>
  <si>
    <t>It would sound like soft waves of music moving slowly, with gentle notes that feel calm and thoughtful. The mood would be peaceful, like watching time drift by without needing to rush.</t>
  </si>
  <si>
    <t>Calm, like i can rest and observe the world around me, and content to be present in the scene.¬†</t>
  </si>
  <si>
    <t>A sweet, melting Popsicle.¬†</t>
  </si>
  <si>
    <t>A lo-fi piano track, interspersed with ambient birdsong and the sounds of people far away.</t>
  </si>
  <si>
    <t>It makes me feel calm and zen.</t>
  </si>
  <si>
    <t>Macaroni and cheese</t>
  </si>
  <si>
    <t>calm music filled with the sounds of nature¬†</t>
  </si>
  <si>
    <t>Safe, happy.</t>
  </si>
  <si>
    <t>A Salad.</t>
  </si>
  <si>
    <t>A happy piano.</t>
  </si>
  <si>
    <t>calm, relaxed, at ease, appreciative</t>
  </si>
  <si>
    <t>extremely slow, soft, comforting, consistent, peaceful</t>
  </si>
  <si>
    <t>Herbal tea</t>
  </si>
  <si>
    <t>This painting felt really calm to me since there was not much going on. It was just a pond and the lighting used was very bright.</t>
  </si>
  <si>
    <t>150 dollars.</t>
  </si>
  <si>
    <t>I think this painting would either be a green like avocado or potentially a tea if drinks are allowed. This is because of the colors used in the painting were green, as well as the calming scenery.</t>
  </si>
  <si>
    <t>The soundtrack would most likely be a calming one using an instrument like a piano or a violin.</t>
  </si>
  <si>
    <t>relief</t>
  </si>
  <si>
    <t>slow, happy harp soundtrack</t>
  </si>
  <si>
    <t>Green Tea</t>
  </si>
  <si>
    <t>Frogs croaking, People walking and talking</t>
  </si>
  <si>
    <t>warm</t>
  </si>
  <si>
    <t>peaceful piano, some bell and rings</t>
  </si>
  <si>
    <t>it feels calm</t>
  </si>
  <si>
    <t>vegetarian foods</t>
  </si>
  <si>
    <t>begins with gentle, repeating patterns‚Äîharp-like plucks or muted piano notes‚Äîspaced evenly, calm and unhurried.</t>
  </si>
  <si>
    <t>relaxed, whimsical, pretty, joyful</t>
  </si>
  <si>
    <t>Salad, sandwich</t>
  </si>
  <si>
    <t>A jovial, peaceful soundtrack, with a focus on natural ambience and calming tunes.</t>
  </si>
  <si>
    <t>relaxed and calm.</t>
  </si>
  <si>
    <t>i know this piece as well, so a few million.</t>
  </si>
  <si>
    <t>Cherries.</t>
  </si>
  <si>
    <t>Calm, collected flow of water</t>
  </si>
  <si>
    <t>Happy And Calm</t>
  </si>
  <si>
    <t>French Fries</t>
  </si>
  <si>
    <t>Calming Piano theme</t>
  </si>
  <si>
    <t>pretty cozzy</t>
  </si>
  <si>
    <t>spring roll</t>
  </si>
  <si>
    <t>None, no a music fan</t>
  </si>
  <si>
    <t>It makes me feel joyed.</t>
  </si>
  <si>
    <t>Something sweet like a cake.</t>
  </si>
  <si>
    <t>It woudl be a happy theme.</t>
  </si>
  <si>
    <t>matcha latte</t>
  </si>
  <si>
    <t>slow guitar</t>
  </si>
  <si>
    <t>Nothing</t>
  </si>
  <si>
    <t>calm, relieved, makes me want to go to the park</t>
  </si>
  <si>
    <t>warm tea and jam toast</t>
  </si>
  <si>
    <t>classical soft piano</t>
  </si>
  <si>
    <t>Calm, hopeful, dreamy, and relaxed</t>
  </si>
  <si>
    <t>Strawberries</t>
  </si>
  <si>
    <t>Birds chirping, soft violin, and flute</t>
  </si>
  <si>
    <t>An apple</t>
  </si>
  <si>
    <t>A happy soundtrack</t>
  </si>
  <si>
    <t>Calm, peaceful, serene</t>
  </si>
  <si>
    <t>A bowl of fresh soup</t>
  </si>
  <si>
    <t>Soft piano, maybe a little bit of flute, not too fast, but calming and relaxing</t>
  </si>
  <si>
    <t>happy, calm, peaceful, admiration, serene</t>
  </si>
  <si>
    <t>calming, melodic, serene, classical orchestra</t>
  </si>
  <si>
    <t>Calm and light</t>
  </si>
  <si>
    <t>A whiter shade of pale - Procol Harum</t>
  </si>
  <si>
    <t>Spinach pizza</t>
  </si>
  <si>
    <t>an upbeat soundtrack</t>
  </si>
  <si>
    <t>happy and warm in the summer/spring</t>
  </si>
  <si>
    <t>fresh bread with butter</t>
  </si>
  <si>
    <t>flutes and wind instruments¬†</t>
  </si>
  <si>
    <t>Relax, peaceful and serene. Like resting on the deck chair in a garden or a park, spending time reading on a lovely peaceful tranquil afternoon.</t>
  </si>
  <si>
    <t>Matcha icecream pancake.</t>
  </si>
  <si>
    <t>Gentle piano, maybe souds of insects, birds singing, gentle string instruments.</t>
  </si>
  <si>
    <t>This painting makes me feel happy. It feels peaceful, like the magical world where everthing will be alright. I feels a little strange that there is no subject, just a bridge, but it exemplifes a solemn beauty.</t>
  </si>
  <si>
    <t>I would pay $100 for this painting.</t>
  </si>
  <si>
    <t>This would be a decorated plate of ice cream. Lined on the side are edible green plant-like sugar treats and ice cream itself would be shaped like a flower.¬†</t>
  </si>
  <si>
    <t>The soundtrack would be a beautiful love song talking about the blissful moments when one's significant other is there. It would be happy, cheerful, generally uplifting and provide a emotional fulfillment and hope to the listener.</t>
  </si>
  <si>
    <t>bright, happy</t>
  </si>
  <si>
    <t>hot pot</t>
  </si>
  <si>
    <t>passion, the bloom of lives, thriving with energy</t>
  </si>
  <si>
    <t>Full of vitality</t>
  </si>
  <si>
    <t>The melodious sound of the violin accompanies that of the flute</t>
  </si>
  <si>
    <t>No emotion.</t>
  </si>
  <si>
    <t>Roses. Calm and lively.</t>
  </si>
  <si>
    <t>This painting makes me feel adventurous and connected to nature.</t>
  </si>
  <si>
    <t>Fantasy video game soundtrack</t>
  </si>
  <si>
    <t>chipotle bowl</t>
  </si>
  <si>
    <t>breathe in the air pink floyd</t>
  </si>
  <si>
    <t>happy, i like the pretty natural colours and vibe it gives off</t>
  </si>
  <si>
    <t>tell you something by sports</t>
  </si>
  <si>
    <t>Happy; melancholic.</t>
  </si>
  <si>
    <t>egg tart</t>
  </si>
  <si>
    <t>guitar strings in the foreground, a soft bass supplementing.</t>
  </si>
  <si>
    <t>Calm and joyous</t>
  </si>
  <si>
    <t>A garden salad</t>
  </si>
  <si>
    <t>A light and upbeat soundtrack with wind instruments, especially flutes.</t>
  </si>
  <si>
    <t>This makes me feel happy and relaxed. It feels almost magical like a fantasy world. Like I'm alone in a beautiful world full of sunshine and flowers. It makes me feel warm on the inside. It reminds me of childhood and makes me feel like I want to live carefree again.¬†</t>
  </si>
  <si>
    <t>Jasmine Tea</t>
  </si>
  <si>
    <t>A slow, relaxing soundtrack with nature sounds like crickets, birds, water and wind in the background. A relaxing violin or flute melody too, that instils a calm and content feeling. There's also maybe a cello playing a serene bass line. Overall, the soundtrack feels calm, serene and magical.</t>
  </si>
  <si>
    <t>Relaxed and slightly up-beat</t>
  </si>
  <si>
    <t>Fruit smoothie</t>
  </si>
  <si>
    <t>Warm, slow acoustic guitar accompanied by birdsong</t>
  </si>
  <si>
    <t>The painting makes me feel nostalgic for casual walks of summer.</t>
  </si>
  <si>
    <t>Guacamole</t>
  </si>
  <si>
    <t>The soundtrack is a background score with sounds of the nature, some flute.</t>
  </si>
  <si>
    <t>Calm, serene, happy.</t>
  </si>
  <si>
    <t>Vanilla cake.</t>
  </si>
  <si>
    <t>Upbeat, happy, feels like frolicking in the sun.¬†</t>
  </si>
  <si>
    <t>30 or 300k</t>
  </si>
  <si>
    <t>refreshing morning song</t>
  </si>
  <si>
    <t>Lively, joyful, content.</t>
  </si>
  <si>
    <t>Green onions</t>
  </si>
  <si>
    <t>Tribal song with drums beating</t>
  </si>
  <si>
    <t>Makes me feel in peace like I took a breath of fresh air.</t>
  </si>
  <si>
    <t>Something healthy like a Deli sandwich.</t>
  </si>
  <si>
    <t>Birds chirping.</t>
  </si>
  <si>
    <t>Happy and lively¬†</t>
  </si>
  <si>
    <t>$40-$50</t>
  </si>
  <si>
    <t>Chirping birds¬†</t>
  </si>
  <si>
    <t>This painting makes feel happy. It makes me feel like I can see vibrant colors again. It energizes me as well.</t>
  </si>
  <si>
    <t>50 CAD</t>
  </si>
  <si>
    <t>It would be a strawberry sorbet or any fruit with a bit of zing to it like an orange or lemon maybe even a watermelon.</t>
  </si>
  <si>
    <t>Birds chirping happily and people having a lovely conversation.</t>
  </si>
  <si>
    <t>lifely</t>
  </si>
  <si>
    <t>Sandwiches</t>
  </si>
  <si>
    <t>nature humming, birds</t>
  </si>
  <si>
    <t>This painting gives a feeling of liveliness with the sprouting colours and makes me feel happy.¬†</t>
  </si>
  <si>
    <t>I am willing to pay 200 for this painting because it gives good vibes and positive feelings, which will help brighten up my day.¬†</t>
  </si>
  <si>
    <t>Colourful salad, because salad is healthy and conveys a feeling of nature, just like this painting.¬†</t>
  </si>
  <si>
    <t>A serene soundtrack made with a handpan for a calming and ethereal vibe, along with some white noise of birds chirping and flowing water.¬†</t>
  </si>
  <si>
    <t>It makes me feel calm and serene, evokes a sense of utopia and a trance-like state.¬†</t>
  </si>
  <si>
    <t>An elaborately baked cake.¬†</t>
  </si>
  <si>
    <t>A very joyful, upbeat set of songs that appreciate existence and small things in the world. The soundtrack is relaxed, not dramatic and includes harps, xylophones and synths.</t>
  </si>
  <si>
    <t>This painting makes me feel peaceful and relaxed. It feels quiet, gentle, and refreshing.</t>
  </si>
  <si>
    <t>Garden salad.</t>
  </si>
  <si>
    <t>Soft, slow music with gentle flowing sounds that feel light, peaceful, and relaxing.</t>
  </si>
  <si>
    <t>Popcorn</t>
  </si>
  <si>
    <t>Nice calm flute music</t>
  </si>
  <si>
    <t>Nostalgic</t>
  </si>
  <si>
    <t>a chicken salad¬†</t>
  </si>
  <si>
    <t>calming piano, slow paced, only plays some notes every now and then.</t>
  </si>
  <si>
    <t>Like I want to stand on that bridge or find some small grassy hill to sit down on.</t>
  </si>
  <si>
    <t>Odyssey-like, grounding yourself</t>
  </si>
  <si>
    <t>This painting makes me feel extremely happy and content as it beautifully expresses the best time of the year for me.</t>
  </si>
  <si>
    <t>This painting would be ice cream or a slushie.</t>
  </si>
  <si>
    <t>A very happy tune with maybe chirping noises in the background to fully capture the beauty of this painting.</t>
  </si>
  <si>
    <t>incredibly relaxed</t>
  </si>
  <si>
    <t>cheese and cucumber sandwich</t>
  </si>
  <si>
    <t>occasion frog croaking quietly and a very soft harp or flute melody plays in the background</t>
  </si>
  <si>
    <t>happy, joy, hopeful, magical, dreamy</t>
  </si>
  <si>
    <t>Photograph by Ed Sheeran</t>
  </si>
  <si>
    <t>This painting makes me feel happy. It brings me a comforting vibe. This painting is unexciting though. It does not give me any direction.</t>
  </si>
  <si>
    <t>Pineapple. This painting would be sweet and sour. It would taste good but not amazing.</t>
  </si>
  <si>
    <t>This soundtrack would be basic and poppy. It might contain some hit songs that are mainly acoustic and alternative rock.¬†</t>
  </si>
  <si>
    <t>Calm and slow song with a flute.¬†</t>
  </si>
  <si>
    <t>Happy - like I have something to look forward to.</t>
  </si>
  <si>
    <t>Something nice - so maybe something like, steak.</t>
  </si>
  <si>
    <t>Happy, by Pharrel Williams</t>
  </si>
  <si>
    <t>It makes me feel relaxed and peaceful. I feel like I could sit and look at it for a long time without getting tired. It gives off a gentle, quiet happiness.</t>
  </si>
  <si>
    <t>A light, fresh meal like a salad or something refreshing and simple.</t>
  </si>
  <si>
    <t>Soft, gentle music with smooth transitions. Nothing too loud or dramatic rather something peaceful that plays quietly in the background.</t>
  </si>
  <si>
    <t>Happy, dreamy.</t>
  </si>
  <si>
    <t>Spinach.</t>
  </si>
  <si>
    <t>This soundtrack would be somewhat happy and led by a flute.</t>
  </si>
  <si>
    <t>Chicken Sandwich¬†</t>
  </si>
  <si>
    <t>Country Music</t>
  </si>
  <si>
    <t>Happy, warm, nostalgic</t>
  </si>
  <si>
    <t>uplifting, fast, high notes.</t>
  </si>
  <si>
    <t>At ease</t>
  </si>
  <si>
    <t>150$</t>
  </si>
  <si>
    <t>Upbeat soundtrack</t>
  </si>
  <si>
    <t>It makes me feel calm and relaxed, like being outside when it‚Äôs quiet and warm. I get the sense of just standing there and taking a breath, not really thinking about anything stressful. It reminds me of being around nature and just enjoying the moment.</t>
  </si>
  <si>
    <t>Maybe like $70. I like it, but it‚Äôs more just pleasant than something I feel strongly about.</t>
  </si>
  <si>
    <t>I think of something green and fresh, like a salad or something healthy.¬†</t>
  </si>
  <si>
    <t>Probably something not dramatic, just relaxing background music.</t>
  </si>
  <si>
    <t>Joyful and calm</t>
  </si>
  <si>
    <t>c418 sound track minecraft</t>
  </si>
  <si>
    <t>Very peaceful, calm, slow and happy.</t>
  </si>
  <si>
    <t>It makes me feel happy and fresh.</t>
  </si>
  <si>
    <t>It would be any happy comforting food.</t>
  </si>
  <si>
    <t>It would be a happy calm soundtrack maybe with nature sounds.</t>
  </si>
  <si>
    <t>relaxed¬†</t>
  </si>
  <si>
    <t>strawberry¬†</t>
  </si>
  <si>
    <t>whimsical fairy-like</t>
  </si>
  <si>
    <t>It makes me feel 'meh'. It just looks like a picture, meant to replicate real life.¬†</t>
  </si>
  <si>
    <t>Salad without any dressing.¬†</t>
  </si>
  <si>
    <t>A happy, jolly tune. Like out of Sound of Music. Maybe featuring an accordion.¬†</t>
  </si>
  <si>
    <t>A deep sense of calm. Like honestly it really destresses me. The painting makes me to jump into it instead of living in the middle of snow storm right now. Also it gives off sort of a feeling of lost too, knowing that the garden won't last for ever. Eventually it's all going to go back to nature, or be redeveloped, or something else.¬†</t>
  </si>
  <si>
    <t>Bread with butter</t>
  </si>
  <si>
    <t>Pretty soft and sombre¬†</t>
  </si>
  <si>
    <t>When I look at this painting, I feel like I am in a big movie. The green garden is very pretty, but I feel like it is a secret place where a big story is starting.</t>
  </si>
  <si>
    <t>ice-cream</t>
  </si>
  <si>
    <t>main character</t>
  </si>
  <si>
    <t>Sunshine, going outside, and exploring</t>
  </si>
  <si>
    <t>Raw veggies</t>
  </si>
  <si>
    <t>natural, birds chirping</t>
  </si>
  <si>
    <t>Calm and soothed</t>
  </si>
  <si>
    <t>Fruit tart</t>
  </si>
  <si>
    <t>Classical music would play. Something cheerful, calm and slow. Clair de Lune, or Blue Danube, or a slow waltz.¬†</t>
  </si>
  <si>
    <t>In a calm relaxed mood and makes me want to go on a day walk with a friend or lover and enjoy nature</t>
  </si>
  <si>
    <t>Strawberry ice cream</t>
  </si>
  <si>
    <t>Some lovey music. maybe like a Lana Del Rey type song?</t>
  </si>
  <si>
    <t>Comfortable and relaxed</t>
  </si>
  <si>
    <t>Something hopeful with a lot of string instruments and a flute</t>
  </si>
  <si>
    <t>joyful and happy</t>
  </si>
  <si>
    <t>a piano beat with singing and an upbeat track</t>
  </si>
  <si>
    <t>Relax chill feel like sitting by the pond</t>
  </si>
  <si>
    <t>breeze¬†</t>
  </si>
  <si>
    <t>Happy, calm and hopeful</t>
  </si>
  <si>
    <t>Vanilla cake with strawberries</t>
  </si>
  <si>
    <t>Admiring small wonders</t>
  </si>
  <si>
    <t>calm¬†</t>
  </si>
  <si>
    <t>happy, its very vibrant¬†</t>
  </si>
  <si>
    <t>a club sandwhich</t>
  </si>
  <si>
    <t>The sound track would consist of alot of old pop songs from artists like taylor swift, katy perry, etc.¬†</t>
  </si>
  <si>
    <t>It makes me feel calm and relaxed. The soft colours feel peaceful, like a quiet moment where everything slows down.</t>
  </si>
  <si>
    <t>This painting would be a refreshing, colourful salad with lots of different toppings.¬†</t>
  </si>
  <si>
    <t>It‚Äôd be slow and airy, with soft repeating melodies and a steady, soothing rhythm. Super peaceful, almost meditative, like music you‚Äôd put on to clear your head.</t>
  </si>
  <si>
    <t>green peas</t>
  </si>
  <si>
    <t>nature song</t>
  </si>
  <si>
    <t>Looking at it, I feel calm and relaxed. The colors are soft and gentle. The scene feels peaceful and quiet. There is a sense of balance and stillness, with a subtle feeling of movement in the details. Overall it makes me feel serene and focused.</t>
  </si>
  <si>
    <t>¬†It would be a fresh fruit salad, sweet, juicy, and bright, with a mix of soft textures and light, summery flavours.</t>
  </si>
  <si>
    <t>The soundtrack would be gentle and airy. Soft, sustained tones move slowly and smoothly, with light, twinkling notes layered on top. The rhythm is calm and steady, with occasional rises that feel natural and unforced. Overall, it‚Äôs peaceful and soothing, with a subtle, flowing energy throughout.</t>
  </si>
  <si>
    <t>This painting makes me feel like I am enjoying a calm and uneventful sunny evening next to a river/lake.</t>
  </si>
  <si>
    <t>10000 CAD</t>
  </si>
  <si>
    <t>Feels like some form of Beethoven music that feels expressive but calm.</t>
  </si>
  <si>
    <t>Very happy and jolly. The various bright colors make the mood extremely positive and joyful.¬†</t>
  </si>
  <si>
    <t>Hand-pulled noodles</t>
  </si>
  <si>
    <t>Life goes on - BTS</t>
  </si>
  <si>
    <t>This painting makes me feel soothing, peaceful and relaxed.¬†</t>
  </si>
  <si>
    <t>The soundtrack would be soft and gentle, with slow, soothing melodies that drift gracefully in and out.</t>
  </si>
  <si>
    <t>It makes me feel serene and gives me a sense of calmness.¬†</t>
  </si>
  <si>
    <t>It would be congee.</t>
  </si>
  <si>
    <t>The soundtrack would have light piano similar to studio ghibli film soundtrack. There would be no lyrics. It would be kind of upbeat.</t>
  </si>
  <si>
    <t>Makes me feel nostalgic, and at peace.</t>
  </si>
  <si>
    <t>pistachio icecream</t>
  </si>
  <si>
    <t>A summer roadtrip kind of upbeat vibe, with some light lyrics.</t>
  </si>
  <si>
    <t>This painting makes me feel happy because it makes me think of fun summer trips with friends and family.</t>
  </si>
  <si>
    <t>hot dogs</t>
  </si>
  <si>
    <t>A hopeful soundtrack.</t>
  </si>
  <si>
    <t>happy, hopeful, romantic.</t>
  </si>
  <si>
    <t>Mango</t>
  </si>
  <si>
    <t>A light, upbeat rhythm with a lilting melody and soft flute like notes, yet it feels like a solitary performance. bright on the surface, but quietly lonely underneath.</t>
  </si>
  <si>
    <t>This painting makes me feel excited¬†</t>
  </si>
  <si>
    <t>I can imagine a soft piano or a flute</t>
  </si>
  <si>
    <t>Hopeful, filled with life</t>
  </si>
  <si>
    <t>scone with strawberry jam</t>
  </si>
  <si>
    <t>birds singing, kids laughing</t>
  </si>
  <si>
    <t>The soundtrack is soft and peaceful, maybe with some birds chirping in the background at the start of the soundtrack.</t>
  </si>
  <si>
    <t>Makes me feel comfortable and safe to take a nap without worrying about assignments</t>
  </si>
  <si>
    <t>a simple beat and a medium to slow tempo. Similar to a lullaby.¬†</t>
  </si>
  <si>
    <t>satisfactory, calm, grateful</t>
  </si>
  <si>
    <t>sandwich¬†</t>
  </si>
  <si>
    <t>calm, peaceful, and smooth</t>
  </si>
  <si>
    <t>Happy, excited, calm, and still.</t>
  </si>
  <si>
    <t>pancakes</t>
  </si>
  <si>
    <t>It makes me feel calm and reflective, with a quiet sense of inspiration and gentle happiness.</t>
  </si>
  <si>
    <t>Put a smile on my face. The painting is very appealing and reminds me of happy times.</t>
  </si>
  <si>
    <t>Happy music.</t>
  </si>
  <si>
    <t>Feels calm, serene, peaceful, lively, and quiet.</t>
  </si>
  <si>
    <t>The soundtrack sounds serene and peaceful, with a joyful tune that goes along.</t>
  </si>
  <si>
    <t>Melancholy, Longing, Overwhelmed, Aching, but with hints of optimism and gratitude. Like waiting for someone you miss but the knowledge of their return in the future someday keeps you going.</t>
  </si>
  <si>
    <t>Thai peanut salad</t>
  </si>
  <si>
    <t>A sombre melancholic violin and piano score with hints of hope.</t>
  </si>
  <si>
    <t>feel warm, peaceful</t>
  </si>
  <si>
    <t>Soft piano and warm strings, slow tempo,¬†</t>
  </si>
  <si>
    <t>Cheerful and bright, fulfilled with myself.</t>
  </si>
  <si>
    <t>Strawberry custard</t>
  </si>
  <si>
    <t>Good vibes, cheerful or uplifting, intending to draw out a light smile. Serene and playful.</t>
  </si>
  <si>
    <t>Cheerful</t>
  </si>
  <si>
    <t>vibrant</t>
  </si>
  <si>
    <t>tea</t>
  </si>
  <si>
    <t>enthusiastic</t>
  </si>
  <si>
    <t>It makes me feel happy and upbeat, but it makes me feel a bit weird since there aren‚Äôt any people or animals there, even though it looks like there should be</t>
  </si>
  <si>
    <t>It would just be the sounds of water flowing and the noises of animals like birds¬†</t>
  </si>
  <si>
    <t>Vibrant</t>
  </si>
  <si>
    <t>Green salad</t>
  </si>
  <si>
    <t>Rhythmic, warm percussion synthesizer</t>
  </si>
  <si>
    <t>Calm, and peace</t>
  </si>
  <si>
    <t>Lotus root</t>
  </si>
  <si>
    <t>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ü©</t>
  </si>
  <si>
    <t>Calm guitar and waterfall background</t>
  </si>
  <si>
    <t>cornucopia</t>
  </si>
  <si>
    <t>upbeat, chipper</t>
  </si>
  <si>
    <t>happy and relaxed</t>
  </si>
  <si>
    <t>It would be a salad.</t>
  </si>
  <si>
    <t>happy sounds soundtrack with spring sounds like bird songs or lake music</t>
  </si>
  <si>
    <t>it makes me feel very calm and adventurous. I would want to go exploring as it makes me feel curious</t>
  </si>
  <si>
    <t>a salad</t>
  </si>
  <si>
    <t>it would sound very happy and excited. It reminds me of tip toe thru the tulips with me and subwoofer lullaby.</t>
  </si>
  <si>
    <t>Happy, I want to go take a walk.</t>
  </si>
  <si>
    <t>A jam sandwich for a picnic</t>
  </si>
  <si>
    <t>I feel the sound track would be dynamic with a cheerful piano melody with the sound of birds chirping in the background.</t>
  </si>
  <si>
    <t>The soundtrack would feel like summer, filled with soft, natural sounds, gentle movement, and subtle, rustling textures that create a calm and living atmosphere.</t>
  </si>
  <si>
    <t>Alfredo Pasta</t>
  </si>
  <si>
    <t>calming, zen</t>
  </si>
  <si>
    <t>Calm, happy, nostalgic, at peace, subdued, reflective.</t>
  </si>
  <si>
    <t>Cheesecake.</t>
  </si>
  <si>
    <t>Romantic era classical music, orchestral music.</t>
  </si>
  <si>
    <t>Lively</t>
  </si>
  <si>
    <t>green smoothie (maybe with kale)</t>
  </si>
  <si>
    <t>a peaceful sound with natural sounds such as bird, wind and water</t>
  </si>
  <si>
    <t>Calm¬†</t>
  </si>
  <si>
    <t>It's a little chaotic so I want to go for a "loud" kind of happy. Just a cacophony of noise that isn't necessarily unpleasant to listen to¬†</t>
  </si>
  <si>
    <t>Calm, serene, peaceful</t>
  </si>
  <si>
    <t>Cherries</t>
  </si>
  <si>
    <t>Calm, violin, piano</t>
  </si>
  <si>
    <t>Makes me feel at peace with nature.</t>
  </si>
  <si>
    <t>It would be like a salad. The colours remind me of a salad as well as the overall items in the picture (greens).</t>
  </si>
  <si>
    <t>A more relaxing nature kind of soundtrack with birds chirping and the sounds of nature.</t>
  </si>
  <si>
    <t>peaceful, amazed, admiration, calmness, longing, appreciation</t>
  </si>
  <si>
    <t>Berries</t>
  </si>
  <si>
    <t>Lighthearted, playful strings, impressionist era music, birds chirping</t>
  </si>
  <si>
    <t>It makes me feel relaxed and content. The soft colors and flowing brushstrokes give a peaceful, almost meditative feeling.</t>
  </si>
  <si>
    <t>The soundtrack would be slow and gentle, with soft, flowing sounds and a steady rhythm. It would feel peaceful and relaxing, like a quiet moment to breathe.</t>
  </si>
  <si>
    <t>The painting sort of lighten up my moods.</t>
  </si>
  <si>
    <t>Lollipop¬†</t>
  </si>
  <si>
    <t>Classics musicals especially the harp.</t>
  </si>
  <si>
    <t>ambient</t>
  </si>
  <si>
    <t>Happy, bright, joy.</t>
  </si>
  <si>
    <t>A club sandwich.</t>
  </si>
  <si>
    <t>Warm, full of tones, mild tempo but not slow.</t>
  </si>
  <si>
    <t>Don't feel much, cool painting I guess.¬†</t>
  </si>
  <si>
    <t>A hearty soup.¬†</t>
  </si>
  <si>
    <t>Pop music, upbeat.¬†</t>
  </si>
  <si>
    <t>feels like a regular painting. maybe calm.</t>
  </si>
  <si>
    <t>apple¬†</t>
  </si>
  <si>
    <t>since this picture is calm, i would imagine meditation music once again. where this time someone is speaking to u and clearing your mind. so super low rhythm, and slow pace music.</t>
  </si>
  <si>
    <t>Comfortable, as in I want to be there physically¬†</t>
  </si>
  <si>
    <t>200,000¬†</t>
  </si>
  <si>
    <t>Pralines and cream flavored ice cream, from haagen dazs</t>
  </si>
  <si>
    <t>Maybe with some soft instrumental guitar (maybe country themed), or just raw ambient nature sounds</t>
  </si>
  <si>
    <t>It makes me feel plesant and rejuvenated.</t>
  </si>
  <si>
    <t>A salad with minimal dressing.</t>
  </si>
  <si>
    <t>The soundtrack would be cheerful and pleasant. It could use either an uplifting piano solo or a calm guitar solo in the background.</t>
  </si>
  <si>
    <t>relaxed, happy, grateful</t>
  </si>
  <si>
    <t>grapes</t>
  </si>
  <si>
    <t>cheery melodic paino, perhaps akin to some Legend of Zelda, Breath of the Wild soundtracks</t>
  </si>
  <si>
    <t>Happy and Hopeful</t>
  </si>
  <si>
    <t>Cherry Pie</t>
  </si>
  <si>
    <t>Vocal, warm and inviting</t>
  </si>
  <si>
    <t>This painting makes me feel joyful.</t>
  </si>
  <si>
    <t>Red velvet cake</t>
  </si>
  <si>
    <t>Music with a river flowing and birds chirping</t>
  </si>
  <si>
    <t>calm and happy</t>
  </si>
  <si>
    <t>there would be birds</t>
  </si>
  <si>
    <t>Happy.</t>
  </si>
  <si>
    <t>A fantasy like sound track with birds chirping and the magical sounds of fairy dust dissipating in the air.¬†</t>
  </si>
  <si>
    <t>happy and calm</t>
  </si>
  <si>
    <t>upbeat, magical, harmony, piano</t>
  </si>
  <si>
    <t>warm and peaceful.</t>
  </si>
  <si>
    <t>unagi rice</t>
  </si>
  <si>
    <t>peaceful piano solo.</t>
  </si>
  <si>
    <t>Happy, smily, content, amazing</t>
  </si>
  <si>
    <t>ice cream sundae</t>
  </si>
  <si>
    <t>guitar strumming, campfire music, happiness, laughs in the background, kids running around</t>
  </si>
  <si>
    <t>Calm, at peace, content</t>
  </si>
  <si>
    <t>Thai rice paper rolls with fresh vegetables</t>
  </si>
  <si>
    <t>Vivaldi - Spring</t>
  </si>
  <si>
    <t>light, free, happy. Calm¬†</t>
  </si>
  <si>
    <t>Daisies by Justin Bieber -- matches the soft, romantic/cute environment of this painting. And the name of the song too matches the vibes.</t>
  </si>
  <si>
    <t>It makes me feel pretty happy. Its bright , there is a lot of nice green grass and trees. Even the river (if that's what it is) covered in greens looks pleasant as well. Overall it just gives me a nice bright and happy feeling.¬†</t>
  </si>
  <si>
    <t>It reminds me of an apple. Since it has a lot of green elements I guess it would be a green apple.</t>
  </si>
  <si>
    <t>The song track would definitely have a lot of bright music. Some of it might not even be music. Like if I designed a soundtrack based on this painting, the first song would be sounds of nature like birds chirping, animals walking along the grass, leaves rustling, that kind of stuff. Then I would start with the bright music. In between every few songs, there would be an interlude of nature sounds again. Then the soundtrack would end with a bittersweet song followed by a final interlude of the sounds of nature getting quieter as the sun begins to set.¬†</t>
  </si>
  <si>
    <t>Warm. Like it's a nice summer day. It's hot, but the slight breeze that is flowing through keeps it from being uncomfortable.</t>
  </si>
  <si>
    <t>A bland bowl of salad.</t>
  </si>
  <si>
    <t>Somewhat upbeat sounding. Still kind of quiet and calm, but does not sound sad or sombre, but uplifting.</t>
  </si>
  <si>
    <t>Happy and calm, I like the peaceful river and bridge. Nature too :)</t>
  </si>
  <si>
    <t>green apples</t>
  </si>
  <si>
    <t>Superman "Your Choices Your Actions"</t>
  </si>
  <si>
    <t>this is giving like fantasy dreamlike vibe, makes me happy</t>
  </si>
  <si>
    <t>water falling into pond type</t>
  </si>
  <si>
    <t>Happy and at peace</t>
  </si>
  <si>
    <t>A cake</t>
  </si>
  <si>
    <t>Also slow classical music but higher pitched with a joyful/content vibe.</t>
  </si>
  <si>
    <t>it makes me feel calm and content.</t>
  </si>
  <si>
    <t>it would be a egg and cheese sandwich.</t>
  </si>
  <si>
    <t>it would be joyful and upbeat.</t>
  </si>
  <si>
    <t>This painting makes me feel happy and cheerful. It makes me feel calm and lively.</t>
  </si>
  <si>
    <t>Chicken and turkey sandwich</t>
  </si>
  <si>
    <t>Calm piece with chimes and bells. very happy major keys.</t>
  </si>
  <si>
    <t>Country romance</t>
  </si>
  <si>
    <t>Cheerful and enlighted</t>
  </si>
  <si>
    <t>peaceful and happy music</t>
  </si>
  <si>
    <t>Calm, happy excited</t>
  </si>
  <si>
    <t>apples</t>
  </si>
  <si>
    <t>happy upbeat music</t>
  </si>
  <si>
    <t>It makes me feel calm and relaxed. Peaceful, gentle, and quietly happy.</t>
  </si>
  <si>
    <t>A light green tea cake or a fresh fruit tart‚Äîsoft, refreshing, and soothing.</t>
  </si>
  <si>
    <t>A slow, soft piece with gentle piano and light strings. Smooth, flowing, and quiet. Warm, peaceful, and meditative‚Äîlike a calm afternoon breeze.</t>
  </si>
  <si>
    <t>It feels like a serene, timeless escape. The lush textures and soft light create a sense of deep tranquility and quiet wonder.</t>
  </si>
  <si>
    <t>Matcha Lychee Rose Mousse</t>
  </si>
  <si>
    <t>A shimmering wash of Impressionist piano and fluid woodwinds creating a sense of moist, eternal stillness.</t>
  </si>
  <si>
    <t>happy, longing</t>
  </si>
  <si>
    <t>croquembouche¬†</t>
  </si>
  <si>
    <t>happy joyful songs with some soft singing</t>
  </si>
  <si>
    <t>55k</t>
  </si>
  <si>
    <t>nature sound, river, bird</t>
  </si>
  <si>
    <t>This painting makes me feel calm and quietly absorbed. The soft blending of colors and gentle repetition creates a soothing rhythm, like a slow breath.</t>
  </si>
  <si>
    <t>It would be like a light, delicately layered dessert‚Äîsomething like a softly flavored mousse or a pastel macaron assortment.¬†</t>
  </si>
  <si>
    <t>The soundtrack would be slow and airy, built from soft, sustained tones that blend smoothly into one another.</t>
  </si>
  <si>
    <t>It makes me feel open, happy and pleasant.</t>
  </si>
  <si>
    <t>It would be calm but exciting with some ups and downs and not very dark, so the speed would be fast.</t>
  </si>
  <si>
    <t>peace, serenity, quiet, relaxed, content, comfort, casual, light, cheery</t>
  </si>
  <si>
    <t>major chord, light tone, happy, cheerful, clear piano, allegretto, flute and wind instruments, all high mid tone instruments</t>
  </si>
  <si>
    <t>bored</t>
  </si>
  <si>
    <t>mushy lettuce</t>
  </si>
  <si>
    <t>a light hum with natural audio</t>
  </si>
  <si>
    <t>Calm, at ease</t>
  </si>
  <si>
    <t>It would be a calming melodic tune played primarily with a harp</t>
  </si>
  <si>
    <t>Calm, Happy</t>
  </si>
  <si>
    <t>Spinach¬†</t>
  </si>
  <si>
    <t>Calm, flowy¬†</t>
  </si>
  <si>
    <t>This painting invokes feelings of nostalgia.¬†</t>
  </si>
  <si>
    <t>broccoli.¬†</t>
  </si>
  <si>
    <t>reminds me of nostalgic music, fitting as the painting invokes that feeling.¬†</t>
  </si>
  <si>
    <t>This painting makes me feel happy and excited like a hot summer day coming back from soccer practice (a childhood experience for me) with my family and getting ice Capps. There would be a light breeze to cool you down. Something that would make me cry tears of joy.</t>
  </si>
  <si>
    <t>$50-$100</t>
  </si>
  <si>
    <t>Chicken breast salad. 30g of protein. Lettuce, onion, tomatoes, croutons.¬†</t>
  </si>
  <si>
    <t>This soundtrack would be medium speed, something happy and fun. Something that reminds me of my childhood. Or a reminiscent songs like Chemtrain over the country club.¬†</t>
  </si>
  <si>
    <t>Free</t>
  </si>
  <si>
    <t>Summertime - cinnamons &amp;¬†evening cinema</t>
  </si>
  <si>
    <t>Positive, upbeat, reminiscent¬†</t>
  </si>
  <si>
    <t>Upbeat song, positive song, big playlist song.</t>
  </si>
  <si>
    <t>This painting makes me feel calm and relaxed. It feels peaceful, like a quiet moment in nature where everything slows down.</t>
  </si>
  <si>
    <t>It would sound like soft, peaceful music, with gentle piano and light strings playing slowly in the background.</t>
  </si>
  <si>
    <t>peaceful, content, happy</t>
  </si>
  <si>
    <t>idyllic countryside themes, quiet, flowing</t>
  </si>
  <si>
    <t>Felt warm, nostalgic, pure, and romantic.</t>
  </si>
  <si>
    <t>There will be a saxophone as the melody. It is slow and romantic.</t>
  </si>
  <si>
    <t>kind of overwhelmed. There‚Äôs a lot of intense color here. While the view looks nice to look at the painting shows it in a very intense way.¬†</t>
  </si>
  <si>
    <t>Cabbage</t>
  </si>
  <si>
    <t>Lots of wind, bird sounds, animal sounds, leaves whistling, maybe some soft drums</t>
  </si>
  <si>
    <t>hip hop</t>
  </si>
  <si>
    <t>Ethereal and happy</t>
  </si>
  <si>
    <t>Sweets and desserts</t>
  </si>
  <si>
    <t>Japanese</t>
  </si>
  <si>
    <t>It makes me feel calm, and appreciative of the beauty conveyed through the painting. It makes me feel as if I want to be in the painting itself.¬†</t>
  </si>
  <si>
    <t>There would be chimes or bells in the soundtrack. I also imagine some soft piano and a clear flute melody.</t>
  </si>
  <si>
    <t>Appreciation for the beautiful scenery nature can provide.</t>
  </si>
  <si>
    <t>A bowl of fruit</t>
  </si>
  <si>
    <t>Heavy and impactful, like something out of a major scene in a romance movie.</t>
  </si>
  <si>
    <t>birds chirping</t>
  </si>
  <si>
    <t>Not much of a feeling, it's very beautiful but I can't seem to get a feeling out of it.</t>
  </si>
  <si>
    <t>A bright melody drifts along with soft rhythms and warm harmonies, fresh air, gentle motion, and an easy, sunlit happiness that feels calm yet quietly alive.</t>
  </si>
  <si>
    <t>This painting makes me feel happy.</t>
  </si>
  <si>
    <t>This would be a desert like custard</t>
  </si>
  <si>
    <t>This soundtrack is also peaceful but has cheerful undertones.</t>
  </si>
  <si>
    <t>Waves</t>
  </si>
  <si>
    <t>It makes me feel calm and peaceful.</t>
  </si>
  <si>
    <t>A melodic classical music soundtrack with an emphasis on pianos and violins. The music would be calm and joyful.¬†</t>
  </si>
  <si>
    <t>harmonic</t>
  </si>
  <si>
    <t>It made me feel sort of happy as I like looking at pictures with greenery, I would definitely want to go where ever that picture is taken</t>
  </si>
  <si>
    <t>It would be a piano soundtrack very relaxing</t>
  </si>
  <si>
    <t>This painting makes me feel nostalgic for summer and gives me positive energy. It makes me feel happy when I look at it.</t>
  </si>
  <si>
    <t>It would be a very calming soundtrack with soft nature like sounds, similar to birds and flowing water. It would feel emotional and deep, but overall peaceful and soothing to listen to.</t>
  </si>
  <si>
    <t>Lettuce</t>
  </si>
  <si>
    <t>A soundtrack full of woodwind-type instruments, all harmonizing together to form a feeling of calm and peace.</t>
  </si>
  <si>
    <t>Lively and calm. Feeling easy and happy.</t>
  </si>
  <si>
    <t>Be lively and energetic. The world is peaceful and beautiful. Always be happy.</t>
  </si>
  <si>
    <t>happy sound</t>
  </si>
  <si>
    <t>at rest, nostalgic, peaceful, quiet</t>
  </si>
  <si>
    <t>nostalgic, strongly instrumental, strong use of piano, legato, hidden, post-war, strong use of guitar</t>
  </si>
  <si>
    <t>This painting makes me feel at ease and very peaceful. It's also very uplifting and makes you want to go for a walk and appreciate the environment.¬†</t>
  </si>
  <si>
    <t>Cupcake</t>
  </si>
  <si>
    <t>A classical soundtrack that's very light and very cheery. A lot of ballet and piano sounds.¬†</t>
  </si>
  <si>
    <t>This painting makes me feel very happy and calm and makes me feel gratitude for the life I live and the beauty of our world.¬†</t>
  </si>
  <si>
    <t>A platter of in-season, vibrant fruit.¬†</t>
  </si>
  <si>
    <t>Super calm and peaceful melodies with soft background music that flows and makes you feel relaxed and content.</t>
  </si>
  <si>
    <t>Somewhat joyful.¬†</t>
  </si>
  <si>
    <t>Probably 99 dollars, ignoring its secondary market value.¬†</t>
  </si>
  <si>
    <t>Fresh wet greens, like lettuce.</t>
  </si>
  <si>
    <t>Quiet but joyous, with backing tracks that have birds chirping.¬†</t>
  </si>
  <si>
    <t>It has a beautiful scenery with alot of detail</t>
  </si>
  <si>
    <t>I would imagine hearing birds chirping and the sound of the river flowing.</t>
  </si>
  <si>
    <t>A sense of calm and happiness. Very beautiful</t>
  </si>
  <si>
    <t>A fresh garden salad</t>
  </si>
  <si>
    <t>something colourful and happy.</t>
  </si>
  <si>
    <t>It makes me feel content and calm</t>
  </si>
  <si>
    <t>It would be a cucumber salad</t>
  </si>
  <si>
    <t>It would be happy and upbeat</t>
  </si>
  <si>
    <t>a whimsical wosh with a bright flute</t>
  </si>
  <si>
    <t>warm bread</t>
  </si>
  <si>
    <t>wind focused with flutes, slow paced</t>
  </si>
  <si>
    <t>Makes me feel like a young kid running through a field</t>
  </si>
  <si>
    <t>A grilled cheese</t>
  </si>
  <si>
    <t>Just an acoustic guitar</t>
  </si>
  <si>
    <t>Positive. Hopeful. Curious. Beauty. Running water. stream. sound. motion.¬†</t>
  </si>
  <si>
    <t>broccoli almond Soup.¬†</t>
  </si>
  <si>
    <t>cheerful, bright, and hopeful. kalimba or xylophone upbeat. nostalgic.¬†</t>
  </si>
  <si>
    <t>The painting makes me feel cheerful. It makes me feel nostalgic and happy in some way. Reminds me of brighter things, and happy moments in my life looking at this. Possibly even makes me ponder of a vibrant future.¬†</t>
  </si>
  <si>
    <t>A strawberry is what this painting reminds me of. Something that is vibrant, colorful and cheerful. Something that reminds you that better moments are coming soon and also reminds you of good times in the past. Helps you realize how even small things are beautiful and you may miss beauty in the small things and moments.¬†</t>
  </si>
  <si>
    <t>A soundtrack for this painting would be vibrant, something with various chords playing, a burst of emotion to you. Sounds vibrant, cheerful, and also makes you feel hopeful. Such a soundtrack I would assume would use the piano but using the high notes. The soundtrack would also bring a sense of calmness alongside the joyous feeling as well.¬†</t>
  </si>
  <si>
    <t>happy, inspired, good, bubbly, curious, active, pretty, fairytale, dreamy</t>
  </si>
  <si>
    <t>salad or sandwich</t>
  </si>
  <si>
    <t>piano, strings in a upbeat track like the "sunshine lollipop soundtrack"</t>
  </si>
  <si>
    <t>It makes me feel happy and content.</t>
  </si>
  <si>
    <t>Wheatgrass protein shake.</t>
  </si>
  <si>
    <t>A soft harp piece along with a person humming a simple tune.</t>
  </si>
  <si>
    <t>This painting makes me feel happy. The warm tones and setting are very pleasing to the eye.¬†</t>
  </si>
  <si>
    <t>$100-$150CAD¬†</t>
  </si>
  <si>
    <t>Salad. Both the colours and the coolness of the painting make me feel this way.¬†</t>
  </si>
  <si>
    <t>Smooth jazz, with light female vocals.¬†</t>
  </si>
  <si>
    <t>calm/ serene/ tranquil</t>
  </si>
  <si>
    <t>$20 CAD</t>
  </si>
  <si>
    <t>Any dish with steak as the centre of attention.</t>
  </si>
  <si>
    <t>nature sounds, specifically, water flowing, water splashing, occasional frog croak.</t>
  </si>
  <si>
    <t>tranquil</t>
  </si>
  <si>
    <t>2 million</t>
  </si>
  <si>
    <t>steamed beans</t>
  </si>
  <si>
    <t>The Jolly Green Giant - The Kingsmen</t>
  </si>
  <si>
    <t>a soundtrack with lots of wind instruments like a flute</t>
  </si>
  <si>
    <t>Pleasant since it showcases the beauty of spring during daytime, and lots of green and nature, and water as well.</t>
  </si>
  <si>
    <t>That depends, if I were a billionaire, probably 100 million, but because I'm not, probably $5000 max since I know how valuable this painting is. Otherwise, if this painting wasn't valuable, max $700.</t>
  </si>
  <si>
    <t>Matcha Panna Cotta</t>
  </si>
  <si>
    <t>Probably something bright but calm, maybe some nature sounds, slightly magical</t>
  </si>
  <si>
    <t>Cleansed, sweet, relaxed.¬†</t>
  </si>
  <si>
    <t>Cherry pie.¬†</t>
  </si>
  <si>
    <t>Light notes with bell like tinkle and bird chirping.</t>
  </si>
  <si>
    <t>alive, tranquil, meditative</t>
  </si>
  <si>
    <t>fast, energetic, flowing</t>
  </si>
  <si>
    <t>Joyful, nostalgic, happy.</t>
  </si>
  <si>
    <t>An eclair.</t>
  </si>
  <si>
    <t>Swan from Saint Saens' Carnival of Animals</t>
  </si>
  <si>
    <t>lost</t>
  </si>
  <si>
    <t>birds chirping summer sound</t>
  </si>
  <si>
    <t>1 dolla</t>
  </si>
  <si>
    <t>A wedding dance, happily ever after.¬†</t>
  </si>
  <si>
    <t>joyful</t>
  </si>
  <si>
    <t>1cad</t>
  </si>
  <si>
    <t>call of duty bgm</t>
  </si>
  <si>
    <t>It makes me feel happy, safe, and relaxed.</t>
  </si>
  <si>
    <t>A flavorful salad</t>
  </si>
  <si>
    <t>Ambient, quiet noises of animals, with maybe a quiet flute.</t>
  </si>
  <si>
    <t>When I look at this painting, it makes me feel remorseful in a weird way. Like as if I have crossed a bridge without knowing the way forward and there is no way back.</t>
  </si>
  <si>
    <t>70-85</t>
  </si>
  <si>
    <t>A chicken ceasar wrap in a green tortilla.</t>
  </si>
  <si>
    <t>Mr. Loverman - Ricky Montgomery</t>
  </si>
  <si>
    <t>Tragedy is not the end, but the beginning of hope.</t>
  </si>
  <si>
    <t>20$, as I written before, artwork are not for buying.</t>
  </si>
  <si>
    <t>a music with out any singing but only music with the sound of river.</t>
  </si>
  <si>
    <t>It makes me reminisce about walks with my family through gardens.</t>
  </si>
  <si>
    <t>I imagine birds chirping to the calm melody of a flute.</t>
  </si>
  <si>
    <t>happy but lonely</t>
  </si>
  <si>
    <t>jasmine tea</t>
  </si>
  <si>
    <t>birds and water flowing as background music</t>
  </si>
  <si>
    <t>The painting makes me feel tranquility and peace with the world. It makes me feel disconnected from society and the responsibilities I uphold for the moment.</t>
  </si>
  <si>
    <t>367 CAD</t>
  </si>
  <si>
    <t>Pork tenderloin with dates and pineapple pur√©e, and sweet baked mashed potatoes with wildflower honey and lilac.</t>
  </si>
  <si>
    <t>You can hear the birds chirping and nature at work in the background. The river flows gently and a zither plays slowly. The melody is light and gently; incomparably slow. It gives off a refreshing sound throughout and uses natural sounds as music.</t>
  </si>
  <si>
    <t>the warmth of the summer</t>
  </si>
  <si>
    <t>a sundae ice cream</t>
  </si>
  <si>
    <t>blurred edges, soft light, and quiet motion.</t>
  </si>
  <si>
    <t>calm, soothing, spirited, energized, bloom, peaceful, warm, cozy.</t>
  </si>
  <si>
    <t>steak sandwich with baguette, arugula, skirt steak, and chipotle mayo.</t>
  </si>
  <si>
    <t>chirpy and jumpy piano beats</t>
  </si>
  <si>
    <t>Strawberry shortcake</t>
  </si>
  <si>
    <t>Melody.</t>
  </si>
  <si>
    <t>This painting makes me feel at peace, as if I'm right there in nature.</t>
  </si>
  <si>
    <t>350000000 dolllars</t>
  </si>
  <si>
    <t>It's an ethereal soundtrack, featuring a simple melody played by a single flute without any complex tunes.</t>
  </si>
  <si>
    <t>It feels as if i am floating on water and i can feel the movement of the fish beneath me</t>
  </si>
  <si>
    <t>lemon tart</t>
  </si>
  <si>
    <t>a warm flute buzzes through the air, its vibrations accompanied by the chirping of birds. a mellow guitar rhythm permeates, not quite sharp enough to draw attention, but enough to assert it existence.</t>
  </si>
  <si>
    <t>This painting makes me feel calm and relaxed. The soft colors and gentle brushstrokes create a peaceful atmosphere that feels slow and quiet. It gives me a sense of balance and comfort, as if time has slowed down and I can simply observe without feeling any pressure. Overall, it feels soothing and reflective rather than emotionally intense.</t>
  </si>
  <si>
    <t>It would be a light and refreshing dish with subtle flavors, calming and easy to enjoy.
¬†</t>
  </si>
  <si>
    <t>The music would be slow and gentle, with smooth tones and a peaceful rhythm that creates a calm and reflective mood.</t>
  </si>
  <si>
    <t>If feels a little bit too stuck. It feels like I am surrounded by lots of bushes, not being able to see or breathe well.¬†</t>
  </si>
  <si>
    <t>green juice</t>
  </si>
  <si>
    <t>I can hear a metal without any melody, vibe, and feeling. Sounds are all over the place. Very noisy to hear.¬†</t>
  </si>
  <si>
    <t>The painting makes me feel reflective and passionate.</t>
  </si>
  <si>
    <t>If the painting was a food, it would be a Raspberry.</t>
  </si>
  <si>
    <t>The soundtrack would be played in a major key with a xylophone. It would be played at a medium tempo. The music would evoke the movement of the sunlight through the sky as a day passes by.</t>
  </si>
  <si>
    <t>very tranquil, appreciative, at peace, and just happy overall</t>
  </si>
  <si>
    <t>strawberry cheesecake</t>
  </si>
  <si>
    <t>a combination of piano and flute in playing, beautiful harmony, and maybe violinin the background, fast-ish tempo but very upbeat, and catchy as well.¬†</t>
  </si>
  <si>
    <t>tranquil¬†</t>
  </si>
  <si>
    <t>hopeful tomorrow</t>
  </si>
  <si>
    <t>This painting makes me feel happy. The bright colours (green and yellow) bring me comfort. Moreover, the bridge over the still pond is calming. The immense amount of agriculture shows life and prosperity. The large background of trees shows the preservation of wildlife which has important value to me.¬†</t>
  </si>
  <si>
    <t>Lettuce.</t>
  </si>
  <si>
    <t>I imagine a slow to mid paced soundtrack. It has a bassline that has small bursts of bass and for short time periods (similar to drum kicks). The soundtrack has mainly mid-ranged notes that are evenly spaced out. I could also imagine piano notes that lighten up the atmosphere, instead of making it gloomy.¬†¬†</t>
  </si>
  <si>
    <t>Feel calm, it's a good painting of nature¬†</t>
  </si>
  <si>
    <t>A sandwich</t>
  </si>
  <si>
    <t>A soundtrack containing very calm type of songs mainly consisting of the piano</t>
  </si>
  <si>
    <t>Im sitting at the bank of a river next to a pond near my house. I'm alone. Got there on my bike. The sunny, barely any clouds, and I'm staring down the river. I can feel the sun on my back, the dried grass under my legs. There's nothing but me, the river, and the cry of a cricket. I'm happy.</t>
  </si>
  <si>
    <t>Fresh cake. Side of cream. Grapes.</t>
  </si>
  <si>
    <t>Viola, ukele, harp, some real "sit for too long and you'll cry" stuff.</t>
  </si>
  <si>
    <t>calm, happy</t>
  </si>
  <si>
    <t>calm soundtrack played in adventure/rgp games.</t>
  </si>
  <si>
    <t>This picture makes me feel the happiness and enjoyment associated with summer and the feeling of enjoying summer in high school and walking along the stream with my friends and crossing a bridge over the stream which led to a pond to get to the soccer field or the basketball court.</t>
  </si>
  <si>
    <t>snow cone</t>
  </si>
  <si>
    <t>Yiruma ‚Äì River Flows in You
Soft, flowing piano that carries a gentle yet playful theme with a warm caring undernote.</t>
  </si>
  <si>
    <t>it makes me feel happy because of how beautiful nature can be and how lucky we are to enjoy it.</t>
  </si>
  <si>
    <t>a big green salad</t>
  </si>
  <si>
    <t>peaceful and calm. nature-sounding. interludes with pure nature sounds and wind and birds.</t>
  </si>
  <si>
    <t>Serene and calm</t>
  </si>
  <si>
    <t>Fruit Salad</t>
  </si>
  <si>
    <t>tweeting, upbeat, and mostly higher-pitched¬†</t>
  </si>
  <si>
    <t>Nostalgic. It reminds me how I used to feel so protected as a child free to be whatever I want and free to do whatever I can.¬†</t>
  </si>
  <si>
    <t>Walking Through The Garden By Zbigniew Preisner - The careless luxury of freedom and childhood.</t>
  </si>
  <si>
    <t>I feel happy looking at this and want to go for a picnic.</t>
  </si>
  <si>
    <t>Strawberries and cream</t>
  </si>
  <si>
    <t>Mystery of Love by Sufjan Stevens. It is the kind of music you want to listen to in a field and be lost in your own thoughts as you admire everything around yourself.</t>
  </si>
  <si>
    <t>This painting makes me feel happy and awake. I also feel excited and anticipatory, not in an overwhelming way but in a content and nostalgic way.¬†</t>
  </si>
  <si>
    <t>Chocolate chip cookies</t>
  </si>
  <si>
    <t>The music would be bright, joyful, playful and carefree. It would flow in a satisfyingly logical way.</t>
  </si>
  <si>
    <t>Matcha Mochi</t>
  </si>
  <si>
    <t>An atmospheric, ambient and gentle track using wind instruments.</t>
  </si>
  <si>
    <t>It makes me feel joyful and filled with hope and happiness with all the bright colours and the bridge feeling like it's a symbol of a way forward. The blooming flowers on the lily pads also make me happy and content and symbolizes a new beginning for me.¬†</t>
  </si>
  <si>
    <t>With all the green and nature, it would most likely be a salad, since it is very green usually and has a lot of healthy fruits and vegetables that comes from nature.</t>
  </si>
  <si>
    <t>Some happy and joyful pop music with a connection to nature, such as birds chirping to show the cycle of nature has started anew and is at it's stage of growth and new beginnings.</t>
  </si>
  <si>
    <t>Calm yet happy.</t>
  </si>
  <si>
    <t>Marmalade.</t>
  </si>
  <si>
    <t>Some bells, piano and a beautiful voice.</t>
  </si>
  <si>
    <t>Calm, present, in light, zealous about my day, beautiful</t>
  </si>
  <si>
    <t>Mochi, or Gulab Jamun</t>
  </si>
  <si>
    <t>Happy, Peaceful</t>
  </si>
  <si>
    <t>i feel warm, like a nice day where i should head outside to enjoy the sun</t>
  </si>
  <si>
    <t>ceasar salad</t>
  </si>
  <si>
    <t>a happier upbeat soundrack, but still calm and soothing</t>
  </si>
  <si>
    <t>The painting is very peaceful and relaxing because of the serene and tranquil setting within nature. It makes me feel content and sleepy.¬†</t>
  </si>
  <si>
    <t>This painting would be a granola bar.</t>
  </si>
  <si>
    <t>The soundtrack for this painting would be a calm and relaxing instrumental, with sounds of nature like gentle rain or a light breeze.¬†</t>
  </si>
  <si>
    <t>mixed salad</t>
  </si>
  <si>
    <t>peaceful humming</t>
  </si>
  <si>
    <t>It makes me feel calm and content</t>
  </si>
  <si>
    <t>A soundtrack that is played softly on the piano where birds are chirping in the background</t>
  </si>
  <si>
    <t>feels like i wanna go take a walk</t>
  </si>
  <si>
    <t>bright, fun music¬†</t>
  </si>
  <si>
    <t>Happy and joyful with the bright colours and flowers</t>
  </si>
  <si>
    <t>upbeat and fast tempo, dancing soundtrack</t>
  </si>
  <si>
    <t>Makes me feel calm, content and relaxed</t>
  </si>
  <si>
    <t>some love and romantic song</t>
  </si>
  <si>
    <t>Calm, at ease, pleasant.</t>
  </si>
  <si>
    <t>chrysanthemum tea.</t>
  </si>
  <si>
    <t>Fast paced violin, country style.</t>
  </si>
  <si>
    <t>it makes me feel calm and admire the beauty for the pond.</t>
  </si>
  <si>
    <t>fresh salad</t>
  </si>
  <si>
    <t>a gentle, calm soundtrack, maybe with a piano and a harp to convey the calmness.¬†</t>
  </si>
  <si>
    <t>This painting makes me feel calm and content, happy with the simple things in life.</t>
  </si>
  <si>
    <t>A fresh salad, a glass of iced tea, a cup of berries</t>
  </si>
  <si>
    <t>the soundtrack for this painting would be sounds of nature, birds chirping and bees buzzing</t>
  </si>
  <si>
    <t>Not music, birds chirping, shoes steping on dirt, bugs whistling around</t>
  </si>
  <si>
    <t>I feel so at peace, but I know that there's a lot of chaos in the picture. Not only the process of drawing it, but also the process of the ecosystem itself. Why does mankind stand about nature, even though we could never fight it? What type of shadow do we cast such that even the path under us clears.¬†</t>
  </si>
  <si>
    <t>Salad with croutons.</t>
  </si>
  <si>
    <t>Tyler the Creator style beat and ensemble, high pitch piano basis, with some occasional bass. If there's singing it has to be a bard from the roman empire for latin usage.</t>
  </si>
  <si>
    <t>It makes me feel relaxed and happy</t>
  </si>
  <si>
    <t>Grass</t>
  </si>
  <si>
    <t>Slow songs with a relaxed and pleasant rhythm</t>
  </si>
  <si>
    <t>Comfortable, serene</t>
  </si>
  <si>
    <t>The faint sound of water, the rustling of leaves in the wind, birdsong, and the chirping of cicadas.</t>
  </si>
  <si>
    <t>Calming Kalimba music with the sound of running water in the back.</t>
  </si>
  <si>
    <t>10 cad</t>
  </si>
  <si>
    <t>big salad with variety of veggie</t>
  </si>
  <si>
    <t>calm piano music</t>
  </si>
  <si>
    <t>Full of liveliness</t>
  </si>
  <si>
    <t>a vegan platter</t>
  </si>
  <si>
    <t>Spring Vivaldi. Full of energy and enthusiasm. I can imagine flower blossoming and trees growing as I listen to the piece.</t>
  </si>
  <si>
    <t>Pretty nice, I like forest and hiking</t>
  </si>
  <si>
    <t>forest sound, rainforest sound</t>
  </si>
  <si>
    <t>runaway</t>
  </si>
  <si>
    <t>Calm and naturely</t>
  </si>
  <si>
    <t>A song like scarborough fair where it's like a romantic setting between two lovers.</t>
  </si>
  <si>
    <t>a happy and comforting feeling</t>
  </si>
  <si>
    <t>house salad</t>
  </si>
  <si>
    <t>bright classical music</t>
  </si>
  <si>
    <t>Vegetables</t>
  </si>
  <si>
    <t>Background sound in the nature.</t>
  </si>
  <si>
    <t>Peaceful, happy, content, relaxed</t>
  </si>
  <si>
    <t>Peaceful and calming, with lots of highs and lows in sound. Some silence to break it up.</t>
  </si>
  <si>
    <t>A song that is calm. The music would be medium paced.</t>
  </si>
  <si>
    <t>Calm and content, happy due to the greenery.</t>
  </si>
  <si>
    <t>Upbeat but calming, something that can allow one to immerse themselves into it calmly.</t>
  </si>
  <si>
    <t>The painting makes me feel wonder and hope</t>
  </si>
  <si>
    <t>The soundtrack would be a calm and lively classical piece with harps</t>
  </si>
  <si>
    <t>Joy and relaxation.</t>
  </si>
  <si>
    <t>green apple</t>
  </si>
  <si>
    <t>nature forest soundtrack</t>
  </si>
  <si>
    <t>This painting makes me feel happy</t>
  </si>
  <si>
    <t>Slow guitar soundtrack</t>
  </si>
  <si>
    <t>This painting makes me feel warm and new birth of everything.</t>
  </si>
  <si>
    <t>200 Dollars, pay for the emotion</t>
  </si>
  <si>
    <t>Fresh salad</t>
  </si>
  <si>
    <t>Various animal sounds, like bird sounds; and laugh from children</t>
  </si>
  <si>
    <t>makes me feel nonchalant¬†</t>
  </si>
  <si>
    <t>simon and garfunkel</t>
  </si>
  <si>
    <t>Makes me feel very calm and relaxed as it gives summery vibes and happiness and nature.</t>
  </si>
  <si>
    <t>A colorful salad with lots of veggies and fruits¬†</t>
  </si>
  <si>
    <t>Super energizing and bright, going along with the summer vibes</t>
  </si>
  <si>
    <t>Emotion Intensity Mean</t>
  </si>
  <si>
    <t>Emotion Intensity Deviation</t>
  </si>
  <si>
    <t>Sombre Mean</t>
  </si>
  <si>
    <t>Sombre Deviation</t>
  </si>
  <si>
    <t>Content Mean</t>
  </si>
  <si>
    <t>Content Deviation</t>
  </si>
  <si>
    <t>Calm Mean</t>
  </si>
  <si>
    <t>Calm Deviation</t>
  </si>
  <si>
    <t>Uneasy Mean</t>
  </si>
  <si>
    <t>Uneasy Deviation</t>
  </si>
  <si>
    <t>Prominent Colors Mean</t>
  </si>
  <si>
    <t>Prominent Colors Deviation</t>
  </si>
  <si>
    <t>Objects Catching Eyes Mean</t>
  </si>
  <si>
    <t>Objects Catching Eyes Deviation</t>
  </si>
  <si>
    <t>Sombre Score</t>
  </si>
  <si>
    <t>Content Score</t>
  </si>
  <si>
    <t>Calm Score</t>
  </si>
  <si>
    <t>Uneasy Score</t>
  </si>
  <si>
    <t>Willingness to Pay (CAD)</t>
  </si>
  <si>
    <t>Office Mean</t>
  </si>
  <si>
    <t>Office Deviation</t>
  </si>
  <si>
    <t>Bathroom Mean</t>
  </si>
  <si>
    <t>Bathroom Deviation</t>
  </si>
  <si>
    <t>Dining room Mean</t>
  </si>
  <si>
    <t>Dining room Deviation</t>
  </si>
  <si>
    <t>Bedroom Mean</t>
  </si>
  <si>
    <t>Bedroom Deviation</t>
  </si>
  <si>
    <t>Living room Mean</t>
  </si>
  <si>
    <t>Living room Deviation</t>
  </si>
  <si>
    <t>By Yourself</t>
  </si>
  <si>
    <t>By Yourself Mean</t>
  </si>
  <si>
    <t>By Yourself Deviation</t>
  </si>
  <si>
    <t>Friends Mean</t>
  </si>
  <si>
    <t>Friends Deviation</t>
  </si>
  <si>
    <t>Family members Mean</t>
  </si>
  <si>
    <t>Family members Deviation</t>
  </si>
  <si>
    <t>Coworkers/Classmates Mean</t>
  </si>
  <si>
    <t>Coworkers/Classmates Deviation</t>
  </si>
  <si>
    <t>Strangers Mean</t>
  </si>
  <si>
    <t>Strangers Deviation</t>
  </si>
  <si>
    <t>Spring Mean</t>
  </si>
  <si>
    <t>Spring Deviation</t>
  </si>
  <si>
    <t>Summer Mean</t>
  </si>
  <si>
    <t>Summer Deviation</t>
  </si>
  <si>
    <t>Fall Mean</t>
  </si>
  <si>
    <t>Fall Deviation</t>
  </si>
  <si>
    <t>Winter Mean</t>
  </si>
  <si>
    <t>Winter Deviation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</si>
</sst>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6" fontId="0" fillId="0" borderId="0" xfId="0" applyNumberFormat="1"/>
    <xf numFmtId="3" fontId="0" fillId="0" borderId="0" xfId="0" applyNumberFormat="1"/>
    <xf numFmtId="0" fontId="0" fillId="0" borderId="0" xfId="0" applyAlignment="1">
      <alignment wrapText="1"/>
    </xf>
    <xf numFmtId="4" fontId="0" fillId="0" borderId="0" xfId="0" applyNumberFormat="1"/>
    <xf numFmtId="8" fontId="0" fillId="0" borderId="0" xfId="0" applyNumberFormat="1"/>
    <xf numFmtId="0" fontId="0" fillId="0" borderId="0" xfId="0" quotePrefix="1"/>
    <xf numFmtId="0" fontId="0" fillId="0" borderId="0" xfId="0" applyAlignment="1">
      <alignment horizontal="center"/>
    </xf>
    <xf numFmtId="0" fontId="0" fillId="33" borderId="0" xfId="0" applyFill="1" applyAlignment="1">
      <alignment horizontal="center"/>
    </xf>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162290A-ED30-444A-9B23-F2E08C4EF4A4}">
  <we:reference id="wa200009404" version="1.0.0.8" store="en-US"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29089-1DDD-A344-A4BA-2EA183F4FF4F}">
  <dimension ref="A1:AI1687"/>
  <sheetViews>
    <sheetView tabSelected="1" topLeftCell="Q2" workbookViewId="0">
      <selection activeCell="AB4" sqref="AB4"/>
    </sheetView>
  </sheetViews>
  <sheetFormatPr baseColWidth="10" defaultRowHeight="16" x14ac:dyDescent="0.2"/>
  <cols>
    <col min="2" max="2" width="36.1640625" customWidth="1"/>
    <col min="3" max="3" width="82.6640625" customWidth="1"/>
    <col min="4" max="4" width="110.5" customWidth="1"/>
    <col min="5" max="5" width="42.6640625" customWidth="1"/>
    <col min="6" max="6" width="48.33203125" customWidth="1"/>
    <col min="7" max="7" width="44.33203125" customWidth="1"/>
    <col min="8" max="8" width="59.6640625" customWidth="1"/>
    <col min="9" max="9" width="48" customWidth="1"/>
    <col min="10" max="10" width="44.5" customWidth="1"/>
    <col min="11" max="11" width="75.83203125" customWidth="1"/>
    <col min="12" max="13" width="77" customWidth="1"/>
    <col min="14" max="14" width="44.5" customWidth="1"/>
    <col min="15" max="15" width="42.6640625" customWidth="1"/>
    <col min="16" max="16" width="185.83203125" customWidth="1"/>
    <col min="17" max="17" width="23.5" customWidth="1"/>
    <col min="18" max="19" width="24.5" customWidth="1"/>
    <col min="20" max="20" width="26.33203125" customWidth="1"/>
    <col min="21" max="21" width="22.33203125" customWidth="1"/>
    <col min="27" max="27" width="17" customWidth="1"/>
    <col min="28" max="28" width="17.83203125" customWidth="1"/>
    <col min="29" max="29" width="18.33203125" customWidth="1"/>
    <col min="30" max="30" width="22.5" customWidth="1"/>
    <col min="31" max="31" width="18.5" customWidth="1"/>
    <col min="32" max="32" width="16.33203125" customWidth="1"/>
    <col min="33" max="33" width="16.5" customWidth="1"/>
    <col min="34" max="34" width="13" customWidth="1"/>
    <col min="35" max="35" width="15.6640625" customWidth="1"/>
  </cols>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4549</v>
      </c>
      <c r="R1" t="s">
        <v>4550</v>
      </c>
      <c r="S1" t="s">
        <v>4551</v>
      </c>
      <c r="T1" t="s">
        <v>4552</v>
      </c>
      <c r="U1" t="s">
        <v>4553</v>
      </c>
      <c r="V1" t="s">
        <v>22</v>
      </c>
      <c r="W1" t="s">
        <v>98</v>
      </c>
      <c r="X1" t="s">
        <v>53</v>
      </c>
      <c r="Y1" t="s">
        <v>70</v>
      </c>
      <c r="Z1" t="s">
        <v>41</v>
      </c>
      <c r="AA1" t="s">
        <v>4564</v>
      </c>
      <c r="AB1" t="s">
        <v>42</v>
      </c>
      <c r="AC1" t="s">
        <v>115</v>
      </c>
      <c r="AD1" t="s">
        <v>35</v>
      </c>
      <c r="AE1" t="s">
        <v>219</v>
      </c>
      <c r="AF1" t="s">
        <v>215</v>
      </c>
      <c r="AG1" t="s">
        <v>84</v>
      </c>
      <c r="AH1" t="s">
        <v>24</v>
      </c>
      <c r="AI1" t="s">
        <v>36</v>
      </c>
    </row>
    <row r="2" spans="1:35" x14ac:dyDescent="0.2">
      <c r="A2">
        <v>1</v>
      </c>
      <c r="B2" t="s">
        <v>16</v>
      </c>
      <c r="I2">
        <v>5</v>
      </c>
      <c r="Q2" t="str">
        <f>IF(E2="", "", LEFT(E2, 1) * 1)</f>
        <v/>
      </c>
      <c r="R2" t="str">
        <f>IF(F2="","",VALUE(LEFT(F2,FIND(" ",F2)-1)))</f>
        <v/>
      </c>
      <c r="S2" t="str">
        <f>IF(G2="","",VALUE(LEFT(G2,FIND(" ",G2)-1)))</f>
        <v/>
      </c>
      <c r="T2" t="str">
        <f>IF(H2="","",VALUE(LEFT(H2,FIND(" ",H2)-1)))</f>
        <v/>
      </c>
      <c r="V2">
        <f>IF(L2="",0,IF(ISNUMBER(SEARCH("Bathroom",L2)),1,0))</f>
        <v>0</v>
      </c>
      <c r="W2">
        <f>IF(L2="",0,IF(ISNUMBER(SEARCH("Dining room",L2)),1,0))</f>
        <v>0</v>
      </c>
      <c r="X2">
        <f>IF(L2="",0,IF(ISNUMBER(SEARCH("Office",L2)),1,0))</f>
        <v>0</v>
      </c>
      <c r="Y2">
        <f>IF(L2="",0,IF(ISNUMBER(SEARCH("Bedroom",L2)),1,0))</f>
        <v>0</v>
      </c>
      <c r="Z2">
        <f>IF(L2="",0,IF(ISNUMBER(SEARCH("Living room",L2)),1,0))</f>
        <v>0</v>
      </c>
      <c r="AA2">
        <f>IF(M2="",0, IF(ISNUMBER(SEARCH("By yourself",M2)), 1, 0))</f>
        <v>0</v>
      </c>
      <c r="AB2">
        <f>IF(M2="", 0, IF(ISNUMBER(SEARCH("Friends", M2)), 1, 0))</f>
        <v>0</v>
      </c>
      <c r="AC2">
        <f>IF(M2="",0,IF(ISNUMBER(SEARCH("Family members", M2)), 1, 0))</f>
        <v>0</v>
      </c>
      <c r="AD2">
        <f>IF(M2="", 0, IF(ISNUMBER(SEARCH("Coworkers/Classmates", M2)), 1, 0))</f>
        <v>0</v>
      </c>
      <c r="AE2">
        <f>IF(M2="", 0, IF(ISNUMBER(SEARCH("Strangers", M2)), 1, 0))</f>
        <v>0</v>
      </c>
      <c r="AF2">
        <f>IF(N2="", 0, IF(ISNUMBER(SEARCH("Spring", N2)), 1, 0))</f>
        <v>0</v>
      </c>
      <c r="AG2">
        <f>IF(N2="", 0, IF(ISNUMBER(SEARCH("Summer", N2)), 1, 0))</f>
        <v>0</v>
      </c>
      <c r="AH2">
        <f>IF(N2="", 0, IF(ISNUMBER(SEARCH("Fall", N2)), 1, 0))</f>
        <v>0</v>
      </c>
      <c r="AI2">
        <f>IF(N2="", 0, IF(ISNUMBER(SEARCH("Winter", N2)), 1, 0))</f>
        <v>0</v>
      </c>
    </row>
    <row r="3" spans="1:35" x14ac:dyDescent="0.2">
      <c r="A3">
        <v>2</v>
      </c>
      <c r="B3" t="s">
        <v>16</v>
      </c>
      <c r="C3">
        <v>5</v>
      </c>
      <c r="D3" t="s">
        <v>17</v>
      </c>
      <c r="E3" t="s">
        <v>18</v>
      </c>
      <c r="F3" t="s">
        <v>19</v>
      </c>
      <c r="G3" t="s">
        <v>20</v>
      </c>
      <c r="H3" t="s">
        <v>21</v>
      </c>
      <c r="I3">
        <v>2</v>
      </c>
      <c r="J3">
        <v>4</v>
      </c>
      <c r="K3">
        <v>0</v>
      </c>
      <c r="L3" t="s">
        <v>22</v>
      </c>
      <c r="M3" t="s">
        <v>23</v>
      </c>
      <c r="N3" t="s">
        <v>24</v>
      </c>
      <c r="O3" t="s">
        <v>25</v>
      </c>
      <c r="P3" t="s">
        <v>26</v>
      </c>
      <c r="Q3">
        <f t="shared" ref="Q3:Q66" si="0">IF(E3="", "", LEFT(E3, 1) * 1)</f>
        <v>4</v>
      </c>
      <c r="R3">
        <f t="shared" ref="R3:R66" si="1">IF(F3="","",VALUE(LEFT(F3,FIND(" ",F3)-1)))</f>
        <v>3</v>
      </c>
      <c r="S3">
        <f t="shared" ref="S3:S66" si="2">IF(G3="","",VALUE(LEFT(G3,FIND(" ",G3)-1)))</f>
        <v>2</v>
      </c>
      <c r="T3">
        <f t="shared" ref="T3:T66" si="3">IF(H3="","",VALUE(LEFT(H3,FIND(" ",H3)-1)))</f>
        <v>1</v>
      </c>
      <c r="U3">
        <v>0</v>
      </c>
      <c r="V3">
        <f t="shared" ref="V3:V66" si="4">IF(L3="",0,IF(ISNUMBER(SEARCH("Bathroom",L3)),1,0))</f>
        <v>1</v>
      </c>
      <c r="W3">
        <f t="shared" ref="W3:W66" si="5">IF(L3="",0,IF(ISNUMBER(SEARCH("Dining room",L3)),1,0))</f>
        <v>0</v>
      </c>
      <c r="X3">
        <f t="shared" ref="X3:X66" si="6">IF(L3="",0,IF(ISNUMBER(SEARCH("Office",L3)),1,0))</f>
        <v>0</v>
      </c>
      <c r="Y3">
        <f t="shared" ref="Y3:Y66" si="7">IF(L3="",0,IF(ISNUMBER(SEARCH("Bedroom",L3)),1,0))</f>
        <v>0</v>
      </c>
      <c r="Z3">
        <f t="shared" ref="Z3:Z66" si="8">IF(L3="",0,IF(ISNUMBER(SEARCH("Living room",L3)),1,0))</f>
        <v>0</v>
      </c>
      <c r="AA3">
        <f t="shared" ref="AA3:AA66" si="9">IF(M3="",0, IF(ISNUMBER(SEARCH("By yourself",M3)), 1, 0))</f>
        <v>1</v>
      </c>
      <c r="AB3">
        <f t="shared" ref="AB3:AB66" si="10">IF(M3="", 0, IF(ISNUMBER(SEARCH("Friends", M3)), 1, 0))</f>
        <v>0</v>
      </c>
      <c r="AC3">
        <f t="shared" ref="AC3:AC66" si="11">IF(M3="",0,IF(ISNUMBER(SEARCH("Family members", M3)), 1, 0))</f>
        <v>0</v>
      </c>
      <c r="AD3">
        <f t="shared" ref="AD3:AD66" si="12">IF(M3="", 0, IF(ISNUMBER(SEARCH("Coworkers/Classmates", M3)), 1, 0))</f>
        <v>0</v>
      </c>
      <c r="AE3">
        <f t="shared" ref="AE3:AE66" si="13">IF(M3="", 0, IF(ISNUMBER(SEARCH("Strangers", M3)), 1, 0))</f>
        <v>0</v>
      </c>
      <c r="AF3">
        <f t="shared" ref="AF3:AF66" si="14">IF(N3="", 0, IF(ISNUMBER(SEARCH("Spring", N3)), 1, 0))</f>
        <v>0</v>
      </c>
      <c r="AG3">
        <f t="shared" ref="AG3:AG66" si="15">IF(N3="", 0, IF(ISNUMBER(SEARCH("Summer", N3)), 1, 0))</f>
        <v>0</v>
      </c>
      <c r="AH3">
        <f t="shared" ref="AH3:AH66" si="16">IF(N3="", 0, IF(ISNUMBER(SEARCH("Fall", N3)), 1, 0))</f>
        <v>1</v>
      </c>
      <c r="AI3">
        <f t="shared" ref="AI3:AI66" si="17">IF(N3="", 0, IF(ISNUMBER(SEARCH("Winter", N3)), 1, 0))</f>
        <v>0</v>
      </c>
    </row>
    <row r="4" spans="1:35" x14ac:dyDescent="0.2">
      <c r="A4">
        <v>3</v>
      </c>
      <c r="B4" t="s">
        <v>16</v>
      </c>
      <c r="C4">
        <v>7</v>
      </c>
      <c r="D4" t="s">
        <v>27</v>
      </c>
      <c r="E4" t="s">
        <v>18</v>
      </c>
      <c r="F4" t="s">
        <v>21</v>
      </c>
      <c r="G4" t="s">
        <v>21</v>
      </c>
      <c r="H4" t="s">
        <v>18</v>
      </c>
      <c r="I4">
        <v>4</v>
      </c>
      <c r="J4">
        <v>3</v>
      </c>
      <c r="K4" s="1">
        <v>5</v>
      </c>
      <c r="L4" t="s">
        <v>28</v>
      </c>
      <c r="M4" t="s">
        <v>29</v>
      </c>
      <c r="N4" t="s">
        <v>24</v>
      </c>
      <c r="O4" t="s">
        <v>30</v>
      </c>
      <c r="P4" t="s">
        <v>31</v>
      </c>
      <c r="Q4">
        <f t="shared" si="0"/>
        <v>4</v>
      </c>
      <c r="R4">
        <f t="shared" si="1"/>
        <v>1</v>
      </c>
      <c r="S4">
        <f t="shared" si="2"/>
        <v>1</v>
      </c>
      <c r="T4">
        <f t="shared" si="3"/>
        <v>4</v>
      </c>
      <c r="U4">
        <v>5</v>
      </c>
      <c r="V4">
        <f t="shared" si="4"/>
        <v>1</v>
      </c>
      <c r="W4">
        <f t="shared" si="5"/>
        <v>1</v>
      </c>
      <c r="X4">
        <f t="shared" si="6"/>
        <v>0</v>
      </c>
      <c r="Y4">
        <f t="shared" si="7"/>
        <v>0</v>
      </c>
      <c r="Z4">
        <f t="shared" si="8"/>
        <v>0</v>
      </c>
      <c r="AA4">
        <f t="shared" si="9"/>
        <v>1</v>
      </c>
      <c r="AB4">
        <f t="shared" si="10"/>
        <v>0</v>
      </c>
      <c r="AC4">
        <f t="shared" si="11"/>
        <v>0</v>
      </c>
      <c r="AD4">
        <f t="shared" si="12"/>
        <v>1</v>
      </c>
      <c r="AE4">
        <f t="shared" si="13"/>
        <v>0</v>
      </c>
      <c r="AF4">
        <f t="shared" si="14"/>
        <v>0</v>
      </c>
      <c r="AG4">
        <f t="shared" si="15"/>
        <v>0</v>
      </c>
      <c r="AH4">
        <f t="shared" si="16"/>
        <v>1</v>
      </c>
      <c r="AI4">
        <f t="shared" si="17"/>
        <v>0</v>
      </c>
    </row>
    <row r="5" spans="1:35" x14ac:dyDescent="0.2">
      <c r="A5">
        <v>4</v>
      </c>
      <c r="B5" t="s">
        <v>16</v>
      </c>
      <c r="C5">
        <v>7</v>
      </c>
      <c r="D5" t="s">
        <v>32</v>
      </c>
      <c r="E5" t="s">
        <v>18</v>
      </c>
      <c r="F5" t="s">
        <v>21</v>
      </c>
      <c r="G5" t="s">
        <v>20</v>
      </c>
      <c r="H5" t="s">
        <v>18</v>
      </c>
      <c r="I5">
        <v>10</v>
      </c>
      <c r="J5">
        <v>7</v>
      </c>
      <c r="K5" t="s">
        <v>33</v>
      </c>
      <c r="L5" t="s">
        <v>34</v>
      </c>
      <c r="M5" t="s">
        <v>35</v>
      </c>
      <c r="N5" t="s">
        <v>36</v>
      </c>
      <c r="O5" t="s">
        <v>33</v>
      </c>
      <c r="P5" t="s">
        <v>37</v>
      </c>
      <c r="Q5">
        <f t="shared" si="0"/>
        <v>4</v>
      </c>
      <c r="R5">
        <f t="shared" si="1"/>
        <v>1</v>
      </c>
      <c r="S5">
        <f t="shared" si="2"/>
        <v>2</v>
      </c>
      <c r="T5">
        <f t="shared" si="3"/>
        <v>4</v>
      </c>
      <c r="V5">
        <f t="shared" si="4"/>
        <v>1</v>
      </c>
      <c r="W5">
        <f t="shared" si="5"/>
        <v>0</v>
      </c>
      <c r="X5">
        <f t="shared" si="6"/>
        <v>0</v>
      </c>
      <c r="Y5">
        <f t="shared" si="7"/>
        <v>1</v>
      </c>
      <c r="Z5">
        <f t="shared" si="8"/>
        <v>0</v>
      </c>
      <c r="AA5">
        <f t="shared" si="9"/>
        <v>0</v>
      </c>
      <c r="AB5">
        <f t="shared" si="10"/>
        <v>0</v>
      </c>
      <c r="AC5">
        <f t="shared" si="11"/>
        <v>0</v>
      </c>
      <c r="AD5">
        <f t="shared" si="12"/>
        <v>1</v>
      </c>
      <c r="AE5">
        <f t="shared" si="13"/>
        <v>0</v>
      </c>
      <c r="AF5">
        <f t="shared" si="14"/>
        <v>0</v>
      </c>
      <c r="AG5">
        <f t="shared" si="15"/>
        <v>0</v>
      </c>
      <c r="AH5">
        <f t="shared" si="16"/>
        <v>0</v>
      </c>
      <c r="AI5">
        <f t="shared" si="17"/>
        <v>1</v>
      </c>
    </row>
    <row r="6" spans="1:35" x14ac:dyDescent="0.2">
      <c r="A6">
        <v>5</v>
      </c>
      <c r="B6" t="s">
        <v>16</v>
      </c>
      <c r="C6">
        <v>7</v>
      </c>
      <c r="D6" t="s">
        <v>38</v>
      </c>
      <c r="E6" t="s">
        <v>19</v>
      </c>
      <c r="F6" t="s">
        <v>18</v>
      </c>
      <c r="G6" t="s">
        <v>39</v>
      </c>
      <c r="H6" t="s">
        <v>19</v>
      </c>
      <c r="I6">
        <v>4</v>
      </c>
      <c r="J6">
        <v>6</v>
      </c>
      <c r="K6" t="s">
        <v>40</v>
      </c>
      <c r="L6" t="s">
        <v>41</v>
      </c>
      <c r="M6" t="s">
        <v>42</v>
      </c>
      <c r="N6" t="s">
        <v>43</v>
      </c>
      <c r="O6" t="s">
        <v>44</v>
      </c>
      <c r="P6" t="s">
        <v>45</v>
      </c>
      <c r="Q6">
        <f t="shared" si="0"/>
        <v>3</v>
      </c>
      <c r="R6">
        <f t="shared" si="1"/>
        <v>4</v>
      </c>
      <c r="S6">
        <f t="shared" si="2"/>
        <v>5</v>
      </c>
      <c r="T6">
        <f t="shared" si="3"/>
        <v>3</v>
      </c>
      <c r="U6">
        <v>300</v>
      </c>
      <c r="V6">
        <f t="shared" si="4"/>
        <v>0</v>
      </c>
      <c r="W6">
        <f t="shared" si="5"/>
        <v>0</v>
      </c>
      <c r="X6">
        <f t="shared" si="6"/>
        <v>0</v>
      </c>
      <c r="Y6">
        <f t="shared" si="7"/>
        <v>0</v>
      </c>
      <c r="Z6">
        <f t="shared" si="8"/>
        <v>1</v>
      </c>
      <c r="AA6">
        <f t="shared" si="9"/>
        <v>0</v>
      </c>
      <c r="AB6">
        <f t="shared" si="10"/>
        <v>1</v>
      </c>
      <c r="AC6">
        <f t="shared" si="11"/>
        <v>0</v>
      </c>
      <c r="AD6">
        <f t="shared" si="12"/>
        <v>0</v>
      </c>
      <c r="AE6">
        <f t="shared" si="13"/>
        <v>0</v>
      </c>
      <c r="AF6">
        <f t="shared" si="14"/>
        <v>1</v>
      </c>
      <c r="AG6">
        <f t="shared" si="15"/>
        <v>1</v>
      </c>
      <c r="AH6">
        <f t="shared" si="16"/>
        <v>0</v>
      </c>
      <c r="AI6">
        <f t="shared" si="17"/>
        <v>0</v>
      </c>
    </row>
    <row r="7" spans="1:35" x14ac:dyDescent="0.2">
      <c r="A7">
        <v>6</v>
      </c>
      <c r="B7" t="s">
        <v>16</v>
      </c>
      <c r="C7">
        <v>7</v>
      </c>
      <c r="D7" t="s">
        <v>46</v>
      </c>
      <c r="E7" t="s">
        <v>18</v>
      </c>
      <c r="F7" t="s">
        <v>20</v>
      </c>
      <c r="G7" t="s">
        <v>21</v>
      </c>
      <c r="H7" t="s">
        <v>39</v>
      </c>
      <c r="I7">
        <v>5</v>
      </c>
      <c r="J7">
        <v>6</v>
      </c>
      <c r="K7">
        <v>90000</v>
      </c>
      <c r="L7" t="s">
        <v>47</v>
      </c>
      <c r="M7" t="s">
        <v>48</v>
      </c>
      <c r="N7" t="s">
        <v>49</v>
      </c>
      <c r="O7" t="s">
        <v>50</v>
      </c>
      <c r="P7" t="s">
        <v>51</v>
      </c>
      <c r="Q7">
        <f t="shared" si="0"/>
        <v>4</v>
      </c>
      <c r="R7">
        <f t="shared" si="1"/>
        <v>2</v>
      </c>
      <c r="S7">
        <f t="shared" si="2"/>
        <v>1</v>
      </c>
      <c r="T7">
        <f t="shared" si="3"/>
        <v>5</v>
      </c>
      <c r="U7">
        <v>90000</v>
      </c>
      <c r="V7">
        <f t="shared" si="4"/>
        <v>0</v>
      </c>
      <c r="W7">
        <f t="shared" si="5"/>
        <v>0</v>
      </c>
      <c r="X7">
        <f t="shared" si="6"/>
        <v>1</v>
      </c>
      <c r="Y7">
        <f t="shared" si="7"/>
        <v>0</v>
      </c>
      <c r="Z7">
        <f t="shared" si="8"/>
        <v>1</v>
      </c>
      <c r="AA7">
        <f t="shared" si="9"/>
        <v>1</v>
      </c>
      <c r="AB7">
        <f t="shared" si="10"/>
        <v>1</v>
      </c>
      <c r="AC7">
        <f t="shared" si="11"/>
        <v>1</v>
      </c>
      <c r="AD7">
        <f t="shared" si="12"/>
        <v>0</v>
      </c>
      <c r="AE7">
        <f t="shared" si="13"/>
        <v>0</v>
      </c>
      <c r="AF7">
        <f t="shared" si="14"/>
        <v>0</v>
      </c>
      <c r="AG7">
        <f t="shared" si="15"/>
        <v>1</v>
      </c>
      <c r="AH7">
        <f t="shared" si="16"/>
        <v>1</v>
      </c>
      <c r="AI7">
        <f t="shared" si="17"/>
        <v>0</v>
      </c>
    </row>
    <row r="8" spans="1:35" x14ac:dyDescent="0.2">
      <c r="A8">
        <v>7</v>
      </c>
      <c r="B8" t="s">
        <v>16</v>
      </c>
      <c r="C8">
        <v>8</v>
      </c>
      <c r="D8" t="s">
        <v>52</v>
      </c>
      <c r="E8" t="s">
        <v>18</v>
      </c>
      <c r="F8" t="s">
        <v>20</v>
      </c>
      <c r="G8" t="s">
        <v>20</v>
      </c>
      <c r="H8" t="s">
        <v>18</v>
      </c>
      <c r="I8">
        <v>3</v>
      </c>
      <c r="J8">
        <v>3</v>
      </c>
      <c r="K8">
        <v>0</v>
      </c>
      <c r="L8" t="s">
        <v>53</v>
      </c>
      <c r="M8" t="s">
        <v>23</v>
      </c>
      <c r="N8" t="s">
        <v>36</v>
      </c>
      <c r="O8" t="s">
        <v>54</v>
      </c>
      <c r="P8" t="s">
        <v>55</v>
      </c>
      <c r="Q8">
        <f t="shared" si="0"/>
        <v>4</v>
      </c>
      <c r="R8">
        <f t="shared" si="1"/>
        <v>2</v>
      </c>
      <c r="S8">
        <f t="shared" si="2"/>
        <v>2</v>
      </c>
      <c r="T8">
        <f t="shared" si="3"/>
        <v>4</v>
      </c>
      <c r="U8">
        <v>0</v>
      </c>
      <c r="V8">
        <f t="shared" si="4"/>
        <v>0</v>
      </c>
      <c r="W8">
        <f t="shared" si="5"/>
        <v>0</v>
      </c>
      <c r="X8">
        <f t="shared" si="6"/>
        <v>1</v>
      </c>
      <c r="Y8">
        <f t="shared" si="7"/>
        <v>0</v>
      </c>
      <c r="Z8">
        <f t="shared" si="8"/>
        <v>0</v>
      </c>
      <c r="AA8">
        <f t="shared" si="9"/>
        <v>1</v>
      </c>
      <c r="AB8">
        <f t="shared" si="10"/>
        <v>0</v>
      </c>
      <c r="AC8">
        <f t="shared" si="11"/>
        <v>0</v>
      </c>
      <c r="AD8">
        <f t="shared" si="12"/>
        <v>0</v>
      </c>
      <c r="AE8">
        <f t="shared" si="13"/>
        <v>0</v>
      </c>
      <c r="AF8">
        <f t="shared" si="14"/>
        <v>0</v>
      </c>
      <c r="AG8">
        <f t="shared" si="15"/>
        <v>0</v>
      </c>
      <c r="AH8">
        <f t="shared" si="16"/>
        <v>0</v>
      </c>
      <c r="AI8">
        <f t="shared" si="17"/>
        <v>1</v>
      </c>
    </row>
    <row r="9" spans="1:35" x14ac:dyDescent="0.2">
      <c r="A9">
        <v>8</v>
      </c>
      <c r="B9" t="s">
        <v>16</v>
      </c>
      <c r="C9">
        <v>4</v>
      </c>
      <c r="D9" t="s">
        <v>56</v>
      </c>
      <c r="E9" t="s">
        <v>18</v>
      </c>
      <c r="F9" t="s">
        <v>20</v>
      </c>
      <c r="G9" t="s">
        <v>20</v>
      </c>
      <c r="H9" t="s">
        <v>18</v>
      </c>
      <c r="I9">
        <v>7</v>
      </c>
      <c r="J9">
        <v>8</v>
      </c>
      <c r="K9">
        <v>150</v>
      </c>
      <c r="L9" t="s">
        <v>53</v>
      </c>
      <c r="M9" t="s">
        <v>23</v>
      </c>
      <c r="N9" t="s">
        <v>36</v>
      </c>
      <c r="O9" t="s">
        <v>57</v>
      </c>
      <c r="P9" t="s">
        <v>58</v>
      </c>
      <c r="Q9">
        <f t="shared" si="0"/>
        <v>4</v>
      </c>
      <c r="R9">
        <f t="shared" si="1"/>
        <v>2</v>
      </c>
      <c r="S9">
        <f t="shared" si="2"/>
        <v>2</v>
      </c>
      <c r="T9">
        <f t="shared" si="3"/>
        <v>4</v>
      </c>
      <c r="U9">
        <v>150</v>
      </c>
      <c r="V9">
        <f t="shared" si="4"/>
        <v>0</v>
      </c>
      <c r="W9">
        <f t="shared" si="5"/>
        <v>0</v>
      </c>
      <c r="X9">
        <f t="shared" si="6"/>
        <v>1</v>
      </c>
      <c r="Y9">
        <f t="shared" si="7"/>
        <v>0</v>
      </c>
      <c r="Z9">
        <f t="shared" si="8"/>
        <v>0</v>
      </c>
      <c r="AA9">
        <f t="shared" si="9"/>
        <v>1</v>
      </c>
      <c r="AB9">
        <f t="shared" si="10"/>
        <v>0</v>
      </c>
      <c r="AC9">
        <f t="shared" si="11"/>
        <v>0</v>
      </c>
      <c r="AD9">
        <f t="shared" si="12"/>
        <v>0</v>
      </c>
      <c r="AE9">
        <f t="shared" si="13"/>
        <v>0</v>
      </c>
      <c r="AF9">
        <f t="shared" si="14"/>
        <v>0</v>
      </c>
      <c r="AG9">
        <f t="shared" si="15"/>
        <v>0</v>
      </c>
      <c r="AH9">
        <f t="shared" si="16"/>
        <v>0</v>
      </c>
      <c r="AI9">
        <f t="shared" si="17"/>
        <v>1</v>
      </c>
    </row>
    <row r="10" spans="1:35" x14ac:dyDescent="0.2">
      <c r="A10">
        <v>9</v>
      </c>
      <c r="B10" t="s">
        <v>16</v>
      </c>
      <c r="C10">
        <v>8</v>
      </c>
      <c r="D10" t="s">
        <v>59</v>
      </c>
      <c r="E10" t="s">
        <v>39</v>
      </c>
      <c r="F10" t="s">
        <v>20</v>
      </c>
      <c r="G10" t="s">
        <v>20</v>
      </c>
      <c r="H10" t="s">
        <v>18</v>
      </c>
      <c r="I10">
        <v>3</v>
      </c>
      <c r="J10">
        <v>4</v>
      </c>
      <c r="K10">
        <v>20</v>
      </c>
      <c r="L10" t="s">
        <v>53</v>
      </c>
      <c r="M10" t="s">
        <v>42</v>
      </c>
      <c r="N10" t="s">
        <v>24</v>
      </c>
      <c r="O10" t="s">
        <v>60</v>
      </c>
      <c r="P10" t="s">
        <v>61</v>
      </c>
      <c r="Q10">
        <f t="shared" si="0"/>
        <v>5</v>
      </c>
      <c r="R10">
        <f t="shared" si="1"/>
        <v>2</v>
      </c>
      <c r="S10">
        <f t="shared" si="2"/>
        <v>2</v>
      </c>
      <c r="T10">
        <f t="shared" si="3"/>
        <v>4</v>
      </c>
      <c r="U10">
        <v>20</v>
      </c>
      <c r="V10">
        <f t="shared" si="4"/>
        <v>0</v>
      </c>
      <c r="W10">
        <f t="shared" si="5"/>
        <v>0</v>
      </c>
      <c r="X10">
        <f t="shared" si="6"/>
        <v>1</v>
      </c>
      <c r="Y10">
        <f t="shared" si="7"/>
        <v>0</v>
      </c>
      <c r="Z10">
        <f t="shared" si="8"/>
        <v>0</v>
      </c>
      <c r="AA10">
        <f t="shared" si="9"/>
        <v>0</v>
      </c>
      <c r="AB10">
        <f t="shared" si="10"/>
        <v>1</v>
      </c>
      <c r="AC10">
        <f t="shared" si="11"/>
        <v>0</v>
      </c>
      <c r="AD10">
        <f t="shared" si="12"/>
        <v>0</v>
      </c>
      <c r="AE10">
        <f t="shared" si="13"/>
        <v>0</v>
      </c>
      <c r="AF10">
        <f t="shared" si="14"/>
        <v>0</v>
      </c>
      <c r="AG10">
        <f t="shared" si="15"/>
        <v>0</v>
      </c>
      <c r="AH10">
        <f t="shared" si="16"/>
        <v>1</v>
      </c>
      <c r="AI10">
        <f t="shared" si="17"/>
        <v>0</v>
      </c>
    </row>
    <row r="11" spans="1:35" x14ac:dyDescent="0.2">
      <c r="A11">
        <v>10</v>
      </c>
      <c r="B11" t="s">
        <v>16</v>
      </c>
      <c r="C11">
        <v>10</v>
      </c>
      <c r="D11" t="s">
        <v>62</v>
      </c>
      <c r="E11" t="s">
        <v>39</v>
      </c>
      <c r="F11" t="s">
        <v>19</v>
      </c>
      <c r="G11" t="s">
        <v>21</v>
      </c>
      <c r="H11" t="s">
        <v>39</v>
      </c>
      <c r="I11">
        <v>3</v>
      </c>
      <c r="J11">
        <v>5</v>
      </c>
      <c r="K11">
        <v>100000000</v>
      </c>
      <c r="L11" t="s">
        <v>41</v>
      </c>
      <c r="M11" t="s">
        <v>48</v>
      </c>
      <c r="N11" t="s">
        <v>24</v>
      </c>
      <c r="O11" t="s">
        <v>63</v>
      </c>
      <c r="P11" t="s">
        <v>64</v>
      </c>
      <c r="Q11">
        <f t="shared" si="0"/>
        <v>5</v>
      </c>
      <c r="R11">
        <f t="shared" si="1"/>
        <v>3</v>
      </c>
      <c r="S11">
        <f t="shared" si="2"/>
        <v>1</v>
      </c>
      <c r="T11">
        <f t="shared" si="3"/>
        <v>5</v>
      </c>
      <c r="U11">
        <v>100000000</v>
      </c>
      <c r="V11">
        <f t="shared" si="4"/>
        <v>0</v>
      </c>
      <c r="W11">
        <f t="shared" si="5"/>
        <v>0</v>
      </c>
      <c r="X11">
        <f t="shared" si="6"/>
        <v>0</v>
      </c>
      <c r="Y11">
        <f t="shared" si="7"/>
        <v>0</v>
      </c>
      <c r="Z11">
        <f t="shared" si="8"/>
        <v>1</v>
      </c>
      <c r="AA11">
        <f t="shared" si="9"/>
        <v>1</v>
      </c>
      <c r="AB11">
        <f t="shared" si="10"/>
        <v>1</v>
      </c>
      <c r="AC11">
        <f t="shared" si="11"/>
        <v>1</v>
      </c>
      <c r="AD11">
        <f t="shared" si="12"/>
        <v>0</v>
      </c>
      <c r="AE11">
        <f t="shared" si="13"/>
        <v>0</v>
      </c>
      <c r="AF11">
        <f t="shared" si="14"/>
        <v>0</v>
      </c>
      <c r="AG11">
        <f t="shared" si="15"/>
        <v>0</v>
      </c>
      <c r="AH11">
        <f t="shared" si="16"/>
        <v>1</v>
      </c>
      <c r="AI11">
        <f t="shared" si="17"/>
        <v>0</v>
      </c>
    </row>
    <row r="12" spans="1:35" x14ac:dyDescent="0.2">
      <c r="A12">
        <v>11</v>
      </c>
      <c r="B12" t="s">
        <v>16</v>
      </c>
      <c r="C12">
        <v>7</v>
      </c>
      <c r="D12" t="s">
        <v>65</v>
      </c>
      <c r="E12" t="s">
        <v>18</v>
      </c>
      <c r="F12" t="s">
        <v>20</v>
      </c>
      <c r="G12" t="s">
        <v>18</v>
      </c>
      <c r="H12" t="s">
        <v>19</v>
      </c>
      <c r="I12">
        <v>3</v>
      </c>
      <c r="J12">
        <v>5</v>
      </c>
      <c r="K12">
        <v>400</v>
      </c>
      <c r="L12" t="s">
        <v>66</v>
      </c>
      <c r="M12" t="s">
        <v>23</v>
      </c>
      <c r="N12" t="s">
        <v>24</v>
      </c>
      <c r="O12" t="s">
        <v>67</v>
      </c>
      <c r="P12" t="s">
        <v>68</v>
      </c>
      <c r="Q12">
        <f t="shared" si="0"/>
        <v>4</v>
      </c>
      <c r="R12">
        <f t="shared" si="1"/>
        <v>2</v>
      </c>
      <c r="S12">
        <f t="shared" si="2"/>
        <v>4</v>
      </c>
      <c r="T12">
        <f t="shared" si="3"/>
        <v>3</v>
      </c>
      <c r="U12">
        <v>400</v>
      </c>
      <c r="V12">
        <f t="shared" si="4"/>
        <v>0</v>
      </c>
      <c r="W12">
        <f t="shared" si="5"/>
        <v>1</v>
      </c>
      <c r="X12">
        <f t="shared" si="6"/>
        <v>1</v>
      </c>
      <c r="Y12">
        <f t="shared" si="7"/>
        <v>0</v>
      </c>
      <c r="Z12">
        <f t="shared" si="8"/>
        <v>0</v>
      </c>
      <c r="AA12">
        <f t="shared" si="9"/>
        <v>1</v>
      </c>
      <c r="AB12">
        <f t="shared" si="10"/>
        <v>0</v>
      </c>
      <c r="AC12">
        <f t="shared" si="11"/>
        <v>0</v>
      </c>
      <c r="AD12">
        <f t="shared" si="12"/>
        <v>0</v>
      </c>
      <c r="AE12">
        <f t="shared" si="13"/>
        <v>0</v>
      </c>
      <c r="AF12">
        <f t="shared" si="14"/>
        <v>0</v>
      </c>
      <c r="AG12">
        <f t="shared" si="15"/>
        <v>0</v>
      </c>
      <c r="AH12">
        <f t="shared" si="16"/>
        <v>1</v>
      </c>
      <c r="AI12">
        <f t="shared" si="17"/>
        <v>0</v>
      </c>
    </row>
    <row r="13" spans="1:35" x14ac:dyDescent="0.2">
      <c r="A13">
        <v>12</v>
      </c>
      <c r="B13" t="s">
        <v>16</v>
      </c>
      <c r="C13">
        <v>8</v>
      </c>
      <c r="D13" t="s">
        <v>69</v>
      </c>
      <c r="E13" t="s">
        <v>19</v>
      </c>
      <c r="F13" t="s">
        <v>20</v>
      </c>
      <c r="G13" t="s">
        <v>19</v>
      </c>
      <c r="H13" t="s">
        <v>19</v>
      </c>
      <c r="I13">
        <v>3</v>
      </c>
      <c r="J13">
        <v>3</v>
      </c>
      <c r="K13">
        <v>1000</v>
      </c>
      <c r="L13" t="s">
        <v>70</v>
      </c>
      <c r="M13" t="s">
        <v>48</v>
      </c>
      <c r="N13" t="s">
        <v>24</v>
      </c>
      <c r="O13" t="s">
        <v>71</v>
      </c>
      <c r="P13" t="s">
        <v>72</v>
      </c>
      <c r="Q13">
        <f t="shared" si="0"/>
        <v>3</v>
      </c>
      <c r="R13">
        <f t="shared" si="1"/>
        <v>2</v>
      </c>
      <c r="S13">
        <f t="shared" si="2"/>
        <v>3</v>
      </c>
      <c r="T13">
        <f t="shared" si="3"/>
        <v>3</v>
      </c>
      <c r="U13">
        <v>1000</v>
      </c>
      <c r="V13">
        <f t="shared" si="4"/>
        <v>0</v>
      </c>
      <c r="W13">
        <f t="shared" si="5"/>
        <v>0</v>
      </c>
      <c r="X13">
        <f t="shared" si="6"/>
        <v>0</v>
      </c>
      <c r="Y13">
        <f t="shared" si="7"/>
        <v>1</v>
      </c>
      <c r="Z13">
        <f t="shared" si="8"/>
        <v>0</v>
      </c>
      <c r="AA13">
        <f t="shared" si="9"/>
        <v>1</v>
      </c>
      <c r="AB13">
        <f t="shared" si="10"/>
        <v>1</v>
      </c>
      <c r="AC13">
        <f t="shared" si="11"/>
        <v>1</v>
      </c>
      <c r="AD13">
        <f t="shared" si="12"/>
        <v>0</v>
      </c>
      <c r="AE13">
        <f t="shared" si="13"/>
        <v>0</v>
      </c>
      <c r="AF13">
        <f t="shared" si="14"/>
        <v>0</v>
      </c>
      <c r="AG13">
        <f t="shared" si="15"/>
        <v>0</v>
      </c>
      <c r="AH13">
        <f t="shared" si="16"/>
        <v>1</v>
      </c>
      <c r="AI13">
        <f t="shared" si="17"/>
        <v>0</v>
      </c>
    </row>
    <row r="14" spans="1:35" x14ac:dyDescent="0.2">
      <c r="A14">
        <v>13</v>
      </c>
      <c r="B14" t="s">
        <v>16</v>
      </c>
      <c r="C14">
        <v>7</v>
      </c>
      <c r="D14" t="s">
        <v>73</v>
      </c>
      <c r="E14" t="s">
        <v>39</v>
      </c>
      <c r="F14" t="s">
        <v>21</v>
      </c>
      <c r="G14" t="s">
        <v>20</v>
      </c>
      <c r="H14" t="s">
        <v>39</v>
      </c>
      <c r="I14">
        <v>7</v>
      </c>
      <c r="J14">
        <v>8</v>
      </c>
      <c r="K14" t="s">
        <v>74</v>
      </c>
      <c r="L14" t="s">
        <v>75</v>
      </c>
      <c r="M14" t="s">
        <v>48</v>
      </c>
      <c r="N14" t="s">
        <v>24</v>
      </c>
      <c r="O14" t="s">
        <v>76</v>
      </c>
      <c r="P14" t="s">
        <v>77</v>
      </c>
      <c r="Q14">
        <f t="shared" si="0"/>
        <v>5</v>
      </c>
      <c r="R14">
        <f t="shared" si="1"/>
        <v>1</v>
      </c>
      <c r="S14">
        <f t="shared" si="2"/>
        <v>2</v>
      </c>
      <c r="T14">
        <f t="shared" si="3"/>
        <v>5</v>
      </c>
      <c r="U14">
        <v>5000000</v>
      </c>
      <c r="V14">
        <f t="shared" si="4"/>
        <v>0</v>
      </c>
      <c r="W14">
        <f t="shared" si="5"/>
        <v>0</v>
      </c>
      <c r="X14">
        <f t="shared" si="6"/>
        <v>1</v>
      </c>
      <c r="Y14">
        <f t="shared" si="7"/>
        <v>1</v>
      </c>
      <c r="Z14">
        <f t="shared" si="8"/>
        <v>0</v>
      </c>
      <c r="AA14">
        <f t="shared" si="9"/>
        <v>1</v>
      </c>
      <c r="AB14">
        <f t="shared" si="10"/>
        <v>1</v>
      </c>
      <c r="AC14">
        <f t="shared" si="11"/>
        <v>1</v>
      </c>
      <c r="AD14">
        <f t="shared" si="12"/>
        <v>0</v>
      </c>
      <c r="AE14">
        <f t="shared" si="13"/>
        <v>0</v>
      </c>
      <c r="AF14">
        <f t="shared" si="14"/>
        <v>0</v>
      </c>
      <c r="AG14">
        <f t="shared" si="15"/>
        <v>0</v>
      </c>
      <c r="AH14">
        <f t="shared" si="16"/>
        <v>1</v>
      </c>
      <c r="AI14">
        <f t="shared" si="17"/>
        <v>0</v>
      </c>
    </row>
    <row r="15" spans="1:35" x14ac:dyDescent="0.2">
      <c r="A15">
        <v>14</v>
      </c>
      <c r="B15" t="s">
        <v>16</v>
      </c>
      <c r="C15">
        <v>6</v>
      </c>
      <c r="D15" t="s">
        <v>78</v>
      </c>
      <c r="E15" t="s">
        <v>18</v>
      </c>
      <c r="F15" t="s">
        <v>19</v>
      </c>
      <c r="G15" t="s">
        <v>18</v>
      </c>
      <c r="H15" t="s">
        <v>18</v>
      </c>
      <c r="I15">
        <v>5</v>
      </c>
      <c r="J15">
        <v>3</v>
      </c>
      <c r="K15">
        <v>100000</v>
      </c>
      <c r="L15" t="s">
        <v>79</v>
      </c>
      <c r="M15" t="s">
        <v>80</v>
      </c>
      <c r="N15" t="s">
        <v>49</v>
      </c>
      <c r="O15" t="s">
        <v>81</v>
      </c>
      <c r="P15" t="s">
        <v>82</v>
      </c>
      <c r="Q15">
        <f t="shared" si="0"/>
        <v>4</v>
      </c>
      <c r="R15">
        <f t="shared" si="1"/>
        <v>3</v>
      </c>
      <c r="S15">
        <f t="shared" si="2"/>
        <v>4</v>
      </c>
      <c r="T15">
        <f t="shared" si="3"/>
        <v>4</v>
      </c>
      <c r="U15">
        <v>100000</v>
      </c>
      <c r="V15">
        <f t="shared" si="4"/>
        <v>0</v>
      </c>
      <c r="W15">
        <f t="shared" si="5"/>
        <v>1</v>
      </c>
      <c r="X15">
        <f t="shared" si="6"/>
        <v>0</v>
      </c>
      <c r="Y15">
        <f t="shared" si="7"/>
        <v>0</v>
      </c>
      <c r="Z15">
        <f t="shared" si="8"/>
        <v>1</v>
      </c>
      <c r="AA15">
        <f t="shared" si="9"/>
        <v>1</v>
      </c>
      <c r="AB15">
        <f t="shared" si="10"/>
        <v>1</v>
      </c>
      <c r="AC15">
        <f t="shared" si="11"/>
        <v>0</v>
      </c>
      <c r="AD15">
        <f t="shared" si="12"/>
        <v>0</v>
      </c>
      <c r="AE15">
        <f t="shared" si="13"/>
        <v>1</v>
      </c>
      <c r="AF15">
        <f t="shared" si="14"/>
        <v>0</v>
      </c>
      <c r="AG15">
        <f t="shared" si="15"/>
        <v>1</v>
      </c>
      <c r="AH15">
        <f t="shared" si="16"/>
        <v>1</v>
      </c>
      <c r="AI15">
        <f t="shared" si="17"/>
        <v>0</v>
      </c>
    </row>
    <row r="16" spans="1:35" x14ac:dyDescent="0.2">
      <c r="A16">
        <v>15</v>
      </c>
      <c r="B16" t="s">
        <v>16</v>
      </c>
      <c r="C16">
        <v>3</v>
      </c>
      <c r="D16" t="s">
        <v>83</v>
      </c>
      <c r="E16" t="s">
        <v>18</v>
      </c>
      <c r="F16" t="s">
        <v>19</v>
      </c>
      <c r="G16" t="s">
        <v>18</v>
      </c>
      <c r="H16" t="s">
        <v>21</v>
      </c>
      <c r="I16">
        <v>3</v>
      </c>
      <c r="J16">
        <v>5</v>
      </c>
      <c r="K16">
        <v>5000</v>
      </c>
      <c r="L16" t="s">
        <v>53</v>
      </c>
      <c r="M16" t="s">
        <v>23</v>
      </c>
      <c r="N16" t="s">
        <v>84</v>
      </c>
      <c r="O16" t="s">
        <v>85</v>
      </c>
      <c r="P16" t="s">
        <v>86</v>
      </c>
      <c r="Q16">
        <f t="shared" si="0"/>
        <v>4</v>
      </c>
      <c r="R16">
        <f t="shared" si="1"/>
        <v>3</v>
      </c>
      <c r="S16">
        <f t="shared" si="2"/>
        <v>4</v>
      </c>
      <c r="T16">
        <f t="shared" si="3"/>
        <v>1</v>
      </c>
      <c r="U16">
        <v>5000</v>
      </c>
      <c r="V16">
        <f t="shared" si="4"/>
        <v>0</v>
      </c>
      <c r="W16">
        <f t="shared" si="5"/>
        <v>0</v>
      </c>
      <c r="X16">
        <f t="shared" si="6"/>
        <v>1</v>
      </c>
      <c r="Y16">
        <f t="shared" si="7"/>
        <v>0</v>
      </c>
      <c r="Z16">
        <f t="shared" si="8"/>
        <v>0</v>
      </c>
      <c r="AA16">
        <f t="shared" si="9"/>
        <v>1</v>
      </c>
      <c r="AB16">
        <f t="shared" si="10"/>
        <v>0</v>
      </c>
      <c r="AC16">
        <f t="shared" si="11"/>
        <v>0</v>
      </c>
      <c r="AD16">
        <f t="shared" si="12"/>
        <v>0</v>
      </c>
      <c r="AE16">
        <f t="shared" si="13"/>
        <v>0</v>
      </c>
      <c r="AF16">
        <f t="shared" si="14"/>
        <v>0</v>
      </c>
      <c r="AG16">
        <f t="shared" si="15"/>
        <v>1</v>
      </c>
      <c r="AH16">
        <f t="shared" si="16"/>
        <v>0</v>
      </c>
      <c r="AI16">
        <f t="shared" si="17"/>
        <v>0</v>
      </c>
    </row>
    <row r="17" spans="1:35" x14ac:dyDescent="0.2">
      <c r="A17">
        <v>16</v>
      </c>
      <c r="B17" t="s">
        <v>16</v>
      </c>
      <c r="C17">
        <v>8</v>
      </c>
      <c r="D17" t="s">
        <v>87</v>
      </c>
      <c r="E17" t="s">
        <v>18</v>
      </c>
      <c r="F17" t="s">
        <v>19</v>
      </c>
      <c r="G17" t="s">
        <v>18</v>
      </c>
      <c r="H17" t="s">
        <v>20</v>
      </c>
      <c r="I17">
        <v>4</v>
      </c>
      <c r="J17">
        <v>4</v>
      </c>
      <c r="K17">
        <v>1500000</v>
      </c>
      <c r="L17" t="s">
        <v>41</v>
      </c>
      <c r="M17" t="s">
        <v>23</v>
      </c>
      <c r="N17" t="s">
        <v>24</v>
      </c>
      <c r="O17" t="s">
        <v>88</v>
      </c>
      <c r="P17" t="s">
        <v>89</v>
      </c>
      <c r="Q17">
        <f t="shared" si="0"/>
        <v>4</v>
      </c>
      <c r="R17">
        <f t="shared" si="1"/>
        <v>3</v>
      </c>
      <c r="S17">
        <f t="shared" si="2"/>
        <v>4</v>
      </c>
      <c r="T17">
        <f t="shared" si="3"/>
        <v>2</v>
      </c>
      <c r="U17">
        <v>1500000</v>
      </c>
      <c r="V17">
        <f t="shared" si="4"/>
        <v>0</v>
      </c>
      <c r="W17">
        <f t="shared" si="5"/>
        <v>0</v>
      </c>
      <c r="X17">
        <f t="shared" si="6"/>
        <v>0</v>
      </c>
      <c r="Y17">
        <f t="shared" si="7"/>
        <v>0</v>
      </c>
      <c r="Z17">
        <f t="shared" si="8"/>
        <v>1</v>
      </c>
      <c r="AA17">
        <f t="shared" si="9"/>
        <v>1</v>
      </c>
      <c r="AB17">
        <f t="shared" si="10"/>
        <v>0</v>
      </c>
      <c r="AC17">
        <f t="shared" si="11"/>
        <v>0</v>
      </c>
      <c r="AD17">
        <f t="shared" si="12"/>
        <v>0</v>
      </c>
      <c r="AE17">
        <f t="shared" si="13"/>
        <v>0</v>
      </c>
      <c r="AF17">
        <f t="shared" si="14"/>
        <v>0</v>
      </c>
      <c r="AG17">
        <f t="shared" si="15"/>
        <v>0</v>
      </c>
      <c r="AH17">
        <f t="shared" si="16"/>
        <v>1</v>
      </c>
      <c r="AI17">
        <f t="shared" si="17"/>
        <v>0</v>
      </c>
    </row>
    <row r="18" spans="1:35" x14ac:dyDescent="0.2">
      <c r="A18">
        <v>17</v>
      </c>
      <c r="B18" t="s">
        <v>16</v>
      </c>
      <c r="C18">
        <v>8</v>
      </c>
      <c r="D18" t="s">
        <v>90</v>
      </c>
      <c r="E18" t="s">
        <v>18</v>
      </c>
      <c r="F18" t="s">
        <v>20</v>
      </c>
      <c r="G18" t="s">
        <v>20</v>
      </c>
      <c r="H18" t="s">
        <v>18</v>
      </c>
      <c r="I18">
        <v>5</v>
      </c>
      <c r="J18">
        <v>6</v>
      </c>
      <c r="K18">
        <v>50</v>
      </c>
      <c r="L18" t="s">
        <v>53</v>
      </c>
      <c r="M18" t="s">
        <v>23</v>
      </c>
      <c r="N18" t="s">
        <v>84</v>
      </c>
      <c r="O18" t="s">
        <v>91</v>
      </c>
      <c r="P18" t="s">
        <v>92</v>
      </c>
      <c r="Q18">
        <f t="shared" si="0"/>
        <v>4</v>
      </c>
      <c r="R18">
        <f t="shared" si="1"/>
        <v>2</v>
      </c>
      <c r="S18">
        <f t="shared" si="2"/>
        <v>2</v>
      </c>
      <c r="T18">
        <f t="shared" si="3"/>
        <v>4</v>
      </c>
      <c r="U18">
        <v>50</v>
      </c>
      <c r="V18">
        <f t="shared" si="4"/>
        <v>0</v>
      </c>
      <c r="W18">
        <f t="shared" si="5"/>
        <v>0</v>
      </c>
      <c r="X18">
        <f t="shared" si="6"/>
        <v>1</v>
      </c>
      <c r="Y18">
        <f t="shared" si="7"/>
        <v>0</v>
      </c>
      <c r="Z18">
        <f t="shared" si="8"/>
        <v>0</v>
      </c>
      <c r="AA18">
        <f t="shared" si="9"/>
        <v>1</v>
      </c>
      <c r="AB18">
        <f t="shared" si="10"/>
        <v>0</v>
      </c>
      <c r="AC18">
        <f t="shared" si="11"/>
        <v>0</v>
      </c>
      <c r="AD18">
        <f t="shared" si="12"/>
        <v>0</v>
      </c>
      <c r="AE18">
        <f t="shared" si="13"/>
        <v>0</v>
      </c>
      <c r="AF18">
        <f t="shared" si="14"/>
        <v>0</v>
      </c>
      <c r="AG18">
        <f t="shared" si="15"/>
        <v>1</v>
      </c>
      <c r="AH18">
        <f t="shared" si="16"/>
        <v>0</v>
      </c>
      <c r="AI18">
        <f t="shared" si="17"/>
        <v>0</v>
      </c>
    </row>
    <row r="19" spans="1:35" x14ac:dyDescent="0.2">
      <c r="A19">
        <v>18</v>
      </c>
      <c r="B19" t="s">
        <v>16</v>
      </c>
      <c r="C19">
        <v>9</v>
      </c>
      <c r="D19" t="s">
        <v>93</v>
      </c>
      <c r="E19" t="s">
        <v>39</v>
      </c>
      <c r="F19" t="s">
        <v>20</v>
      </c>
      <c r="G19" t="s">
        <v>19</v>
      </c>
      <c r="H19" t="s">
        <v>18</v>
      </c>
      <c r="I19">
        <v>3</v>
      </c>
      <c r="J19">
        <v>5</v>
      </c>
      <c r="K19" t="s">
        <v>94</v>
      </c>
      <c r="L19" t="s">
        <v>53</v>
      </c>
      <c r="M19" t="s">
        <v>23</v>
      </c>
      <c r="N19" t="s">
        <v>24</v>
      </c>
      <c r="O19" t="s">
        <v>95</v>
      </c>
      <c r="P19" t="s">
        <v>96</v>
      </c>
      <c r="Q19">
        <f t="shared" si="0"/>
        <v>5</v>
      </c>
      <c r="R19">
        <f t="shared" si="1"/>
        <v>2</v>
      </c>
      <c r="S19">
        <f t="shared" si="2"/>
        <v>3</v>
      </c>
      <c r="T19">
        <f t="shared" si="3"/>
        <v>4</v>
      </c>
      <c r="U19">
        <v>200</v>
      </c>
      <c r="V19">
        <f t="shared" si="4"/>
        <v>0</v>
      </c>
      <c r="W19">
        <f t="shared" si="5"/>
        <v>0</v>
      </c>
      <c r="X19">
        <f t="shared" si="6"/>
        <v>1</v>
      </c>
      <c r="Y19">
        <f t="shared" si="7"/>
        <v>0</v>
      </c>
      <c r="Z19">
        <f t="shared" si="8"/>
        <v>0</v>
      </c>
      <c r="AA19">
        <f t="shared" si="9"/>
        <v>1</v>
      </c>
      <c r="AB19">
        <f t="shared" si="10"/>
        <v>0</v>
      </c>
      <c r="AC19">
        <f t="shared" si="11"/>
        <v>0</v>
      </c>
      <c r="AD19">
        <f t="shared" si="12"/>
        <v>0</v>
      </c>
      <c r="AE19">
        <f t="shared" si="13"/>
        <v>0</v>
      </c>
      <c r="AF19">
        <f t="shared" si="14"/>
        <v>0</v>
      </c>
      <c r="AG19">
        <f t="shared" si="15"/>
        <v>0</v>
      </c>
      <c r="AH19">
        <f t="shared" si="16"/>
        <v>1</v>
      </c>
      <c r="AI19">
        <f t="shared" si="17"/>
        <v>0</v>
      </c>
    </row>
    <row r="20" spans="1:35" x14ac:dyDescent="0.2">
      <c r="A20">
        <v>19</v>
      </c>
      <c r="B20" t="s">
        <v>16</v>
      </c>
      <c r="C20">
        <v>3</v>
      </c>
      <c r="D20" t="s">
        <v>97</v>
      </c>
      <c r="E20" t="s">
        <v>18</v>
      </c>
      <c r="F20" t="s">
        <v>21</v>
      </c>
      <c r="G20" t="s">
        <v>21</v>
      </c>
      <c r="H20" t="s">
        <v>18</v>
      </c>
      <c r="I20">
        <v>3</v>
      </c>
      <c r="J20">
        <v>6</v>
      </c>
      <c r="K20">
        <v>100</v>
      </c>
      <c r="L20" t="s">
        <v>98</v>
      </c>
      <c r="M20" t="s">
        <v>99</v>
      </c>
      <c r="N20" t="s">
        <v>36</v>
      </c>
      <c r="O20" t="s">
        <v>100</v>
      </c>
      <c r="P20" t="s">
        <v>101</v>
      </c>
      <c r="Q20">
        <f t="shared" si="0"/>
        <v>4</v>
      </c>
      <c r="R20">
        <f t="shared" si="1"/>
        <v>1</v>
      </c>
      <c r="S20">
        <f t="shared" si="2"/>
        <v>1</v>
      </c>
      <c r="T20">
        <f t="shared" si="3"/>
        <v>4</v>
      </c>
      <c r="U20">
        <v>100</v>
      </c>
      <c r="V20">
        <f t="shared" si="4"/>
        <v>0</v>
      </c>
      <c r="W20">
        <f t="shared" si="5"/>
        <v>1</v>
      </c>
      <c r="X20">
        <f t="shared" si="6"/>
        <v>0</v>
      </c>
      <c r="Y20">
        <f t="shared" si="7"/>
        <v>0</v>
      </c>
      <c r="Z20">
        <f t="shared" si="8"/>
        <v>0</v>
      </c>
      <c r="AA20">
        <f t="shared" si="9"/>
        <v>1</v>
      </c>
      <c r="AB20">
        <f t="shared" si="10"/>
        <v>0</v>
      </c>
      <c r="AC20">
        <f t="shared" si="11"/>
        <v>0</v>
      </c>
      <c r="AD20">
        <f t="shared" si="12"/>
        <v>0</v>
      </c>
      <c r="AE20">
        <f t="shared" si="13"/>
        <v>1</v>
      </c>
      <c r="AF20">
        <f t="shared" si="14"/>
        <v>0</v>
      </c>
      <c r="AG20">
        <f t="shared" si="15"/>
        <v>0</v>
      </c>
      <c r="AH20">
        <f t="shared" si="16"/>
        <v>0</v>
      </c>
      <c r="AI20">
        <f t="shared" si="17"/>
        <v>1</v>
      </c>
    </row>
    <row r="21" spans="1:35" x14ac:dyDescent="0.2">
      <c r="A21">
        <v>20</v>
      </c>
      <c r="B21" t="s">
        <v>16</v>
      </c>
      <c r="C21">
        <v>6</v>
      </c>
      <c r="D21" t="s">
        <v>102</v>
      </c>
      <c r="E21" t="s">
        <v>18</v>
      </c>
      <c r="F21" t="s">
        <v>20</v>
      </c>
      <c r="G21" t="s">
        <v>20</v>
      </c>
      <c r="H21" t="s">
        <v>39</v>
      </c>
      <c r="I21">
        <v>4</v>
      </c>
      <c r="J21">
        <v>3</v>
      </c>
      <c r="K21" s="1">
        <v>100</v>
      </c>
      <c r="L21" t="s">
        <v>53</v>
      </c>
      <c r="M21" t="s">
        <v>35</v>
      </c>
      <c r="N21" t="s">
        <v>24</v>
      </c>
      <c r="O21" t="s">
        <v>103</v>
      </c>
      <c r="P21" t="s">
        <v>104</v>
      </c>
      <c r="Q21">
        <f t="shared" si="0"/>
        <v>4</v>
      </c>
      <c r="R21">
        <f t="shared" si="1"/>
        <v>2</v>
      </c>
      <c r="S21">
        <f t="shared" si="2"/>
        <v>2</v>
      </c>
      <c r="T21">
        <f t="shared" si="3"/>
        <v>5</v>
      </c>
      <c r="U21">
        <v>100</v>
      </c>
      <c r="V21">
        <f t="shared" si="4"/>
        <v>0</v>
      </c>
      <c r="W21">
        <f t="shared" si="5"/>
        <v>0</v>
      </c>
      <c r="X21">
        <f t="shared" si="6"/>
        <v>1</v>
      </c>
      <c r="Y21">
        <f t="shared" si="7"/>
        <v>0</v>
      </c>
      <c r="Z21">
        <f t="shared" si="8"/>
        <v>0</v>
      </c>
      <c r="AA21">
        <f t="shared" si="9"/>
        <v>0</v>
      </c>
      <c r="AB21">
        <f t="shared" si="10"/>
        <v>0</v>
      </c>
      <c r="AC21">
        <f t="shared" si="11"/>
        <v>0</v>
      </c>
      <c r="AD21">
        <f t="shared" si="12"/>
        <v>1</v>
      </c>
      <c r="AE21">
        <f t="shared" si="13"/>
        <v>0</v>
      </c>
      <c r="AF21">
        <f t="shared" si="14"/>
        <v>0</v>
      </c>
      <c r="AG21">
        <f t="shared" si="15"/>
        <v>0</v>
      </c>
      <c r="AH21">
        <f t="shared" si="16"/>
        <v>1</v>
      </c>
      <c r="AI21">
        <f t="shared" si="17"/>
        <v>0</v>
      </c>
    </row>
    <row r="22" spans="1:35" x14ac:dyDescent="0.2">
      <c r="A22">
        <v>21</v>
      </c>
      <c r="B22" t="s">
        <v>16</v>
      </c>
      <c r="C22">
        <v>7</v>
      </c>
      <c r="D22" t="s">
        <v>105</v>
      </c>
      <c r="E22" t="s">
        <v>18</v>
      </c>
      <c r="F22" t="s">
        <v>20</v>
      </c>
      <c r="G22" t="s">
        <v>21</v>
      </c>
      <c r="H22" t="s">
        <v>18</v>
      </c>
      <c r="I22">
        <v>5</v>
      </c>
      <c r="J22">
        <v>3</v>
      </c>
      <c r="K22">
        <v>50</v>
      </c>
      <c r="L22" t="s">
        <v>41</v>
      </c>
      <c r="M22" t="s">
        <v>42</v>
      </c>
      <c r="N22" t="s">
        <v>36</v>
      </c>
      <c r="O22" t="s">
        <v>106</v>
      </c>
      <c r="P22" t="s">
        <v>107</v>
      </c>
      <c r="Q22">
        <f t="shared" si="0"/>
        <v>4</v>
      </c>
      <c r="R22">
        <f t="shared" si="1"/>
        <v>2</v>
      </c>
      <c r="S22">
        <f t="shared" si="2"/>
        <v>1</v>
      </c>
      <c r="T22">
        <f t="shared" si="3"/>
        <v>4</v>
      </c>
      <c r="U22">
        <v>50</v>
      </c>
      <c r="V22">
        <f t="shared" si="4"/>
        <v>0</v>
      </c>
      <c r="W22">
        <f t="shared" si="5"/>
        <v>0</v>
      </c>
      <c r="X22">
        <f t="shared" si="6"/>
        <v>0</v>
      </c>
      <c r="Y22">
        <f t="shared" si="7"/>
        <v>0</v>
      </c>
      <c r="Z22">
        <f t="shared" si="8"/>
        <v>1</v>
      </c>
      <c r="AA22">
        <f t="shared" si="9"/>
        <v>0</v>
      </c>
      <c r="AB22">
        <f t="shared" si="10"/>
        <v>1</v>
      </c>
      <c r="AC22">
        <f t="shared" si="11"/>
        <v>0</v>
      </c>
      <c r="AD22">
        <f t="shared" si="12"/>
        <v>0</v>
      </c>
      <c r="AE22">
        <f t="shared" si="13"/>
        <v>0</v>
      </c>
      <c r="AF22">
        <f t="shared" si="14"/>
        <v>0</v>
      </c>
      <c r="AG22">
        <f t="shared" si="15"/>
        <v>0</v>
      </c>
      <c r="AH22">
        <f t="shared" si="16"/>
        <v>0</v>
      </c>
      <c r="AI22">
        <f t="shared" si="17"/>
        <v>1</v>
      </c>
    </row>
    <row r="23" spans="1:35" x14ac:dyDescent="0.2">
      <c r="A23">
        <v>22</v>
      </c>
      <c r="B23" t="s">
        <v>16</v>
      </c>
      <c r="C23">
        <v>5</v>
      </c>
      <c r="D23" t="s">
        <v>108</v>
      </c>
      <c r="E23" t="s">
        <v>18</v>
      </c>
      <c r="F23" t="s">
        <v>20</v>
      </c>
      <c r="G23" t="s">
        <v>19</v>
      </c>
      <c r="H23" t="s">
        <v>18</v>
      </c>
      <c r="I23">
        <v>8</v>
      </c>
      <c r="J23">
        <v>9</v>
      </c>
      <c r="K23">
        <v>50</v>
      </c>
      <c r="L23" t="s">
        <v>70</v>
      </c>
      <c r="M23" t="s">
        <v>42</v>
      </c>
      <c r="N23" t="s">
        <v>36</v>
      </c>
      <c r="O23" t="s">
        <v>109</v>
      </c>
      <c r="P23" t="s">
        <v>110</v>
      </c>
      <c r="Q23">
        <f t="shared" si="0"/>
        <v>4</v>
      </c>
      <c r="R23">
        <f t="shared" si="1"/>
        <v>2</v>
      </c>
      <c r="S23">
        <f t="shared" si="2"/>
        <v>3</v>
      </c>
      <c r="T23">
        <f t="shared" si="3"/>
        <v>4</v>
      </c>
      <c r="U23">
        <v>50</v>
      </c>
      <c r="V23">
        <f t="shared" si="4"/>
        <v>0</v>
      </c>
      <c r="W23">
        <f t="shared" si="5"/>
        <v>0</v>
      </c>
      <c r="X23">
        <f t="shared" si="6"/>
        <v>0</v>
      </c>
      <c r="Y23">
        <f t="shared" si="7"/>
        <v>1</v>
      </c>
      <c r="Z23">
        <f t="shared" si="8"/>
        <v>0</v>
      </c>
      <c r="AA23">
        <f t="shared" si="9"/>
        <v>0</v>
      </c>
      <c r="AB23">
        <f t="shared" si="10"/>
        <v>1</v>
      </c>
      <c r="AC23">
        <f t="shared" si="11"/>
        <v>0</v>
      </c>
      <c r="AD23">
        <f t="shared" si="12"/>
        <v>0</v>
      </c>
      <c r="AE23">
        <f t="shared" si="13"/>
        <v>0</v>
      </c>
      <c r="AF23">
        <f t="shared" si="14"/>
        <v>0</v>
      </c>
      <c r="AG23">
        <f t="shared" si="15"/>
        <v>0</v>
      </c>
      <c r="AH23">
        <f t="shared" si="16"/>
        <v>0</v>
      </c>
      <c r="AI23">
        <f t="shared" si="17"/>
        <v>1</v>
      </c>
    </row>
    <row r="24" spans="1:35" x14ac:dyDescent="0.2">
      <c r="A24">
        <v>23</v>
      </c>
      <c r="B24" t="s">
        <v>16</v>
      </c>
      <c r="C24">
        <v>3</v>
      </c>
      <c r="D24" t="s">
        <v>111</v>
      </c>
      <c r="E24" t="s">
        <v>18</v>
      </c>
      <c r="F24" t="s">
        <v>20</v>
      </c>
      <c r="G24" t="s">
        <v>20</v>
      </c>
      <c r="H24" t="s">
        <v>39</v>
      </c>
      <c r="I24">
        <v>5</v>
      </c>
      <c r="J24">
        <v>4</v>
      </c>
      <c r="K24">
        <v>50</v>
      </c>
      <c r="L24" t="s">
        <v>22</v>
      </c>
      <c r="M24" t="s">
        <v>23</v>
      </c>
      <c r="N24" t="s">
        <v>36</v>
      </c>
      <c r="O24" t="s">
        <v>112</v>
      </c>
      <c r="P24" t="s">
        <v>113</v>
      </c>
      <c r="Q24">
        <f t="shared" si="0"/>
        <v>4</v>
      </c>
      <c r="R24">
        <f t="shared" si="1"/>
        <v>2</v>
      </c>
      <c r="S24">
        <f t="shared" si="2"/>
        <v>2</v>
      </c>
      <c r="T24">
        <f t="shared" si="3"/>
        <v>5</v>
      </c>
      <c r="U24">
        <v>50</v>
      </c>
      <c r="V24">
        <f t="shared" si="4"/>
        <v>1</v>
      </c>
      <c r="W24">
        <f t="shared" si="5"/>
        <v>0</v>
      </c>
      <c r="X24">
        <f t="shared" si="6"/>
        <v>0</v>
      </c>
      <c r="Y24">
        <f t="shared" si="7"/>
        <v>0</v>
      </c>
      <c r="Z24">
        <f t="shared" si="8"/>
        <v>0</v>
      </c>
      <c r="AA24">
        <f t="shared" si="9"/>
        <v>1</v>
      </c>
      <c r="AB24">
        <f t="shared" si="10"/>
        <v>0</v>
      </c>
      <c r="AC24">
        <f t="shared" si="11"/>
        <v>0</v>
      </c>
      <c r="AD24">
        <f t="shared" si="12"/>
        <v>0</v>
      </c>
      <c r="AE24">
        <f t="shared" si="13"/>
        <v>0</v>
      </c>
      <c r="AF24">
        <f t="shared" si="14"/>
        <v>0</v>
      </c>
      <c r="AG24">
        <f t="shared" si="15"/>
        <v>0</v>
      </c>
      <c r="AH24">
        <f t="shared" si="16"/>
        <v>0</v>
      </c>
      <c r="AI24">
        <f t="shared" si="17"/>
        <v>1</v>
      </c>
    </row>
    <row r="25" spans="1:35" x14ac:dyDescent="0.2">
      <c r="A25">
        <v>24</v>
      </c>
      <c r="B25" t="s">
        <v>16</v>
      </c>
      <c r="C25">
        <v>5</v>
      </c>
      <c r="D25" t="s">
        <v>114</v>
      </c>
      <c r="E25" t="s">
        <v>19</v>
      </c>
      <c r="F25" t="s">
        <v>19</v>
      </c>
      <c r="G25" t="s">
        <v>19</v>
      </c>
      <c r="H25" t="s">
        <v>19</v>
      </c>
      <c r="I25">
        <v>5</v>
      </c>
      <c r="J25">
        <v>4</v>
      </c>
      <c r="K25">
        <v>100</v>
      </c>
      <c r="L25" t="s">
        <v>70</v>
      </c>
      <c r="M25" t="s">
        <v>115</v>
      </c>
      <c r="N25" t="s">
        <v>24</v>
      </c>
      <c r="O25" t="s">
        <v>116</v>
      </c>
      <c r="P25" t="s">
        <v>117</v>
      </c>
      <c r="Q25">
        <f t="shared" si="0"/>
        <v>3</v>
      </c>
      <c r="R25">
        <f t="shared" si="1"/>
        <v>3</v>
      </c>
      <c r="S25">
        <f t="shared" si="2"/>
        <v>3</v>
      </c>
      <c r="T25">
        <f t="shared" si="3"/>
        <v>3</v>
      </c>
      <c r="U25">
        <v>100</v>
      </c>
      <c r="V25">
        <f t="shared" si="4"/>
        <v>0</v>
      </c>
      <c r="W25">
        <f t="shared" si="5"/>
        <v>0</v>
      </c>
      <c r="X25">
        <f t="shared" si="6"/>
        <v>0</v>
      </c>
      <c r="Y25">
        <f t="shared" si="7"/>
        <v>1</v>
      </c>
      <c r="Z25">
        <f t="shared" si="8"/>
        <v>0</v>
      </c>
      <c r="AA25">
        <f t="shared" si="9"/>
        <v>0</v>
      </c>
      <c r="AB25">
        <f t="shared" si="10"/>
        <v>0</v>
      </c>
      <c r="AC25">
        <f t="shared" si="11"/>
        <v>1</v>
      </c>
      <c r="AD25">
        <f t="shared" si="12"/>
        <v>0</v>
      </c>
      <c r="AE25">
        <f t="shared" si="13"/>
        <v>0</v>
      </c>
      <c r="AF25">
        <f t="shared" si="14"/>
        <v>0</v>
      </c>
      <c r="AG25">
        <f t="shared" si="15"/>
        <v>0</v>
      </c>
      <c r="AH25">
        <f t="shared" si="16"/>
        <v>1</v>
      </c>
      <c r="AI25">
        <f t="shared" si="17"/>
        <v>0</v>
      </c>
    </row>
    <row r="26" spans="1:35" x14ac:dyDescent="0.2">
      <c r="A26">
        <v>25</v>
      </c>
      <c r="B26" t="s">
        <v>16</v>
      </c>
      <c r="C26">
        <v>7</v>
      </c>
      <c r="D26" t="s">
        <v>118</v>
      </c>
      <c r="E26" t="s">
        <v>18</v>
      </c>
      <c r="F26" t="s">
        <v>20</v>
      </c>
      <c r="G26" t="s">
        <v>20</v>
      </c>
      <c r="H26" t="s">
        <v>18</v>
      </c>
      <c r="I26">
        <v>4</v>
      </c>
      <c r="J26">
        <v>7</v>
      </c>
      <c r="K26">
        <v>150</v>
      </c>
      <c r="L26" t="s">
        <v>34</v>
      </c>
      <c r="M26" t="s">
        <v>23</v>
      </c>
      <c r="N26" t="s">
        <v>24</v>
      </c>
      <c r="O26" t="s">
        <v>119</v>
      </c>
      <c r="P26" t="s">
        <v>120</v>
      </c>
      <c r="Q26">
        <f t="shared" si="0"/>
        <v>4</v>
      </c>
      <c r="R26">
        <f t="shared" si="1"/>
        <v>2</v>
      </c>
      <c r="S26">
        <f t="shared" si="2"/>
        <v>2</v>
      </c>
      <c r="T26">
        <f t="shared" si="3"/>
        <v>4</v>
      </c>
      <c r="U26">
        <v>150</v>
      </c>
      <c r="V26">
        <f t="shared" si="4"/>
        <v>1</v>
      </c>
      <c r="W26">
        <f t="shared" si="5"/>
        <v>0</v>
      </c>
      <c r="X26">
        <f t="shared" si="6"/>
        <v>0</v>
      </c>
      <c r="Y26">
        <f t="shared" si="7"/>
        <v>1</v>
      </c>
      <c r="Z26">
        <f t="shared" si="8"/>
        <v>0</v>
      </c>
      <c r="AA26">
        <f t="shared" si="9"/>
        <v>1</v>
      </c>
      <c r="AB26">
        <f t="shared" si="10"/>
        <v>0</v>
      </c>
      <c r="AC26">
        <f t="shared" si="11"/>
        <v>0</v>
      </c>
      <c r="AD26">
        <f t="shared" si="12"/>
        <v>0</v>
      </c>
      <c r="AE26">
        <f t="shared" si="13"/>
        <v>0</v>
      </c>
      <c r="AF26">
        <f t="shared" si="14"/>
        <v>0</v>
      </c>
      <c r="AG26">
        <f t="shared" si="15"/>
        <v>0</v>
      </c>
      <c r="AH26">
        <f t="shared" si="16"/>
        <v>1</v>
      </c>
      <c r="AI26">
        <f t="shared" si="17"/>
        <v>0</v>
      </c>
    </row>
    <row r="27" spans="1:35" x14ac:dyDescent="0.2">
      <c r="A27">
        <v>26</v>
      </c>
      <c r="B27" t="s">
        <v>16</v>
      </c>
      <c r="C27">
        <v>4</v>
      </c>
      <c r="D27" t="s">
        <v>121</v>
      </c>
      <c r="E27" t="s">
        <v>39</v>
      </c>
      <c r="F27" t="s">
        <v>20</v>
      </c>
      <c r="G27" t="s">
        <v>20</v>
      </c>
      <c r="H27" t="s">
        <v>18</v>
      </c>
      <c r="I27">
        <v>3</v>
      </c>
      <c r="J27">
        <v>8</v>
      </c>
      <c r="K27">
        <v>100</v>
      </c>
      <c r="L27" t="s">
        <v>122</v>
      </c>
      <c r="M27" t="s">
        <v>123</v>
      </c>
      <c r="N27" t="s">
        <v>49</v>
      </c>
      <c r="O27" t="s">
        <v>124</v>
      </c>
      <c r="P27" t="s">
        <v>125</v>
      </c>
      <c r="Q27">
        <f t="shared" si="0"/>
        <v>5</v>
      </c>
      <c r="R27">
        <f t="shared" si="1"/>
        <v>2</v>
      </c>
      <c r="S27">
        <f t="shared" si="2"/>
        <v>2</v>
      </c>
      <c r="T27">
        <f t="shared" si="3"/>
        <v>4</v>
      </c>
      <c r="U27">
        <v>100</v>
      </c>
      <c r="V27">
        <f t="shared" si="4"/>
        <v>1</v>
      </c>
      <c r="W27">
        <f t="shared" si="5"/>
        <v>0</v>
      </c>
      <c r="X27">
        <f t="shared" si="6"/>
        <v>1</v>
      </c>
      <c r="Y27">
        <f t="shared" si="7"/>
        <v>0</v>
      </c>
      <c r="Z27">
        <f t="shared" si="8"/>
        <v>1</v>
      </c>
      <c r="AA27">
        <f t="shared" si="9"/>
        <v>0</v>
      </c>
      <c r="AB27">
        <f t="shared" si="10"/>
        <v>1</v>
      </c>
      <c r="AC27">
        <f t="shared" si="11"/>
        <v>1</v>
      </c>
      <c r="AD27">
        <f t="shared" si="12"/>
        <v>0</v>
      </c>
      <c r="AE27">
        <f t="shared" si="13"/>
        <v>0</v>
      </c>
      <c r="AF27">
        <f t="shared" si="14"/>
        <v>0</v>
      </c>
      <c r="AG27">
        <f t="shared" si="15"/>
        <v>1</v>
      </c>
      <c r="AH27">
        <f t="shared" si="16"/>
        <v>1</v>
      </c>
      <c r="AI27">
        <f t="shared" si="17"/>
        <v>0</v>
      </c>
    </row>
    <row r="28" spans="1:35" x14ac:dyDescent="0.2">
      <c r="A28">
        <v>27</v>
      </c>
      <c r="B28" t="s">
        <v>16</v>
      </c>
      <c r="C28">
        <v>7</v>
      </c>
      <c r="D28" t="s">
        <v>126</v>
      </c>
      <c r="E28" t="s">
        <v>18</v>
      </c>
      <c r="F28" t="s">
        <v>21</v>
      </c>
      <c r="G28" t="s">
        <v>20</v>
      </c>
      <c r="H28" t="s">
        <v>39</v>
      </c>
      <c r="I28">
        <v>6</v>
      </c>
      <c r="J28">
        <v>5</v>
      </c>
      <c r="K28" t="s">
        <v>127</v>
      </c>
      <c r="L28" t="s">
        <v>128</v>
      </c>
      <c r="M28" t="s">
        <v>123</v>
      </c>
      <c r="N28" t="s">
        <v>84</v>
      </c>
      <c r="O28" t="s">
        <v>129</v>
      </c>
      <c r="P28" t="s">
        <v>130</v>
      </c>
      <c r="Q28">
        <f t="shared" si="0"/>
        <v>4</v>
      </c>
      <c r="R28">
        <f t="shared" si="1"/>
        <v>1</v>
      </c>
      <c r="S28">
        <f t="shared" si="2"/>
        <v>2</v>
      </c>
      <c r="T28">
        <f t="shared" si="3"/>
        <v>5</v>
      </c>
      <c r="U28">
        <v>10</v>
      </c>
      <c r="V28">
        <f t="shared" si="4"/>
        <v>1</v>
      </c>
      <c r="W28">
        <f t="shared" si="5"/>
        <v>0</v>
      </c>
      <c r="X28">
        <f t="shared" si="6"/>
        <v>1</v>
      </c>
      <c r="Y28">
        <f t="shared" si="7"/>
        <v>0</v>
      </c>
      <c r="Z28">
        <f t="shared" si="8"/>
        <v>0</v>
      </c>
      <c r="AA28">
        <f t="shared" si="9"/>
        <v>0</v>
      </c>
      <c r="AB28">
        <f t="shared" si="10"/>
        <v>1</v>
      </c>
      <c r="AC28">
        <f t="shared" si="11"/>
        <v>1</v>
      </c>
      <c r="AD28">
        <f t="shared" si="12"/>
        <v>0</v>
      </c>
      <c r="AE28">
        <f t="shared" si="13"/>
        <v>0</v>
      </c>
      <c r="AF28">
        <f t="shared" si="14"/>
        <v>0</v>
      </c>
      <c r="AG28">
        <f t="shared" si="15"/>
        <v>1</v>
      </c>
      <c r="AH28">
        <f t="shared" si="16"/>
        <v>0</v>
      </c>
      <c r="AI28">
        <f t="shared" si="17"/>
        <v>0</v>
      </c>
    </row>
    <row r="29" spans="1:35" x14ac:dyDescent="0.2">
      <c r="A29">
        <v>28</v>
      </c>
      <c r="B29" t="s">
        <v>16</v>
      </c>
      <c r="C29">
        <v>6</v>
      </c>
      <c r="D29" t="s">
        <v>131</v>
      </c>
      <c r="E29" t="s">
        <v>18</v>
      </c>
      <c r="F29" t="s">
        <v>19</v>
      </c>
      <c r="G29" t="s">
        <v>20</v>
      </c>
      <c r="H29" t="s">
        <v>18</v>
      </c>
      <c r="I29">
        <v>7</v>
      </c>
      <c r="J29">
        <v>8</v>
      </c>
      <c r="K29" s="1">
        <v>50</v>
      </c>
      <c r="L29" t="s">
        <v>47</v>
      </c>
      <c r="M29" t="s">
        <v>99</v>
      </c>
      <c r="N29" t="s">
        <v>84</v>
      </c>
      <c r="O29" t="s">
        <v>132</v>
      </c>
      <c r="P29" t="s">
        <v>133</v>
      </c>
      <c r="Q29">
        <f t="shared" si="0"/>
        <v>4</v>
      </c>
      <c r="R29">
        <f t="shared" si="1"/>
        <v>3</v>
      </c>
      <c r="S29">
        <f t="shared" si="2"/>
        <v>2</v>
      </c>
      <c r="T29">
        <f t="shared" si="3"/>
        <v>4</v>
      </c>
      <c r="U29">
        <v>50</v>
      </c>
      <c r="V29">
        <f t="shared" si="4"/>
        <v>0</v>
      </c>
      <c r="W29">
        <f t="shared" si="5"/>
        <v>0</v>
      </c>
      <c r="X29">
        <f t="shared" si="6"/>
        <v>1</v>
      </c>
      <c r="Y29">
        <f t="shared" si="7"/>
        <v>0</v>
      </c>
      <c r="Z29">
        <f t="shared" si="8"/>
        <v>1</v>
      </c>
      <c r="AA29">
        <f t="shared" si="9"/>
        <v>1</v>
      </c>
      <c r="AB29">
        <f t="shared" si="10"/>
        <v>0</v>
      </c>
      <c r="AC29">
        <f t="shared" si="11"/>
        <v>0</v>
      </c>
      <c r="AD29">
        <f t="shared" si="12"/>
        <v>0</v>
      </c>
      <c r="AE29">
        <f t="shared" si="13"/>
        <v>1</v>
      </c>
      <c r="AF29">
        <f t="shared" si="14"/>
        <v>0</v>
      </c>
      <c r="AG29">
        <f t="shared" si="15"/>
        <v>1</v>
      </c>
      <c r="AH29">
        <f t="shared" si="16"/>
        <v>0</v>
      </c>
      <c r="AI29">
        <f t="shared" si="17"/>
        <v>0</v>
      </c>
    </row>
    <row r="30" spans="1:35" x14ac:dyDescent="0.2">
      <c r="A30">
        <v>29</v>
      </c>
      <c r="B30" t="s">
        <v>16</v>
      </c>
      <c r="C30">
        <v>8</v>
      </c>
      <c r="D30" t="s">
        <v>134</v>
      </c>
      <c r="E30" t="s">
        <v>18</v>
      </c>
      <c r="F30" t="s">
        <v>20</v>
      </c>
      <c r="G30" t="s">
        <v>19</v>
      </c>
      <c r="H30" t="s">
        <v>18</v>
      </c>
      <c r="I30">
        <v>5</v>
      </c>
      <c r="J30">
        <v>8</v>
      </c>
      <c r="K30" s="1">
        <v>1000</v>
      </c>
      <c r="L30" t="s">
        <v>41</v>
      </c>
      <c r="M30" t="s">
        <v>135</v>
      </c>
      <c r="N30" t="s">
        <v>24</v>
      </c>
      <c r="O30" t="s">
        <v>136</v>
      </c>
      <c r="P30" t="s">
        <v>137</v>
      </c>
      <c r="Q30">
        <f t="shared" si="0"/>
        <v>4</v>
      </c>
      <c r="R30">
        <f t="shared" si="1"/>
        <v>2</v>
      </c>
      <c r="S30">
        <f t="shared" si="2"/>
        <v>3</v>
      </c>
      <c r="T30">
        <f t="shared" si="3"/>
        <v>4</v>
      </c>
      <c r="U30">
        <v>1000</v>
      </c>
      <c r="V30">
        <f t="shared" si="4"/>
        <v>0</v>
      </c>
      <c r="W30">
        <f t="shared" si="5"/>
        <v>0</v>
      </c>
      <c r="X30">
        <f t="shared" si="6"/>
        <v>0</v>
      </c>
      <c r="Y30">
        <f t="shared" si="7"/>
        <v>0</v>
      </c>
      <c r="Z30">
        <f t="shared" si="8"/>
        <v>1</v>
      </c>
      <c r="AA30">
        <f t="shared" si="9"/>
        <v>1</v>
      </c>
      <c r="AB30">
        <f t="shared" si="10"/>
        <v>1</v>
      </c>
      <c r="AC30">
        <f t="shared" si="11"/>
        <v>0</v>
      </c>
      <c r="AD30">
        <f t="shared" si="12"/>
        <v>0</v>
      </c>
      <c r="AE30">
        <f t="shared" si="13"/>
        <v>0</v>
      </c>
      <c r="AF30">
        <f t="shared" si="14"/>
        <v>0</v>
      </c>
      <c r="AG30">
        <f t="shared" si="15"/>
        <v>0</v>
      </c>
      <c r="AH30">
        <f t="shared" si="16"/>
        <v>1</v>
      </c>
      <c r="AI30">
        <f t="shared" si="17"/>
        <v>0</v>
      </c>
    </row>
    <row r="31" spans="1:35" x14ac:dyDescent="0.2">
      <c r="A31">
        <v>30</v>
      </c>
      <c r="B31" t="s">
        <v>16</v>
      </c>
      <c r="C31">
        <v>10</v>
      </c>
      <c r="D31" t="s">
        <v>138</v>
      </c>
      <c r="E31" t="s">
        <v>39</v>
      </c>
      <c r="F31" t="s">
        <v>21</v>
      </c>
      <c r="G31" t="s">
        <v>21</v>
      </c>
      <c r="H31" t="s">
        <v>39</v>
      </c>
      <c r="I31">
        <v>2</v>
      </c>
      <c r="J31">
        <v>3</v>
      </c>
      <c r="K31">
        <v>300</v>
      </c>
      <c r="L31" t="s">
        <v>98</v>
      </c>
      <c r="M31" t="s">
        <v>23</v>
      </c>
      <c r="N31" t="s">
        <v>24</v>
      </c>
      <c r="O31" t="s">
        <v>67</v>
      </c>
      <c r="P31" t="s">
        <v>139</v>
      </c>
      <c r="Q31">
        <f t="shared" si="0"/>
        <v>5</v>
      </c>
      <c r="R31">
        <f t="shared" si="1"/>
        <v>1</v>
      </c>
      <c r="S31">
        <f t="shared" si="2"/>
        <v>1</v>
      </c>
      <c r="T31">
        <f t="shared" si="3"/>
        <v>5</v>
      </c>
      <c r="U31">
        <v>300</v>
      </c>
      <c r="V31">
        <f t="shared" si="4"/>
        <v>0</v>
      </c>
      <c r="W31">
        <f t="shared" si="5"/>
        <v>1</v>
      </c>
      <c r="X31">
        <f t="shared" si="6"/>
        <v>0</v>
      </c>
      <c r="Y31">
        <f t="shared" si="7"/>
        <v>0</v>
      </c>
      <c r="Z31">
        <f t="shared" si="8"/>
        <v>0</v>
      </c>
      <c r="AA31">
        <f t="shared" si="9"/>
        <v>1</v>
      </c>
      <c r="AB31">
        <f t="shared" si="10"/>
        <v>0</v>
      </c>
      <c r="AC31">
        <f t="shared" si="11"/>
        <v>0</v>
      </c>
      <c r="AD31">
        <f t="shared" si="12"/>
        <v>0</v>
      </c>
      <c r="AE31">
        <f t="shared" si="13"/>
        <v>0</v>
      </c>
      <c r="AF31">
        <f t="shared" si="14"/>
        <v>0</v>
      </c>
      <c r="AG31">
        <f t="shared" si="15"/>
        <v>0</v>
      </c>
      <c r="AH31">
        <f t="shared" si="16"/>
        <v>1</v>
      </c>
      <c r="AI31">
        <f t="shared" si="17"/>
        <v>0</v>
      </c>
    </row>
    <row r="32" spans="1:35" x14ac:dyDescent="0.2">
      <c r="A32">
        <v>31</v>
      </c>
      <c r="B32" t="s">
        <v>16</v>
      </c>
      <c r="C32">
        <v>5</v>
      </c>
      <c r="D32" t="s">
        <v>140</v>
      </c>
      <c r="E32" t="s">
        <v>19</v>
      </c>
      <c r="F32" t="s">
        <v>20</v>
      </c>
      <c r="G32" t="s">
        <v>19</v>
      </c>
      <c r="H32" t="s">
        <v>18</v>
      </c>
      <c r="I32">
        <v>5</v>
      </c>
      <c r="J32">
        <v>3</v>
      </c>
      <c r="K32">
        <v>1</v>
      </c>
      <c r="L32" t="s">
        <v>22</v>
      </c>
      <c r="M32" t="s">
        <v>99</v>
      </c>
      <c r="N32" t="s">
        <v>24</v>
      </c>
      <c r="O32" t="s">
        <v>141</v>
      </c>
      <c r="P32" t="s">
        <v>142</v>
      </c>
      <c r="Q32">
        <f t="shared" si="0"/>
        <v>3</v>
      </c>
      <c r="R32">
        <f t="shared" si="1"/>
        <v>2</v>
      </c>
      <c r="S32">
        <f t="shared" si="2"/>
        <v>3</v>
      </c>
      <c r="T32">
        <f t="shared" si="3"/>
        <v>4</v>
      </c>
      <c r="U32">
        <v>1</v>
      </c>
      <c r="V32">
        <f t="shared" si="4"/>
        <v>1</v>
      </c>
      <c r="W32">
        <f t="shared" si="5"/>
        <v>0</v>
      </c>
      <c r="X32">
        <f t="shared" si="6"/>
        <v>0</v>
      </c>
      <c r="Y32">
        <f t="shared" si="7"/>
        <v>0</v>
      </c>
      <c r="Z32">
        <f t="shared" si="8"/>
        <v>0</v>
      </c>
      <c r="AA32">
        <f t="shared" si="9"/>
        <v>1</v>
      </c>
      <c r="AB32">
        <f t="shared" si="10"/>
        <v>0</v>
      </c>
      <c r="AC32">
        <f t="shared" si="11"/>
        <v>0</v>
      </c>
      <c r="AD32">
        <f t="shared" si="12"/>
        <v>0</v>
      </c>
      <c r="AE32">
        <f t="shared" si="13"/>
        <v>1</v>
      </c>
      <c r="AF32">
        <f t="shared" si="14"/>
        <v>0</v>
      </c>
      <c r="AG32">
        <f t="shared" si="15"/>
        <v>0</v>
      </c>
      <c r="AH32">
        <f t="shared" si="16"/>
        <v>1</v>
      </c>
      <c r="AI32">
        <f t="shared" si="17"/>
        <v>0</v>
      </c>
    </row>
    <row r="33" spans="1:35" x14ac:dyDescent="0.2">
      <c r="A33">
        <v>32</v>
      </c>
      <c r="B33" t="s">
        <v>16</v>
      </c>
      <c r="C33">
        <v>4</v>
      </c>
      <c r="D33" t="s">
        <v>143</v>
      </c>
      <c r="E33" t="s">
        <v>18</v>
      </c>
      <c r="F33" t="s">
        <v>20</v>
      </c>
      <c r="G33" t="s">
        <v>20</v>
      </c>
      <c r="H33" t="s">
        <v>18</v>
      </c>
      <c r="I33">
        <v>5</v>
      </c>
      <c r="J33">
        <v>9</v>
      </c>
      <c r="K33">
        <v>20</v>
      </c>
      <c r="L33" t="s">
        <v>53</v>
      </c>
      <c r="M33" t="s">
        <v>23</v>
      </c>
      <c r="N33" t="s">
        <v>84</v>
      </c>
      <c r="O33" t="s">
        <v>144</v>
      </c>
      <c r="P33" t="s">
        <v>145</v>
      </c>
      <c r="Q33">
        <f t="shared" si="0"/>
        <v>4</v>
      </c>
      <c r="R33">
        <f t="shared" si="1"/>
        <v>2</v>
      </c>
      <c r="S33">
        <f t="shared" si="2"/>
        <v>2</v>
      </c>
      <c r="T33">
        <f t="shared" si="3"/>
        <v>4</v>
      </c>
      <c r="U33">
        <v>20</v>
      </c>
      <c r="V33">
        <f t="shared" si="4"/>
        <v>0</v>
      </c>
      <c r="W33">
        <f t="shared" si="5"/>
        <v>0</v>
      </c>
      <c r="X33">
        <f t="shared" si="6"/>
        <v>1</v>
      </c>
      <c r="Y33">
        <f t="shared" si="7"/>
        <v>0</v>
      </c>
      <c r="Z33">
        <f t="shared" si="8"/>
        <v>0</v>
      </c>
      <c r="AA33">
        <f t="shared" si="9"/>
        <v>1</v>
      </c>
      <c r="AB33">
        <f t="shared" si="10"/>
        <v>0</v>
      </c>
      <c r="AC33">
        <f t="shared" si="11"/>
        <v>0</v>
      </c>
      <c r="AD33">
        <f t="shared" si="12"/>
        <v>0</v>
      </c>
      <c r="AE33">
        <f t="shared" si="13"/>
        <v>0</v>
      </c>
      <c r="AF33">
        <f t="shared" si="14"/>
        <v>0</v>
      </c>
      <c r="AG33">
        <f t="shared" si="15"/>
        <v>1</v>
      </c>
      <c r="AH33">
        <f t="shared" si="16"/>
        <v>0</v>
      </c>
      <c r="AI33">
        <f t="shared" si="17"/>
        <v>0</v>
      </c>
    </row>
    <row r="34" spans="1:35" x14ac:dyDescent="0.2">
      <c r="A34">
        <v>33</v>
      </c>
      <c r="B34" t="s">
        <v>16</v>
      </c>
      <c r="C34">
        <v>8</v>
      </c>
      <c r="D34" t="s">
        <v>146</v>
      </c>
      <c r="E34" t="s">
        <v>39</v>
      </c>
      <c r="F34" t="s">
        <v>20</v>
      </c>
      <c r="G34" t="s">
        <v>20</v>
      </c>
      <c r="H34" t="s">
        <v>19</v>
      </c>
      <c r="I34">
        <v>3</v>
      </c>
      <c r="J34">
        <v>4</v>
      </c>
      <c r="K34">
        <v>50</v>
      </c>
      <c r="L34" t="s">
        <v>53</v>
      </c>
      <c r="M34" t="s">
        <v>80</v>
      </c>
      <c r="N34" t="s">
        <v>147</v>
      </c>
      <c r="O34" t="s">
        <v>148</v>
      </c>
      <c r="P34" t="s">
        <v>149</v>
      </c>
      <c r="Q34">
        <f t="shared" si="0"/>
        <v>5</v>
      </c>
      <c r="R34">
        <f t="shared" si="1"/>
        <v>2</v>
      </c>
      <c r="S34">
        <f t="shared" si="2"/>
        <v>2</v>
      </c>
      <c r="T34">
        <f t="shared" si="3"/>
        <v>3</v>
      </c>
      <c r="U34">
        <v>50</v>
      </c>
      <c r="V34">
        <f t="shared" si="4"/>
        <v>0</v>
      </c>
      <c r="W34">
        <f t="shared" si="5"/>
        <v>0</v>
      </c>
      <c r="X34">
        <f t="shared" si="6"/>
        <v>1</v>
      </c>
      <c r="Y34">
        <f t="shared" si="7"/>
        <v>0</v>
      </c>
      <c r="Z34">
        <f t="shared" si="8"/>
        <v>0</v>
      </c>
      <c r="AA34">
        <f t="shared" si="9"/>
        <v>1</v>
      </c>
      <c r="AB34">
        <f t="shared" si="10"/>
        <v>1</v>
      </c>
      <c r="AC34">
        <f t="shared" si="11"/>
        <v>0</v>
      </c>
      <c r="AD34">
        <f t="shared" si="12"/>
        <v>0</v>
      </c>
      <c r="AE34">
        <f t="shared" si="13"/>
        <v>1</v>
      </c>
      <c r="AF34">
        <f t="shared" si="14"/>
        <v>0</v>
      </c>
      <c r="AG34">
        <f t="shared" si="15"/>
        <v>0</v>
      </c>
      <c r="AH34">
        <f t="shared" si="16"/>
        <v>1</v>
      </c>
      <c r="AI34">
        <f t="shared" si="17"/>
        <v>1</v>
      </c>
    </row>
    <row r="35" spans="1:35" x14ac:dyDescent="0.2">
      <c r="A35">
        <v>34</v>
      </c>
      <c r="B35" t="s">
        <v>16</v>
      </c>
      <c r="C35">
        <v>7</v>
      </c>
      <c r="D35" t="s">
        <v>150</v>
      </c>
      <c r="E35" t="s">
        <v>19</v>
      </c>
      <c r="F35" t="s">
        <v>21</v>
      </c>
      <c r="G35" t="s">
        <v>18</v>
      </c>
      <c r="H35" t="s">
        <v>18</v>
      </c>
      <c r="I35">
        <v>5</v>
      </c>
      <c r="J35">
        <v>5</v>
      </c>
      <c r="K35">
        <v>500</v>
      </c>
      <c r="L35" t="s">
        <v>53</v>
      </c>
      <c r="M35" t="s">
        <v>23</v>
      </c>
      <c r="N35" t="s">
        <v>36</v>
      </c>
      <c r="O35" t="s">
        <v>151</v>
      </c>
      <c r="P35" t="s">
        <v>152</v>
      </c>
      <c r="Q35">
        <f t="shared" si="0"/>
        <v>3</v>
      </c>
      <c r="R35">
        <f t="shared" si="1"/>
        <v>1</v>
      </c>
      <c r="S35">
        <f t="shared" si="2"/>
        <v>4</v>
      </c>
      <c r="T35">
        <f t="shared" si="3"/>
        <v>4</v>
      </c>
      <c r="U35">
        <v>500</v>
      </c>
      <c r="V35">
        <f t="shared" si="4"/>
        <v>0</v>
      </c>
      <c r="W35">
        <f t="shared" si="5"/>
        <v>0</v>
      </c>
      <c r="X35">
        <f t="shared" si="6"/>
        <v>1</v>
      </c>
      <c r="Y35">
        <f t="shared" si="7"/>
        <v>0</v>
      </c>
      <c r="Z35">
        <f t="shared" si="8"/>
        <v>0</v>
      </c>
      <c r="AA35">
        <f t="shared" si="9"/>
        <v>1</v>
      </c>
      <c r="AB35">
        <f t="shared" si="10"/>
        <v>0</v>
      </c>
      <c r="AC35">
        <f t="shared" si="11"/>
        <v>0</v>
      </c>
      <c r="AD35">
        <f t="shared" si="12"/>
        <v>0</v>
      </c>
      <c r="AE35">
        <f t="shared" si="13"/>
        <v>0</v>
      </c>
      <c r="AF35">
        <f t="shared" si="14"/>
        <v>0</v>
      </c>
      <c r="AG35">
        <f t="shared" si="15"/>
        <v>0</v>
      </c>
      <c r="AH35">
        <f t="shared" si="16"/>
        <v>0</v>
      </c>
      <c r="AI35">
        <f t="shared" si="17"/>
        <v>1</v>
      </c>
    </row>
    <row r="36" spans="1:35" x14ac:dyDescent="0.2">
      <c r="A36">
        <v>35</v>
      </c>
      <c r="B36" t="s">
        <v>16</v>
      </c>
      <c r="C36">
        <v>1</v>
      </c>
      <c r="D36" t="s">
        <v>153</v>
      </c>
      <c r="E36" t="s">
        <v>39</v>
      </c>
      <c r="F36" t="s">
        <v>21</v>
      </c>
      <c r="G36" t="s">
        <v>19</v>
      </c>
      <c r="H36" t="s">
        <v>18</v>
      </c>
      <c r="I36">
        <v>3</v>
      </c>
      <c r="J36">
        <v>5</v>
      </c>
      <c r="K36">
        <v>3.14</v>
      </c>
      <c r="L36" t="s">
        <v>53</v>
      </c>
      <c r="M36" t="s">
        <v>154</v>
      </c>
      <c r="N36" t="s">
        <v>24</v>
      </c>
      <c r="O36" t="s">
        <v>155</v>
      </c>
      <c r="P36" t="s">
        <v>156</v>
      </c>
      <c r="Q36">
        <f t="shared" si="0"/>
        <v>5</v>
      </c>
      <c r="R36">
        <f t="shared" si="1"/>
        <v>1</v>
      </c>
      <c r="S36">
        <f t="shared" si="2"/>
        <v>3</v>
      </c>
      <c r="T36">
        <f t="shared" si="3"/>
        <v>4</v>
      </c>
      <c r="U36">
        <v>3.14</v>
      </c>
      <c r="V36">
        <f t="shared" si="4"/>
        <v>0</v>
      </c>
      <c r="W36">
        <f t="shared" si="5"/>
        <v>0</v>
      </c>
      <c r="X36">
        <f t="shared" si="6"/>
        <v>1</v>
      </c>
      <c r="Y36">
        <f t="shared" si="7"/>
        <v>0</v>
      </c>
      <c r="Z36">
        <f t="shared" si="8"/>
        <v>0</v>
      </c>
      <c r="AA36">
        <f t="shared" si="9"/>
        <v>1</v>
      </c>
      <c r="AB36">
        <f t="shared" si="10"/>
        <v>0</v>
      </c>
      <c r="AC36">
        <f t="shared" si="11"/>
        <v>1</v>
      </c>
      <c r="AD36">
        <f t="shared" si="12"/>
        <v>0</v>
      </c>
      <c r="AE36">
        <f t="shared" si="13"/>
        <v>0</v>
      </c>
      <c r="AF36">
        <f t="shared" si="14"/>
        <v>0</v>
      </c>
      <c r="AG36">
        <f t="shared" si="15"/>
        <v>0</v>
      </c>
      <c r="AH36">
        <f t="shared" si="16"/>
        <v>1</v>
      </c>
      <c r="AI36">
        <f t="shared" si="17"/>
        <v>0</v>
      </c>
    </row>
    <row r="37" spans="1:35" x14ac:dyDescent="0.2">
      <c r="A37">
        <v>36</v>
      </c>
      <c r="B37" t="s">
        <v>16</v>
      </c>
      <c r="C37">
        <v>7</v>
      </c>
      <c r="D37" t="s">
        <v>157</v>
      </c>
      <c r="E37" t="s">
        <v>39</v>
      </c>
      <c r="F37" t="s">
        <v>20</v>
      </c>
      <c r="G37" t="s">
        <v>19</v>
      </c>
      <c r="H37" t="s">
        <v>18</v>
      </c>
      <c r="I37">
        <v>4</v>
      </c>
      <c r="J37">
        <v>4</v>
      </c>
      <c r="K37">
        <v>888</v>
      </c>
      <c r="L37" t="s">
        <v>53</v>
      </c>
      <c r="M37" t="s">
        <v>23</v>
      </c>
      <c r="N37" t="s">
        <v>24</v>
      </c>
      <c r="O37" t="s">
        <v>158</v>
      </c>
      <c r="P37" t="s">
        <v>159</v>
      </c>
      <c r="Q37">
        <f t="shared" si="0"/>
        <v>5</v>
      </c>
      <c r="R37">
        <f t="shared" si="1"/>
        <v>2</v>
      </c>
      <c r="S37">
        <f t="shared" si="2"/>
        <v>3</v>
      </c>
      <c r="T37">
        <f t="shared" si="3"/>
        <v>4</v>
      </c>
      <c r="U37">
        <v>888</v>
      </c>
      <c r="V37">
        <f t="shared" si="4"/>
        <v>0</v>
      </c>
      <c r="W37">
        <f t="shared" si="5"/>
        <v>0</v>
      </c>
      <c r="X37">
        <f t="shared" si="6"/>
        <v>1</v>
      </c>
      <c r="Y37">
        <f t="shared" si="7"/>
        <v>0</v>
      </c>
      <c r="Z37">
        <f t="shared" si="8"/>
        <v>0</v>
      </c>
      <c r="AA37">
        <f t="shared" si="9"/>
        <v>1</v>
      </c>
      <c r="AB37">
        <f t="shared" si="10"/>
        <v>0</v>
      </c>
      <c r="AC37">
        <f t="shared" si="11"/>
        <v>0</v>
      </c>
      <c r="AD37">
        <f t="shared" si="12"/>
        <v>0</v>
      </c>
      <c r="AE37">
        <f t="shared" si="13"/>
        <v>0</v>
      </c>
      <c r="AF37">
        <f t="shared" si="14"/>
        <v>0</v>
      </c>
      <c r="AG37">
        <f t="shared" si="15"/>
        <v>0</v>
      </c>
      <c r="AH37">
        <f t="shared" si="16"/>
        <v>1</v>
      </c>
      <c r="AI37">
        <f t="shared" si="17"/>
        <v>0</v>
      </c>
    </row>
    <row r="38" spans="1:35" x14ac:dyDescent="0.2">
      <c r="A38">
        <v>37</v>
      </c>
      <c r="B38" t="s">
        <v>16</v>
      </c>
      <c r="C38">
        <v>8</v>
      </c>
      <c r="D38" t="s">
        <v>160</v>
      </c>
      <c r="E38" t="s">
        <v>18</v>
      </c>
      <c r="F38" t="s">
        <v>20</v>
      </c>
      <c r="G38" t="s">
        <v>39</v>
      </c>
      <c r="H38" t="s">
        <v>18</v>
      </c>
      <c r="I38">
        <v>5</v>
      </c>
      <c r="J38">
        <v>2</v>
      </c>
      <c r="K38">
        <v>20</v>
      </c>
      <c r="L38" t="s">
        <v>53</v>
      </c>
      <c r="M38" t="s">
        <v>161</v>
      </c>
      <c r="N38" t="s">
        <v>84</v>
      </c>
      <c r="O38" t="s">
        <v>162</v>
      </c>
      <c r="P38" t="s">
        <v>163</v>
      </c>
      <c r="Q38">
        <f t="shared" si="0"/>
        <v>4</v>
      </c>
      <c r="R38">
        <f t="shared" si="1"/>
        <v>2</v>
      </c>
      <c r="S38">
        <f t="shared" si="2"/>
        <v>5</v>
      </c>
      <c r="T38">
        <f t="shared" si="3"/>
        <v>4</v>
      </c>
      <c r="U38">
        <v>20</v>
      </c>
      <c r="V38">
        <f t="shared" si="4"/>
        <v>0</v>
      </c>
      <c r="W38">
        <f t="shared" si="5"/>
        <v>0</v>
      </c>
      <c r="X38">
        <f t="shared" si="6"/>
        <v>1</v>
      </c>
      <c r="Y38">
        <f t="shared" si="7"/>
        <v>0</v>
      </c>
      <c r="Z38">
        <f t="shared" si="8"/>
        <v>0</v>
      </c>
      <c r="AA38">
        <f t="shared" si="9"/>
        <v>1</v>
      </c>
      <c r="AB38">
        <f t="shared" si="10"/>
        <v>1</v>
      </c>
      <c r="AC38">
        <f t="shared" si="11"/>
        <v>1</v>
      </c>
      <c r="AD38">
        <f t="shared" si="12"/>
        <v>1</v>
      </c>
      <c r="AE38">
        <f t="shared" si="13"/>
        <v>0</v>
      </c>
      <c r="AF38">
        <f t="shared" si="14"/>
        <v>0</v>
      </c>
      <c r="AG38">
        <f t="shared" si="15"/>
        <v>1</v>
      </c>
      <c r="AH38">
        <f t="shared" si="16"/>
        <v>0</v>
      </c>
      <c r="AI38">
        <f t="shared" si="17"/>
        <v>0</v>
      </c>
    </row>
    <row r="39" spans="1:35" x14ac:dyDescent="0.2">
      <c r="A39">
        <v>38</v>
      </c>
      <c r="B39" t="s">
        <v>16</v>
      </c>
      <c r="C39">
        <v>8</v>
      </c>
      <c r="D39" t="s">
        <v>164</v>
      </c>
      <c r="E39" t="s">
        <v>18</v>
      </c>
      <c r="F39" t="s">
        <v>20</v>
      </c>
      <c r="G39" t="s">
        <v>21</v>
      </c>
      <c r="H39" t="s">
        <v>39</v>
      </c>
      <c r="I39">
        <v>6</v>
      </c>
      <c r="J39">
        <v>4</v>
      </c>
      <c r="K39" s="1">
        <v>1000</v>
      </c>
      <c r="L39" t="s">
        <v>22</v>
      </c>
      <c r="M39" t="s">
        <v>123</v>
      </c>
      <c r="N39" t="s">
        <v>24</v>
      </c>
      <c r="O39" t="s">
        <v>165</v>
      </c>
      <c r="P39" t="s">
        <v>166</v>
      </c>
      <c r="Q39">
        <f t="shared" si="0"/>
        <v>4</v>
      </c>
      <c r="R39">
        <f t="shared" si="1"/>
        <v>2</v>
      </c>
      <c r="S39">
        <f t="shared" si="2"/>
        <v>1</v>
      </c>
      <c r="T39">
        <f t="shared" si="3"/>
        <v>5</v>
      </c>
      <c r="U39">
        <v>1000</v>
      </c>
      <c r="V39">
        <f t="shared" si="4"/>
        <v>1</v>
      </c>
      <c r="W39">
        <f t="shared" si="5"/>
        <v>0</v>
      </c>
      <c r="X39">
        <f t="shared" si="6"/>
        <v>0</v>
      </c>
      <c r="Y39">
        <f t="shared" si="7"/>
        <v>0</v>
      </c>
      <c r="Z39">
        <f t="shared" si="8"/>
        <v>0</v>
      </c>
      <c r="AA39">
        <f t="shared" si="9"/>
        <v>0</v>
      </c>
      <c r="AB39">
        <f t="shared" si="10"/>
        <v>1</v>
      </c>
      <c r="AC39">
        <f t="shared" si="11"/>
        <v>1</v>
      </c>
      <c r="AD39">
        <f t="shared" si="12"/>
        <v>0</v>
      </c>
      <c r="AE39">
        <f t="shared" si="13"/>
        <v>0</v>
      </c>
      <c r="AF39">
        <f t="shared" si="14"/>
        <v>0</v>
      </c>
      <c r="AG39">
        <f t="shared" si="15"/>
        <v>0</v>
      </c>
      <c r="AH39">
        <f t="shared" si="16"/>
        <v>1</v>
      </c>
      <c r="AI39">
        <f t="shared" si="17"/>
        <v>0</v>
      </c>
    </row>
    <row r="40" spans="1:35" x14ac:dyDescent="0.2">
      <c r="A40">
        <v>39</v>
      </c>
      <c r="B40" t="s">
        <v>16</v>
      </c>
      <c r="C40">
        <v>7</v>
      </c>
      <c r="D40" t="s">
        <v>167</v>
      </c>
      <c r="E40" t="s">
        <v>39</v>
      </c>
      <c r="F40" t="s">
        <v>20</v>
      </c>
      <c r="G40" t="s">
        <v>20</v>
      </c>
      <c r="H40" t="s">
        <v>39</v>
      </c>
      <c r="I40">
        <v>3</v>
      </c>
      <c r="J40">
        <v>5</v>
      </c>
      <c r="K40">
        <v>500</v>
      </c>
      <c r="L40" t="s">
        <v>98</v>
      </c>
      <c r="M40" t="s">
        <v>23</v>
      </c>
      <c r="N40" t="s">
        <v>147</v>
      </c>
      <c r="O40" t="s">
        <v>168</v>
      </c>
      <c r="P40" t="s">
        <v>169</v>
      </c>
      <c r="Q40">
        <f t="shared" si="0"/>
        <v>5</v>
      </c>
      <c r="R40">
        <f t="shared" si="1"/>
        <v>2</v>
      </c>
      <c r="S40">
        <f t="shared" si="2"/>
        <v>2</v>
      </c>
      <c r="T40">
        <f t="shared" si="3"/>
        <v>5</v>
      </c>
      <c r="U40">
        <v>500</v>
      </c>
      <c r="V40">
        <f t="shared" si="4"/>
        <v>0</v>
      </c>
      <c r="W40">
        <f t="shared" si="5"/>
        <v>1</v>
      </c>
      <c r="X40">
        <f t="shared" si="6"/>
        <v>0</v>
      </c>
      <c r="Y40">
        <f t="shared" si="7"/>
        <v>0</v>
      </c>
      <c r="Z40">
        <f t="shared" si="8"/>
        <v>0</v>
      </c>
      <c r="AA40">
        <f t="shared" si="9"/>
        <v>1</v>
      </c>
      <c r="AB40">
        <f t="shared" si="10"/>
        <v>0</v>
      </c>
      <c r="AC40">
        <f t="shared" si="11"/>
        <v>0</v>
      </c>
      <c r="AD40">
        <f t="shared" si="12"/>
        <v>0</v>
      </c>
      <c r="AE40">
        <f t="shared" si="13"/>
        <v>0</v>
      </c>
      <c r="AF40">
        <f t="shared" si="14"/>
        <v>0</v>
      </c>
      <c r="AG40">
        <f t="shared" si="15"/>
        <v>0</v>
      </c>
      <c r="AH40">
        <f t="shared" si="16"/>
        <v>1</v>
      </c>
      <c r="AI40">
        <f t="shared" si="17"/>
        <v>1</v>
      </c>
    </row>
    <row r="41" spans="1:35" x14ac:dyDescent="0.2">
      <c r="A41">
        <v>40</v>
      </c>
      <c r="B41" t="s">
        <v>16</v>
      </c>
      <c r="C41">
        <v>5</v>
      </c>
      <c r="D41" t="s">
        <v>170</v>
      </c>
      <c r="E41" t="s">
        <v>20</v>
      </c>
      <c r="F41" t="s">
        <v>21</v>
      </c>
      <c r="G41" t="s">
        <v>21</v>
      </c>
      <c r="H41" t="s">
        <v>18</v>
      </c>
      <c r="I41">
        <v>3</v>
      </c>
      <c r="J41">
        <v>3</v>
      </c>
      <c r="K41">
        <v>10000</v>
      </c>
      <c r="L41" t="s">
        <v>53</v>
      </c>
      <c r="M41" t="s">
        <v>23</v>
      </c>
      <c r="N41" t="s">
        <v>24</v>
      </c>
      <c r="O41" t="s">
        <v>171</v>
      </c>
      <c r="P41" t="s">
        <v>172</v>
      </c>
      <c r="Q41">
        <f t="shared" si="0"/>
        <v>2</v>
      </c>
      <c r="R41">
        <f t="shared" si="1"/>
        <v>1</v>
      </c>
      <c r="S41">
        <f t="shared" si="2"/>
        <v>1</v>
      </c>
      <c r="T41">
        <f t="shared" si="3"/>
        <v>4</v>
      </c>
      <c r="U41">
        <v>10000</v>
      </c>
      <c r="V41">
        <f t="shared" si="4"/>
        <v>0</v>
      </c>
      <c r="W41">
        <f t="shared" si="5"/>
        <v>0</v>
      </c>
      <c r="X41">
        <f t="shared" si="6"/>
        <v>1</v>
      </c>
      <c r="Y41">
        <f t="shared" si="7"/>
        <v>0</v>
      </c>
      <c r="Z41">
        <f t="shared" si="8"/>
        <v>0</v>
      </c>
      <c r="AA41">
        <f t="shared" si="9"/>
        <v>1</v>
      </c>
      <c r="AB41">
        <f t="shared" si="10"/>
        <v>0</v>
      </c>
      <c r="AC41">
        <f t="shared" si="11"/>
        <v>0</v>
      </c>
      <c r="AD41">
        <f t="shared" si="12"/>
        <v>0</v>
      </c>
      <c r="AE41">
        <f t="shared" si="13"/>
        <v>0</v>
      </c>
      <c r="AF41">
        <f t="shared" si="14"/>
        <v>0</v>
      </c>
      <c r="AG41">
        <f t="shared" si="15"/>
        <v>0</v>
      </c>
      <c r="AH41">
        <f t="shared" si="16"/>
        <v>1</v>
      </c>
      <c r="AI41">
        <f t="shared" si="17"/>
        <v>0</v>
      </c>
    </row>
    <row r="42" spans="1:35" x14ac:dyDescent="0.2">
      <c r="A42">
        <v>41</v>
      </c>
      <c r="B42" t="s">
        <v>16</v>
      </c>
      <c r="C42">
        <v>8</v>
      </c>
      <c r="D42" t="s">
        <v>173</v>
      </c>
      <c r="E42" t="s">
        <v>18</v>
      </c>
      <c r="F42" t="s">
        <v>21</v>
      </c>
      <c r="G42" t="s">
        <v>18</v>
      </c>
      <c r="H42" t="s">
        <v>39</v>
      </c>
      <c r="I42">
        <v>6</v>
      </c>
      <c r="J42">
        <v>5</v>
      </c>
      <c r="K42">
        <v>15000</v>
      </c>
      <c r="L42" t="s">
        <v>47</v>
      </c>
      <c r="M42" t="s">
        <v>99</v>
      </c>
      <c r="N42" t="s">
        <v>49</v>
      </c>
      <c r="O42" t="s">
        <v>116</v>
      </c>
      <c r="P42" t="s">
        <v>174</v>
      </c>
      <c r="Q42">
        <f t="shared" si="0"/>
        <v>4</v>
      </c>
      <c r="R42">
        <f t="shared" si="1"/>
        <v>1</v>
      </c>
      <c r="S42">
        <f t="shared" si="2"/>
        <v>4</v>
      </c>
      <c r="T42">
        <f t="shared" si="3"/>
        <v>5</v>
      </c>
      <c r="U42">
        <v>15000</v>
      </c>
      <c r="V42">
        <f t="shared" si="4"/>
        <v>0</v>
      </c>
      <c r="W42">
        <f t="shared" si="5"/>
        <v>0</v>
      </c>
      <c r="X42">
        <f t="shared" si="6"/>
        <v>1</v>
      </c>
      <c r="Y42">
        <f t="shared" si="7"/>
        <v>0</v>
      </c>
      <c r="Z42">
        <f t="shared" si="8"/>
        <v>1</v>
      </c>
      <c r="AA42">
        <f t="shared" si="9"/>
        <v>1</v>
      </c>
      <c r="AB42">
        <f t="shared" si="10"/>
        <v>0</v>
      </c>
      <c r="AC42">
        <f t="shared" si="11"/>
        <v>0</v>
      </c>
      <c r="AD42">
        <f t="shared" si="12"/>
        <v>0</v>
      </c>
      <c r="AE42">
        <f t="shared" si="13"/>
        <v>1</v>
      </c>
      <c r="AF42">
        <f t="shared" si="14"/>
        <v>0</v>
      </c>
      <c r="AG42">
        <f t="shared" si="15"/>
        <v>1</v>
      </c>
      <c r="AH42">
        <f t="shared" si="16"/>
        <v>1</v>
      </c>
      <c r="AI42">
        <f t="shared" si="17"/>
        <v>0</v>
      </c>
    </row>
    <row r="43" spans="1:35" x14ac:dyDescent="0.2">
      <c r="A43">
        <v>42</v>
      </c>
      <c r="B43" t="s">
        <v>16</v>
      </c>
      <c r="C43">
        <v>8</v>
      </c>
      <c r="D43" t="s">
        <v>175</v>
      </c>
      <c r="E43" t="s">
        <v>39</v>
      </c>
      <c r="F43" t="s">
        <v>20</v>
      </c>
      <c r="G43" t="s">
        <v>20</v>
      </c>
      <c r="H43" t="s">
        <v>18</v>
      </c>
      <c r="I43">
        <v>4</v>
      </c>
      <c r="J43">
        <v>5</v>
      </c>
      <c r="K43">
        <v>100000</v>
      </c>
      <c r="L43" t="s">
        <v>47</v>
      </c>
      <c r="M43" t="s">
        <v>23</v>
      </c>
      <c r="N43" t="s">
        <v>147</v>
      </c>
      <c r="O43" t="s">
        <v>176</v>
      </c>
      <c r="P43" t="s">
        <v>177</v>
      </c>
      <c r="Q43">
        <f t="shared" si="0"/>
        <v>5</v>
      </c>
      <c r="R43">
        <f t="shared" si="1"/>
        <v>2</v>
      </c>
      <c r="S43">
        <f t="shared" si="2"/>
        <v>2</v>
      </c>
      <c r="T43">
        <f t="shared" si="3"/>
        <v>4</v>
      </c>
      <c r="U43">
        <v>100000</v>
      </c>
      <c r="V43">
        <f t="shared" si="4"/>
        <v>0</v>
      </c>
      <c r="W43">
        <f t="shared" si="5"/>
        <v>0</v>
      </c>
      <c r="X43">
        <f t="shared" si="6"/>
        <v>1</v>
      </c>
      <c r="Y43">
        <f t="shared" si="7"/>
        <v>0</v>
      </c>
      <c r="Z43">
        <f t="shared" si="8"/>
        <v>1</v>
      </c>
      <c r="AA43">
        <f t="shared" si="9"/>
        <v>1</v>
      </c>
      <c r="AB43">
        <f t="shared" si="10"/>
        <v>0</v>
      </c>
      <c r="AC43">
        <f t="shared" si="11"/>
        <v>0</v>
      </c>
      <c r="AD43">
        <f t="shared" si="12"/>
        <v>0</v>
      </c>
      <c r="AE43">
        <f t="shared" si="13"/>
        <v>0</v>
      </c>
      <c r="AF43">
        <f t="shared" si="14"/>
        <v>0</v>
      </c>
      <c r="AG43">
        <f t="shared" si="15"/>
        <v>0</v>
      </c>
      <c r="AH43">
        <f t="shared" si="16"/>
        <v>1</v>
      </c>
      <c r="AI43">
        <f t="shared" si="17"/>
        <v>1</v>
      </c>
    </row>
    <row r="44" spans="1:35" x14ac:dyDescent="0.2">
      <c r="A44">
        <v>43</v>
      </c>
      <c r="B44" t="s">
        <v>16</v>
      </c>
      <c r="C44">
        <v>4</v>
      </c>
      <c r="D44" t="s">
        <v>178</v>
      </c>
      <c r="E44" t="s">
        <v>20</v>
      </c>
      <c r="F44" t="s">
        <v>21</v>
      </c>
      <c r="G44" t="s">
        <v>18</v>
      </c>
      <c r="H44" t="s">
        <v>19</v>
      </c>
      <c r="I44">
        <v>4</v>
      </c>
      <c r="J44">
        <v>4</v>
      </c>
      <c r="K44">
        <v>400</v>
      </c>
      <c r="L44" t="s">
        <v>53</v>
      </c>
      <c r="M44" t="s">
        <v>179</v>
      </c>
      <c r="N44" t="s">
        <v>36</v>
      </c>
      <c r="O44" t="s">
        <v>180</v>
      </c>
      <c r="P44" t="s">
        <v>181</v>
      </c>
      <c r="Q44">
        <f t="shared" si="0"/>
        <v>2</v>
      </c>
      <c r="R44">
        <f t="shared" si="1"/>
        <v>1</v>
      </c>
      <c r="S44">
        <f t="shared" si="2"/>
        <v>4</v>
      </c>
      <c r="T44">
        <f t="shared" si="3"/>
        <v>3</v>
      </c>
      <c r="U44">
        <v>400</v>
      </c>
      <c r="V44">
        <f t="shared" si="4"/>
        <v>0</v>
      </c>
      <c r="W44">
        <f t="shared" si="5"/>
        <v>0</v>
      </c>
      <c r="X44">
        <f t="shared" si="6"/>
        <v>1</v>
      </c>
      <c r="Y44">
        <f t="shared" si="7"/>
        <v>0</v>
      </c>
      <c r="Z44">
        <f t="shared" si="8"/>
        <v>0</v>
      </c>
      <c r="AA44">
        <f t="shared" si="9"/>
        <v>0</v>
      </c>
      <c r="AB44">
        <f t="shared" si="10"/>
        <v>0</v>
      </c>
      <c r="AC44">
        <f t="shared" si="11"/>
        <v>0</v>
      </c>
      <c r="AD44">
        <f t="shared" si="12"/>
        <v>1</v>
      </c>
      <c r="AE44">
        <f t="shared" si="13"/>
        <v>1</v>
      </c>
      <c r="AF44">
        <f t="shared" si="14"/>
        <v>0</v>
      </c>
      <c r="AG44">
        <f t="shared" si="15"/>
        <v>0</v>
      </c>
      <c r="AH44">
        <f t="shared" si="16"/>
        <v>0</v>
      </c>
      <c r="AI44">
        <f t="shared" si="17"/>
        <v>1</v>
      </c>
    </row>
    <row r="45" spans="1:35" x14ac:dyDescent="0.2">
      <c r="A45">
        <v>44</v>
      </c>
      <c r="B45" t="s">
        <v>16</v>
      </c>
      <c r="C45">
        <v>8</v>
      </c>
      <c r="D45" t="s">
        <v>182</v>
      </c>
      <c r="E45" t="s">
        <v>19</v>
      </c>
      <c r="F45" t="s">
        <v>21</v>
      </c>
      <c r="G45" t="s">
        <v>20</v>
      </c>
      <c r="H45" t="s">
        <v>39</v>
      </c>
      <c r="I45">
        <v>4</v>
      </c>
      <c r="J45">
        <v>5</v>
      </c>
      <c r="K45">
        <v>50</v>
      </c>
      <c r="L45" t="s">
        <v>70</v>
      </c>
      <c r="M45" t="s">
        <v>154</v>
      </c>
      <c r="N45" t="s">
        <v>84</v>
      </c>
      <c r="O45" t="s">
        <v>183</v>
      </c>
      <c r="P45" t="s">
        <v>184</v>
      </c>
      <c r="Q45">
        <f t="shared" si="0"/>
        <v>3</v>
      </c>
      <c r="R45">
        <f t="shared" si="1"/>
        <v>1</v>
      </c>
      <c r="S45">
        <f t="shared" si="2"/>
        <v>2</v>
      </c>
      <c r="T45">
        <f t="shared" si="3"/>
        <v>5</v>
      </c>
      <c r="U45">
        <v>50</v>
      </c>
      <c r="V45">
        <f t="shared" si="4"/>
        <v>0</v>
      </c>
      <c r="W45">
        <f t="shared" si="5"/>
        <v>0</v>
      </c>
      <c r="X45">
        <f t="shared" si="6"/>
        <v>0</v>
      </c>
      <c r="Y45">
        <f t="shared" si="7"/>
        <v>1</v>
      </c>
      <c r="Z45">
        <f t="shared" si="8"/>
        <v>0</v>
      </c>
      <c r="AA45">
        <f t="shared" si="9"/>
        <v>1</v>
      </c>
      <c r="AB45">
        <f t="shared" si="10"/>
        <v>0</v>
      </c>
      <c r="AC45">
        <f t="shared" si="11"/>
        <v>1</v>
      </c>
      <c r="AD45">
        <f t="shared" si="12"/>
        <v>0</v>
      </c>
      <c r="AE45">
        <f t="shared" si="13"/>
        <v>0</v>
      </c>
      <c r="AF45">
        <f t="shared" si="14"/>
        <v>0</v>
      </c>
      <c r="AG45">
        <f t="shared" si="15"/>
        <v>1</v>
      </c>
      <c r="AH45">
        <f t="shared" si="16"/>
        <v>0</v>
      </c>
      <c r="AI45">
        <f t="shared" si="17"/>
        <v>0</v>
      </c>
    </row>
    <row r="46" spans="1:35" x14ac:dyDescent="0.2">
      <c r="A46">
        <v>45</v>
      </c>
      <c r="B46" t="s">
        <v>16</v>
      </c>
      <c r="C46">
        <v>7</v>
      </c>
      <c r="E46" t="s">
        <v>19</v>
      </c>
      <c r="F46" t="s">
        <v>18</v>
      </c>
      <c r="G46" t="s">
        <v>20</v>
      </c>
      <c r="H46" t="s">
        <v>18</v>
      </c>
      <c r="I46">
        <v>5</v>
      </c>
      <c r="J46">
        <v>7</v>
      </c>
      <c r="K46">
        <v>20</v>
      </c>
      <c r="L46" t="s">
        <v>53</v>
      </c>
      <c r="M46" t="s">
        <v>35</v>
      </c>
      <c r="N46" t="s">
        <v>24</v>
      </c>
      <c r="O46" t="s">
        <v>185</v>
      </c>
      <c r="P46" t="s">
        <v>186</v>
      </c>
      <c r="Q46">
        <f t="shared" si="0"/>
        <v>3</v>
      </c>
      <c r="R46">
        <f t="shared" si="1"/>
        <v>4</v>
      </c>
      <c r="S46">
        <f t="shared" si="2"/>
        <v>2</v>
      </c>
      <c r="T46">
        <f t="shared" si="3"/>
        <v>4</v>
      </c>
      <c r="U46">
        <v>20</v>
      </c>
      <c r="V46">
        <f t="shared" si="4"/>
        <v>0</v>
      </c>
      <c r="W46">
        <f t="shared" si="5"/>
        <v>0</v>
      </c>
      <c r="X46">
        <f t="shared" si="6"/>
        <v>1</v>
      </c>
      <c r="Y46">
        <f t="shared" si="7"/>
        <v>0</v>
      </c>
      <c r="Z46">
        <f t="shared" si="8"/>
        <v>0</v>
      </c>
      <c r="AA46">
        <f t="shared" si="9"/>
        <v>0</v>
      </c>
      <c r="AB46">
        <f t="shared" si="10"/>
        <v>0</v>
      </c>
      <c r="AC46">
        <f t="shared" si="11"/>
        <v>0</v>
      </c>
      <c r="AD46">
        <f t="shared" si="12"/>
        <v>1</v>
      </c>
      <c r="AE46">
        <f t="shared" si="13"/>
        <v>0</v>
      </c>
      <c r="AF46">
        <f t="shared" si="14"/>
        <v>0</v>
      </c>
      <c r="AG46">
        <f t="shared" si="15"/>
        <v>0</v>
      </c>
      <c r="AH46">
        <f t="shared" si="16"/>
        <v>1</v>
      </c>
      <c r="AI46">
        <f t="shared" si="17"/>
        <v>0</v>
      </c>
    </row>
    <row r="47" spans="1:35" x14ac:dyDescent="0.2">
      <c r="A47">
        <v>46</v>
      </c>
      <c r="B47" t="s">
        <v>16</v>
      </c>
      <c r="C47">
        <v>6</v>
      </c>
      <c r="D47" t="s">
        <v>187</v>
      </c>
      <c r="E47" t="s">
        <v>18</v>
      </c>
      <c r="F47" t="s">
        <v>19</v>
      </c>
      <c r="G47" t="s">
        <v>18</v>
      </c>
      <c r="H47" t="s">
        <v>18</v>
      </c>
      <c r="I47">
        <v>5</v>
      </c>
      <c r="J47">
        <v>7</v>
      </c>
      <c r="K47">
        <v>0</v>
      </c>
      <c r="L47" t="s">
        <v>53</v>
      </c>
      <c r="M47" t="s">
        <v>23</v>
      </c>
      <c r="N47" t="s">
        <v>49</v>
      </c>
      <c r="O47" t="s">
        <v>188</v>
      </c>
      <c r="P47" t="s">
        <v>189</v>
      </c>
      <c r="Q47">
        <f t="shared" si="0"/>
        <v>4</v>
      </c>
      <c r="R47">
        <f t="shared" si="1"/>
        <v>3</v>
      </c>
      <c r="S47">
        <f t="shared" si="2"/>
        <v>4</v>
      </c>
      <c r="T47">
        <f t="shared" si="3"/>
        <v>4</v>
      </c>
      <c r="U47">
        <v>0</v>
      </c>
      <c r="V47">
        <f t="shared" si="4"/>
        <v>0</v>
      </c>
      <c r="W47">
        <f t="shared" si="5"/>
        <v>0</v>
      </c>
      <c r="X47">
        <f t="shared" si="6"/>
        <v>1</v>
      </c>
      <c r="Y47">
        <f t="shared" si="7"/>
        <v>0</v>
      </c>
      <c r="Z47">
        <f t="shared" si="8"/>
        <v>0</v>
      </c>
      <c r="AA47">
        <f t="shared" si="9"/>
        <v>1</v>
      </c>
      <c r="AB47">
        <f t="shared" si="10"/>
        <v>0</v>
      </c>
      <c r="AC47">
        <f t="shared" si="11"/>
        <v>0</v>
      </c>
      <c r="AD47">
        <f t="shared" si="12"/>
        <v>0</v>
      </c>
      <c r="AE47">
        <f t="shared" si="13"/>
        <v>0</v>
      </c>
      <c r="AF47">
        <f t="shared" si="14"/>
        <v>0</v>
      </c>
      <c r="AG47">
        <f t="shared" si="15"/>
        <v>1</v>
      </c>
      <c r="AH47">
        <f t="shared" si="16"/>
        <v>1</v>
      </c>
      <c r="AI47">
        <f t="shared" si="17"/>
        <v>0</v>
      </c>
    </row>
    <row r="48" spans="1:35" x14ac:dyDescent="0.2">
      <c r="A48">
        <v>47</v>
      </c>
      <c r="B48" t="s">
        <v>16</v>
      </c>
      <c r="C48">
        <v>7</v>
      </c>
      <c r="D48" t="s">
        <v>190</v>
      </c>
      <c r="E48" t="s">
        <v>19</v>
      </c>
      <c r="F48" t="s">
        <v>21</v>
      </c>
      <c r="G48" t="s">
        <v>20</v>
      </c>
      <c r="H48" t="s">
        <v>19</v>
      </c>
      <c r="I48">
        <v>7</v>
      </c>
      <c r="J48">
        <v>5</v>
      </c>
      <c r="K48">
        <v>25</v>
      </c>
      <c r="L48" t="s">
        <v>41</v>
      </c>
      <c r="M48" t="s">
        <v>123</v>
      </c>
      <c r="N48" t="s">
        <v>24</v>
      </c>
      <c r="O48" t="s">
        <v>191</v>
      </c>
      <c r="P48" t="s">
        <v>192</v>
      </c>
      <c r="Q48">
        <f t="shared" si="0"/>
        <v>3</v>
      </c>
      <c r="R48">
        <f t="shared" si="1"/>
        <v>1</v>
      </c>
      <c r="S48">
        <f t="shared" si="2"/>
        <v>2</v>
      </c>
      <c r="T48">
        <f t="shared" si="3"/>
        <v>3</v>
      </c>
      <c r="U48">
        <v>25</v>
      </c>
      <c r="V48">
        <f t="shared" si="4"/>
        <v>0</v>
      </c>
      <c r="W48">
        <f t="shared" si="5"/>
        <v>0</v>
      </c>
      <c r="X48">
        <f t="shared" si="6"/>
        <v>0</v>
      </c>
      <c r="Y48">
        <f t="shared" si="7"/>
        <v>0</v>
      </c>
      <c r="Z48">
        <f t="shared" si="8"/>
        <v>1</v>
      </c>
      <c r="AA48">
        <f t="shared" si="9"/>
        <v>0</v>
      </c>
      <c r="AB48">
        <f t="shared" si="10"/>
        <v>1</v>
      </c>
      <c r="AC48">
        <f t="shared" si="11"/>
        <v>1</v>
      </c>
      <c r="AD48">
        <f t="shared" si="12"/>
        <v>0</v>
      </c>
      <c r="AE48">
        <f t="shared" si="13"/>
        <v>0</v>
      </c>
      <c r="AF48">
        <f t="shared" si="14"/>
        <v>0</v>
      </c>
      <c r="AG48">
        <f t="shared" si="15"/>
        <v>0</v>
      </c>
      <c r="AH48">
        <f t="shared" si="16"/>
        <v>1</v>
      </c>
      <c r="AI48">
        <f t="shared" si="17"/>
        <v>0</v>
      </c>
    </row>
    <row r="49" spans="1:35" x14ac:dyDescent="0.2">
      <c r="A49">
        <v>48</v>
      </c>
      <c r="B49" t="s">
        <v>16</v>
      </c>
      <c r="C49">
        <v>7</v>
      </c>
      <c r="D49" t="s">
        <v>193</v>
      </c>
      <c r="E49" t="s">
        <v>39</v>
      </c>
      <c r="F49" t="s">
        <v>20</v>
      </c>
      <c r="G49" t="s">
        <v>39</v>
      </c>
      <c r="H49" t="s">
        <v>39</v>
      </c>
      <c r="I49">
        <v>4</v>
      </c>
      <c r="J49">
        <v>5</v>
      </c>
      <c r="K49">
        <v>1000</v>
      </c>
      <c r="L49" t="s">
        <v>194</v>
      </c>
      <c r="M49" t="s">
        <v>154</v>
      </c>
      <c r="N49" t="s">
        <v>24</v>
      </c>
      <c r="O49" t="s">
        <v>195</v>
      </c>
      <c r="P49" t="s">
        <v>196</v>
      </c>
      <c r="Q49">
        <f t="shared" si="0"/>
        <v>5</v>
      </c>
      <c r="R49">
        <f t="shared" si="1"/>
        <v>2</v>
      </c>
      <c r="S49">
        <f t="shared" si="2"/>
        <v>5</v>
      </c>
      <c r="T49">
        <f t="shared" si="3"/>
        <v>5</v>
      </c>
      <c r="U49">
        <v>1000</v>
      </c>
      <c r="V49">
        <f t="shared" si="4"/>
        <v>0</v>
      </c>
      <c r="W49">
        <f t="shared" si="5"/>
        <v>0</v>
      </c>
      <c r="X49">
        <f t="shared" si="6"/>
        <v>0</v>
      </c>
      <c r="Y49">
        <f t="shared" si="7"/>
        <v>1</v>
      </c>
      <c r="Z49">
        <f t="shared" si="8"/>
        <v>1</v>
      </c>
      <c r="AA49">
        <f t="shared" si="9"/>
        <v>1</v>
      </c>
      <c r="AB49">
        <f t="shared" si="10"/>
        <v>0</v>
      </c>
      <c r="AC49">
        <f t="shared" si="11"/>
        <v>1</v>
      </c>
      <c r="AD49">
        <f t="shared" si="12"/>
        <v>0</v>
      </c>
      <c r="AE49">
        <f t="shared" si="13"/>
        <v>0</v>
      </c>
      <c r="AF49">
        <f t="shared" si="14"/>
        <v>0</v>
      </c>
      <c r="AG49">
        <f t="shared" si="15"/>
        <v>0</v>
      </c>
      <c r="AH49">
        <f t="shared" si="16"/>
        <v>1</v>
      </c>
      <c r="AI49">
        <f t="shared" si="17"/>
        <v>0</v>
      </c>
    </row>
    <row r="50" spans="1:35" x14ac:dyDescent="0.2">
      <c r="A50">
        <v>49</v>
      </c>
      <c r="B50" t="s">
        <v>16</v>
      </c>
      <c r="C50">
        <v>8</v>
      </c>
      <c r="D50" t="s">
        <v>197</v>
      </c>
      <c r="E50" t="s">
        <v>18</v>
      </c>
      <c r="F50" t="s">
        <v>20</v>
      </c>
      <c r="G50" t="s">
        <v>18</v>
      </c>
      <c r="H50" t="s">
        <v>18</v>
      </c>
      <c r="I50">
        <v>9</v>
      </c>
      <c r="J50">
        <v>5</v>
      </c>
      <c r="K50" t="s">
        <v>198</v>
      </c>
      <c r="L50" t="s">
        <v>47</v>
      </c>
      <c r="M50" t="s">
        <v>23</v>
      </c>
      <c r="N50" t="s">
        <v>24</v>
      </c>
      <c r="O50" t="s">
        <v>199</v>
      </c>
      <c r="P50" t="s">
        <v>200</v>
      </c>
      <c r="Q50">
        <f t="shared" si="0"/>
        <v>4</v>
      </c>
      <c r="R50">
        <f t="shared" si="1"/>
        <v>2</v>
      </c>
      <c r="S50">
        <f t="shared" si="2"/>
        <v>4</v>
      </c>
      <c r="T50">
        <f t="shared" si="3"/>
        <v>4</v>
      </c>
      <c r="U50">
        <v>20</v>
      </c>
      <c r="V50">
        <f t="shared" si="4"/>
        <v>0</v>
      </c>
      <c r="W50">
        <f t="shared" si="5"/>
        <v>0</v>
      </c>
      <c r="X50">
        <f t="shared" si="6"/>
        <v>1</v>
      </c>
      <c r="Y50">
        <f t="shared" si="7"/>
        <v>0</v>
      </c>
      <c r="Z50">
        <f t="shared" si="8"/>
        <v>1</v>
      </c>
      <c r="AA50">
        <f t="shared" si="9"/>
        <v>1</v>
      </c>
      <c r="AB50">
        <f t="shared" si="10"/>
        <v>0</v>
      </c>
      <c r="AC50">
        <f t="shared" si="11"/>
        <v>0</v>
      </c>
      <c r="AD50">
        <f t="shared" si="12"/>
        <v>0</v>
      </c>
      <c r="AE50">
        <f t="shared" si="13"/>
        <v>0</v>
      </c>
      <c r="AF50">
        <f t="shared" si="14"/>
        <v>0</v>
      </c>
      <c r="AG50">
        <f t="shared" si="15"/>
        <v>0</v>
      </c>
      <c r="AH50">
        <f t="shared" si="16"/>
        <v>1</v>
      </c>
      <c r="AI50">
        <f t="shared" si="17"/>
        <v>0</v>
      </c>
    </row>
    <row r="51" spans="1:35" x14ac:dyDescent="0.2">
      <c r="A51">
        <v>50</v>
      </c>
      <c r="B51" t="s">
        <v>16</v>
      </c>
      <c r="C51">
        <v>6</v>
      </c>
      <c r="D51" t="s">
        <v>201</v>
      </c>
      <c r="E51" t="s">
        <v>18</v>
      </c>
      <c r="F51" t="s">
        <v>20</v>
      </c>
      <c r="G51" t="s">
        <v>20</v>
      </c>
      <c r="H51" t="s">
        <v>18</v>
      </c>
      <c r="I51">
        <v>4</v>
      </c>
      <c r="J51">
        <v>5</v>
      </c>
      <c r="K51" s="2">
        <v>200000000</v>
      </c>
      <c r="L51" t="s">
        <v>41</v>
      </c>
      <c r="M51" t="s">
        <v>23</v>
      </c>
      <c r="N51" t="s">
        <v>24</v>
      </c>
      <c r="O51" t="s">
        <v>202</v>
      </c>
      <c r="P51" t="s">
        <v>203</v>
      </c>
      <c r="Q51">
        <f t="shared" si="0"/>
        <v>4</v>
      </c>
      <c r="R51">
        <f t="shared" si="1"/>
        <v>2</v>
      </c>
      <c r="S51">
        <f t="shared" si="2"/>
        <v>2</v>
      </c>
      <c r="T51">
        <f t="shared" si="3"/>
        <v>4</v>
      </c>
      <c r="U51">
        <v>200000000</v>
      </c>
      <c r="V51">
        <f t="shared" si="4"/>
        <v>0</v>
      </c>
      <c r="W51">
        <f t="shared" si="5"/>
        <v>0</v>
      </c>
      <c r="X51">
        <f t="shared" si="6"/>
        <v>0</v>
      </c>
      <c r="Y51">
        <f t="shared" si="7"/>
        <v>0</v>
      </c>
      <c r="Z51">
        <f t="shared" si="8"/>
        <v>1</v>
      </c>
      <c r="AA51">
        <f t="shared" si="9"/>
        <v>1</v>
      </c>
      <c r="AB51">
        <f t="shared" si="10"/>
        <v>0</v>
      </c>
      <c r="AC51">
        <f t="shared" si="11"/>
        <v>0</v>
      </c>
      <c r="AD51">
        <f t="shared" si="12"/>
        <v>0</v>
      </c>
      <c r="AE51">
        <f t="shared" si="13"/>
        <v>0</v>
      </c>
      <c r="AF51">
        <f t="shared" si="14"/>
        <v>0</v>
      </c>
      <c r="AG51">
        <f t="shared" si="15"/>
        <v>0</v>
      </c>
      <c r="AH51">
        <f t="shared" si="16"/>
        <v>1</v>
      </c>
      <c r="AI51">
        <f t="shared" si="17"/>
        <v>0</v>
      </c>
    </row>
    <row r="52" spans="1:35" x14ac:dyDescent="0.2">
      <c r="A52">
        <v>51</v>
      </c>
      <c r="B52" t="s">
        <v>16</v>
      </c>
      <c r="C52">
        <v>6</v>
      </c>
      <c r="D52" t="s">
        <v>204</v>
      </c>
      <c r="E52" t="s">
        <v>18</v>
      </c>
      <c r="F52" t="s">
        <v>19</v>
      </c>
      <c r="G52" t="s">
        <v>20</v>
      </c>
      <c r="H52" t="s">
        <v>18</v>
      </c>
      <c r="I52">
        <v>4</v>
      </c>
      <c r="J52">
        <v>4</v>
      </c>
      <c r="K52">
        <v>0</v>
      </c>
      <c r="L52" t="s">
        <v>22</v>
      </c>
      <c r="M52" t="s">
        <v>23</v>
      </c>
      <c r="N52" t="s">
        <v>84</v>
      </c>
      <c r="O52" t="s">
        <v>205</v>
      </c>
      <c r="P52" t="s">
        <v>206</v>
      </c>
      <c r="Q52">
        <f t="shared" si="0"/>
        <v>4</v>
      </c>
      <c r="R52">
        <f t="shared" si="1"/>
        <v>3</v>
      </c>
      <c r="S52">
        <f t="shared" si="2"/>
        <v>2</v>
      </c>
      <c r="T52">
        <f t="shared" si="3"/>
        <v>4</v>
      </c>
      <c r="U52">
        <v>0</v>
      </c>
      <c r="V52">
        <f t="shared" si="4"/>
        <v>1</v>
      </c>
      <c r="W52">
        <f t="shared" si="5"/>
        <v>0</v>
      </c>
      <c r="X52">
        <f t="shared" si="6"/>
        <v>0</v>
      </c>
      <c r="Y52">
        <f t="shared" si="7"/>
        <v>0</v>
      </c>
      <c r="Z52">
        <f t="shared" si="8"/>
        <v>0</v>
      </c>
      <c r="AA52">
        <f t="shared" si="9"/>
        <v>1</v>
      </c>
      <c r="AB52">
        <f t="shared" si="10"/>
        <v>0</v>
      </c>
      <c r="AC52">
        <f t="shared" si="11"/>
        <v>0</v>
      </c>
      <c r="AD52">
        <f t="shared" si="12"/>
        <v>0</v>
      </c>
      <c r="AE52">
        <f t="shared" si="13"/>
        <v>0</v>
      </c>
      <c r="AF52">
        <f t="shared" si="14"/>
        <v>0</v>
      </c>
      <c r="AG52">
        <f t="shared" si="15"/>
        <v>1</v>
      </c>
      <c r="AH52">
        <f t="shared" si="16"/>
        <v>0</v>
      </c>
      <c r="AI52">
        <f t="shared" si="17"/>
        <v>0</v>
      </c>
    </row>
    <row r="53" spans="1:35" x14ac:dyDescent="0.2">
      <c r="A53">
        <v>52</v>
      </c>
      <c r="B53" t="s">
        <v>16</v>
      </c>
      <c r="C53">
        <v>5</v>
      </c>
      <c r="D53" t="s">
        <v>207</v>
      </c>
      <c r="E53" t="s">
        <v>19</v>
      </c>
      <c r="F53" t="s">
        <v>20</v>
      </c>
      <c r="G53" t="s">
        <v>20</v>
      </c>
      <c r="H53" t="s">
        <v>18</v>
      </c>
      <c r="I53">
        <v>4</v>
      </c>
      <c r="J53">
        <v>4</v>
      </c>
      <c r="K53">
        <v>3</v>
      </c>
      <c r="L53" t="s">
        <v>22</v>
      </c>
      <c r="M53" t="s">
        <v>179</v>
      </c>
      <c r="N53" t="s">
        <v>36</v>
      </c>
      <c r="O53" t="s">
        <v>208</v>
      </c>
      <c r="P53" t="s">
        <v>209</v>
      </c>
      <c r="Q53">
        <f t="shared" si="0"/>
        <v>3</v>
      </c>
      <c r="R53">
        <f t="shared" si="1"/>
        <v>2</v>
      </c>
      <c r="S53">
        <f t="shared" si="2"/>
        <v>2</v>
      </c>
      <c r="T53">
        <f t="shared" si="3"/>
        <v>4</v>
      </c>
      <c r="U53">
        <v>3</v>
      </c>
      <c r="V53">
        <f t="shared" si="4"/>
        <v>1</v>
      </c>
      <c r="W53">
        <f t="shared" si="5"/>
        <v>0</v>
      </c>
      <c r="X53">
        <f t="shared" si="6"/>
        <v>0</v>
      </c>
      <c r="Y53">
        <f t="shared" si="7"/>
        <v>0</v>
      </c>
      <c r="Z53">
        <f t="shared" si="8"/>
        <v>0</v>
      </c>
      <c r="AA53">
        <f t="shared" si="9"/>
        <v>0</v>
      </c>
      <c r="AB53">
        <f t="shared" si="10"/>
        <v>0</v>
      </c>
      <c r="AC53">
        <f t="shared" si="11"/>
        <v>0</v>
      </c>
      <c r="AD53">
        <f t="shared" si="12"/>
        <v>1</v>
      </c>
      <c r="AE53">
        <f t="shared" si="13"/>
        <v>1</v>
      </c>
      <c r="AF53">
        <f t="shared" si="14"/>
        <v>0</v>
      </c>
      <c r="AG53">
        <f t="shared" si="15"/>
        <v>0</v>
      </c>
      <c r="AH53">
        <f t="shared" si="16"/>
        <v>0</v>
      </c>
      <c r="AI53">
        <f t="shared" si="17"/>
        <v>1</v>
      </c>
    </row>
    <row r="54" spans="1:35" x14ac:dyDescent="0.2">
      <c r="A54">
        <v>53</v>
      </c>
      <c r="B54" t="s">
        <v>16</v>
      </c>
      <c r="C54">
        <v>5</v>
      </c>
      <c r="D54" t="s">
        <v>210</v>
      </c>
      <c r="E54" t="s">
        <v>20</v>
      </c>
      <c r="F54" t="s">
        <v>20</v>
      </c>
      <c r="G54" t="s">
        <v>20</v>
      </c>
      <c r="H54" t="s">
        <v>18</v>
      </c>
      <c r="I54">
        <v>4</v>
      </c>
      <c r="J54">
        <v>5</v>
      </c>
      <c r="K54">
        <v>25</v>
      </c>
      <c r="L54" t="s">
        <v>22</v>
      </c>
      <c r="M54" t="s">
        <v>42</v>
      </c>
      <c r="N54" t="s">
        <v>36</v>
      </c>
      <c r="O54" t="s">
        <v>211</v>
      </c>
      <c r="P54" t="s">
        <v>212</v>
      </c>
      <c r="Q54">
        <f t="shared" si="0"/>
        <v>2</v>
      </c>
      <c r="R54">
        <f t="shared" si="1"/>
        <v>2</v>
      </c>
      <c r="S54">
        <f t="shared" si="2"/>
        <v>2</v>
      </c>
      <c r="T54">
        <f t="shared" si="3"/>
        <v>4</v>
      </c>
      <c r="U54">
        <v>25</v>
      </c>
      <c r="V54">
        <f t="shared" si="4"/>
        <v>1</v>
      </c>
      <c r="W54">
        <f t="shared" si="5"/>
        <v>0</v>
      </c>
      <c r="X54">
        <f t="shared" si="6"/>
        <v>0</v>
      </c>
      <c r="Y54">
        <f t="shared" si="7"/>
        <v>0</v>
      </c>
      <c r="Z54">
        <f t="shared" si="8"/>
        <v>0</v>
      </c>
      <c r="AA54">
        <f t="shared" si="9"/>
        <v>0</v>
      </c>
      <c r="AB54">
        <f t="shared" si="10"/>
        <v>1</v>
      </c>
      <c r="AC54">
        <f t="shared" si="11"/>
        <v>0</v>
      </c>
      <c r="AD54">
        <f t="shared" si="12"/>
        <v>0</v>
      </c>
      <c r="AE54">
        <f t="shared" si="13"/>
        <v>0</v>
      </c>
      <c r="AF54">
        <f t="shared" si="14"/>
        <v>0</v>
      </c>
      <c r="AG54">
        <f t="shared" si="15"/>
        <v>0</v>
      </c>
      <c r="AH54">
        <f t="shared" si="16"/>
        <v>0</v>
      </c>
      <c r="AI54">
        <f t="shared" si="17"/>
        <v>1</v>
      </c>
    </row>
    <row r="55" spans="1:35" x14ac:dyDescent="0.2">
      <c r="A55">
        <v>54</v>
      </c>
      <c r="B55" t="s">
        <v>16</v>
      </c>
      <c r="C55">
        <v>7</v>
      </c>
      <c r="D55" t="s">
        <v>213</v>
      </c>
      <c r="E55" t="s">
        <v>19</v>
      </c>
      <c r="F55" t="s">
        <v>19</v>
      </c>
      <c r="G55" t="s">
        <v>18</v>
      </c>
      <c r="H55" t="s">
        <v>18</v>
      </c>
      <c r="I55">
        <v>8</v>
      </c>
      <c r="J55">
        <v>7</v>
      </c>
      <c r="K55" t="s">
        <v>214</v>
      </c>
      <c r="L55" t="s">
        <v>53</v>
      </c>
      <c r="M55" t="s">
        <v>23</v>
      </c>
      <c r="N55" t="s">
        <v>215</v>
      </c>
      <c r="O55" t="s">
        <v>216</v>
      </c>
      <c r="P55" t="s">
        <v>217</v>
      </c>
      <c r="Q55">
        <f t="shared" si="0"/>
        <v>3</v>
      </c>
      <c r="R55">
        <f t="shared" si="1"/>
        <v>3</v>
      </c>
      <c r="S55">
        <f t="shared" si="2"/>
        <v>4</v>
      </c>
      <c r="T55">
        <f t="shared" si="3"/>
        <v>4</v>
      </c>
      <c r="U55">
        <v>1000</v>
      </c>
      <c r="V55">
        <f t="shared" si="4"/>
        <v>0</v>
      </c>
      <c r="W55">
        <f t="shared" si="5"/>
        <v>0</v>
      </c>
      <c r="X55">
        <f t="shared" si="6"/>
        <v>1</v>
      </c>
      <c r="Y55">
        <f t="shared" si="7"/>
        <v>0</v>
      </c>
      <c r="Z55">
        <f t="shared" si="8"/>
        <v>0</v>
      </c>
      <c r="AA55">
        <f t="shared" si="9"/>
        <v>1</v>
      </c>
      <c r="AB55">
        <f t="shared" si="10"/>
        <v>0</v>
      </c>
      <c r="AC55">
        <f t="shared" si="11"/>
        <v>0</v>
      </c>
      <c r="AD55">
        <f t="shared" si="12"/>
        <v>0</v>
      </c>
      <c r="AE55">
        <f t="shared" si="13"/>
        <v>0</v>
      </c>
      <c r="AF55">
        <f t="shared" si="14"/>
        <v>1</v>
      </c>
      <c r="AG55">
        <f t="shared" si="15"/>
        <v>0</v>
      </c>
      <c r="AH55">
        <f t="shared" si="16"/>
        <v>0</v>
      </c>
      <c r="AI55">
        <f t="shared" si="17"/>
        <v>0</v>
      </c>
    </row>
    <row r="56" spans="1:35" x14ac:dyDescent="0.2">
      <c r="A56">
        <v>55</v>
      </c>
      <c r="B56" t="s">
        <v>16</v>
      </c>
      <c r="C56">
        <v>7</v>
      </c>
      <c r="D56" t="s">
        <v>218</v>
      </c>
      <c r="E56" t="s">
        <v>18</v>
      </c>
      <c r="F56" t="s">
        <v>20</v>
      </c>
      <c r="G56" t="s">
        <v>39</v>
      </c>
      <c r="H56" t="s">
        <v>19</v>
      </c>
      <c r="I56">
        <v>3</v>
      </c>
      <c r="J56">
        <v>5</v>
      </c>
      <c r="K56" s="1">
        <v>50</v>
      </c>
      <c r="L56" t="s">
        <v>22</v>
      </c>
      <c r="M56" t="s">
        <v>219</v>
      </c>
      <c r="N56" t="s">
        <v>24</v>
      </c>
      <c r="O56" t="s">
        <v>220</v>
      </c>
      <c r="P56" t="s">
        <v>221</v>
      </c>
      <c r="Q56">
        <f t="shared" si="0"/>
        <v>4</v>
      </c>
      <c r="R56">
        <f t="shared" si="1"/>
        <v>2</v>
      </c>
      <c r="S56">
        <f t="shared" si="2"/>
        <v>5</v>
      </c>
      <c r="T56">
        <f t="shared" si="3"/>
        <v>3</v>
      </c>
      <c r="U56">
        <v>50</v>
      </c>
      <c r="V56">
        <f t="shared" si="4"/>
        <v>1</v>
      </c>
      <c r="W56">
        <f t="shared" si="5"/>
        <v>0</v>
      </c>
      <c r="X56">
        <f t="shared" si="6"/>
        <v>0</v>
      </c>
      <c r="Y56">
        <f t="shared" si="7"/>
        <v>0</v>
      </c>
      <c r="Z56">
        <f t="shared" si="8"/>
        <v>0</v>
      </c>
      <c r="AA56">
        <f t="shared" si="9"/>
        <v>0</v>
      </c>
      <c r="AB56">
        <f t="shared" si="10"/>
        <v>0</v>
      </c>
      <c r="AC56">
        <f t="shared" si="11"/>
        <v>0</v>
      </c>
      <c r="AD56">
        <f t="shared" si="12"/>
        <v>0</v>
      </c>
      <c r="AE56">
        <f t="shared" si="13"/>
        <v>1</v>
      </c>
      <c r="AF56">
        <f t="shared" si="14"/>
        <v>0</v>
      </c>
      <c r="AG56">
        <f t="shared" si="15"/>
        <v>0</v>
      </c>
      <c r="AH56">
        <f t="shared" si="16"/>
        <v>1</v>
      </c>
      <c r="AI56">
        <f t="shared" si="17"/>
        <v>0</v>
      </c>
    </row>
    <row r="57" spans="1:35" x14ac:dyDescent="0.2">
      <c r="A57">
        <v>56</v>
      </c>
      <c r="B57" t="s">
        <v>16</v>
      </c>
      <c r="C57">
        <v>9</v>
      </c>
      <c r="D57" t="s">
        <v>222</v>
      </c>
      <c r="E57" t="s">
        <v>18</v>
      </c>
      <c r="F57" t="s">
        <v>20</v>
      </c>
      <c r="G57" t="s">
        <v>20</v>
      </c>
      <c r="H57" t="s">
        <v>18</v>
      </c>
      <c r="I57">
        <v>4</v>
      </c>
      <c r="J57">
        <v>7</v>
      </c>
      <c r="K57">
        <v>3500000</v>
      </c>
      <c r="L57" t="s">
        <v>53</v>
      </c>
      <c r="M57" t="s">
        <v>23</v>
      </c>
      <c r="N57" t="s">
        <v>84</v>
      </c>
      <c r="O57" t="s">
        <v>223</v>
      </c>
      <c r="P57" t="s">
        <v>224</v>
      </c>
      <c r="Q57">
        <f t="shared" si="0"/>
        <v>4</v>
      </c>
      <c r="R57">
        <f t="shared" si="1"/>
        <v>2</v>
      </c>
      <c r="S57">
        <f t="shared" si="2"/>
        <v>2</v>
      </c>
      <c r="T57">
        <f t="shared" si="3"/>
        <v>4</v>
      </c>
      <c r="U57">
        <v>3500000</v>
      </c>
      <c r="V57">
        <f t="shared" si="4"/>
        <v>0</v>
      </c>
      <c r="W57">
        <f t="shared" si="5"/>
        <v>0</v>
      </c>
      <c r="X57">
        <f t="shared" si="6"/>
        <v>1</v>
      </c>
      <c r="Y57">
        <f t="shared" si="7"/>
        <v>0</v>
      </c>
      <c r="Z57">
        <f t="shared" si="8"/>
        <v>0</v>
      </c>
      <c r="AA57">
        <f t="shared" si="9"/>
        <v>1</v>
      </c>
      <c r="AB57">
        <f t="shared" si="10"/>
        <v>0</v>
      </c>
      <c r="AC57">
        <f t="shared" si="11"/>
        <v>0</v>
      </c>
      <c r="AD57">
        <f t="shared" si="12"/>
        <v>0</v>
      </c>
      <c r="AE57">
        <f t="shared" si="13"/>
        <v>0</v>
      </c>
      <c r="AF57">
        <f t="shared" si="14"/>
        <v>0</v>
      </c>
      <c r="AG57">
        <f t="shared" si="15"/>
        <v>1</v>
      </c>
      <c r="AH57">
        <f t="shared" si="16"/>
        <v>0</v>
      </c>
      <c r="AI57">
        <f t="shared" si="17"/>
        <v>0</v>
      </c>
    </row>
    <row r="58" spans="1:35" x14ac:dyDescent="0.2">
      <c r="A58">
        <v>57</v>
      </c>
      <c r="B58" t="s">
        <v>16</v>
      </c>
      <c r="C58">
        <v>5</v>
      </c>
      <c r="D58" t="s">
        <v>225</v>
      </c>
      <c r="E58" t="s">
        <v>18</v>
      </c>
      <c r="F58" t="s">
        <v>20</v>
      </c>
      <c r="G58" t="s">
        <v>39</v>
      </c>
      <c r="H58" t="s">
        <v>39</v>
      </c>
      <c r="I58">
        <v>5</v>
      </c>
      <c r="J58">
        <v>6</v>
      </c>
      <c r="K58" t="s">
        <v>226</v>
      </c>
      <c r="L58" t="s">
        <v>47</v>
      </c>
      <c r="M58" t="s">
        <v>48</v>
      </c>
      <c r="N58" t="s">
        <v>84</v>
      </c>
      <c r="O58" t="s">
        <v>227</v>
      </c>
      <c r="P58" t="s">
        <v>228</v>
      </c>
      <c r="Q58">
        <f t="shared" si="0"/>
        <v>4</v>
      </c>
      <c r="R58">
        <f t="shared" si="1"/>
        <v>2</v>
      </c>
      <c r="S58">
        <f t="shared" si="2"/>
        <v>5</v>
      </c>
      <c r="T58">
        <f t="shared" si="3"/>
        <v>5</v>
      </c>
      <c r="U58">
        <v>100</v>
      </c>
      <c r="V58">
        <f t="shared" si="4"/>
        <v>0</v>
      </c>
      <c r="W58">
        <f t="shared" si="5"/>
        <v>0</v>
      </c>
      <c r="X58">
        <f t="shared" si="6"/>
        <v>1</v>
      </c>
      <c r="Y58">
        <f t="shared" si="7"/>
        <v>0</v>
      </c>
      <c r="Z58">
        <f t="shared" si="8"/>
        <v>1</v>
      </c>
      <c r="AA58">
        <f t="shared" si="9"/>
        <v>1</v>
      </c>
      <c r="AB58">
        <f t="shared" si="10"/>
        <v>1</v>
      </c>
      <c r="AC58">
        <f t="shared" si="11"/>
        <v>1</v>
      </c>
      <c r="AD58">
        <f t="shared" si="12"/>
        <v>0</v>
      </c>
      <c r="AE58">
        <f t="shared" si="13"/>
        <v>0</v>
      </c>
      <c r="AF58">
        <f t="shared" si="14"/>
        <v>0</v>
      </c>
      <c r="AG58">
        <f t="shared" si="15"/>
        <v>1</v>
      </c>
      <c r="AH58">
        <f t="shared" si="16"/>
        <v>0</v>
      </c>
      <c r="AI58">
        <f t="shared" si="17"/>
        <v>0</v>
      </c>
    </row>
    <row r="59" spans="1:35" x14ac:dyDescent="0.2">
      <c r="A59">
        <v>58</v>
      </c>
      <c r="B59" t="s">
        <v>16</v>
      </c>
      <c r="C59">
        <v>6</v>
      </c>
      <c r="D59" t="s">
        <v>229</v>
      </c>
      <c r="E59" t="s">
        <v>18</v>
      </c>
      <c r="F59" t="s">
        <v>19</v>
      </c>
      <c r="G59" t="s">
        <v>20</v>
      </c>
      <c r="H59" t="s">
        <v>39</v>
      </c>
      <c r="I59">
        <v>6</v>
      </c>
      <c r="J59">
        <v>5</v>
      </c>
      <c r="K59">
        <v>3000</v>
      </c>
      <c r="L59" t="s">
        <v>230</v>
      </c>
      <c r="M59" t="s">
        <v>154</v>
      </c>
      <c r="N59" t="s">
        <v>24</v>
      </c>
      <c r="O59" t="s">
        <v>231</v>
      </c>
      <c r="P59" t="s">
        <v>232</v>
      </c>
      <c r="Q59">
        <f t="shared" si="0"/>
        <v>4</v>
      </c>
      <c r="R59">
        <f t="shared" si="1"/>
        <v>3</v>
      </c>
      <c r="S59">
        <f t="shared" si="2"/>
        <v>2</v>
      </c>
      <c r="T59">
        <f t="shared" si="3"/>
        <v>5</v>
      </c>
      <c r="U59">
        <v>3000</v>
      </c>
      <c r="V59">
        <f t="shared" si="4"/>
        <v>1</v>
      </c>
      <c r="W59">
        <f t="shared" si="5"/>
        <v>1</v>
      </c>
      <c r="X59">
        <f t="shared" si="6"/>
        <v>1</v>
      </c>
      <c r="Y59">
        <f t="shared" si="7"/>
        <v>1</v>
      </c>
      <c r="Z59">
        <f t="shared" si="8"/>
        <v>1</v>
      </c>
      <c r="AA59">
        <f t="shared" si="9"/>
        <v>1</v>
      </c>
      <c r="AB59">
        <f t="shared" si="10"/>
        <v>0</v>
      </c>
      <c r="AC59">
        <f t="shared" si="11"/>
        <v>1</v>
      </c>
      <c r="AD59">
        <f t="shared" si="12"/>
        <v>0</v>
      </c>
      <c r="AE59">
        <f t="shared" si="13"/>
        <v>0</v>
      </c>
      <c r="AF59">
        <f t="shared" si="14"/>
        <v>0</v>
      </c>
      <c r="AG59">
        <f t="shared" si="15"/>
        <v>0</v>
      </c>
      <c r="AH59">
        <f t="shared" si="16"/>
        <v>1</v>
      </c>
      <c r="AI59">
        <f t="shared" si="17"/>
        <v>0</v>
      </c>
    </row>
    <row r="60" spans="1:35" x14ac:dyDescent="0.2">
      <c r="A60">
        <v>59</v>
      </c>
      <c r="B60" t="s">
        <v>16</v>
      </c>
      <c r="C60">
        <v>7</v>
      </c>
      <c r="D60" t="s">
        <v>233</v>
      </c>
      <c r="E60" t="s">
        <v>39</v>
      </c>
      <c r="F60" t="s">
        <v>19</v>
      </c>
      <c r="G60" t="s">
        <v>20</v>
      </c>
      <c r="H60" t="s">
        <v>39</v>
      </c>
      <c r="I60">
        <v>4</v>
      </c>
      <c r="J60">
        <v>6</v>
      </c>
      <c r="K60" s="1">
        <v>10000000</v>
      </c>
      <c r="L60" t="s">
        <v>41</v>
      </c>
      <c r="M60" t="s">
        <v>23</v>
      </c>
      <c r="N60" t="s">
        <v>36</v>
      </c>
      <c r="O60" t="s">
        <v>234</v>
      </c>
      <c r="P60" t="s">
        <v>235</v>
      </c>
      <c r="Q60">
        <f t="shared" si="0"/>
        <v>5</v>
      </c>
      <c r="R60">
        <f t="shared" si="1"/>
        <v>3</v>
      </c>
      <c r="S60">
        <f t="shared" si="2"/>
        <v>2</v>
      </c>
      <c r="T60">
        <f t="shared" si="3"/>
        <v>5</v>
      </c>
      <c r="U60">
        <v>10000000</v>
      </c>
      <c r="V60">
        <f t="shared" si="4"/>
        <v>0</v>
      </c>
      <c r="W60">
        <f t="shared" si="5"/>
        <v>0</v>
      </c>
      <c r="X60">
        <f t="shared" si="6"/>
        <v>0</v>
      </c>
      <c r="Y60">
        <f t="shared" si="7"/>
        <v>0</v>
      </c>
      <c r="Z60">
        <f t="shared" si="8"/>
        <v>1</v>
      </c>
      <c r="AA60">
        <f t="shared" si="9"/>
        <v>1</v>
      </c>
      <c r="AB60">
        <f t="shared" si="10"/>
        <v>0</v>
      </c>
      <c r="AC60">
        <f t="shared" si="11"/>
        <v>0</v>
      </c>
      <c r="AD60">
        <f t="shared" si="12"/>
        <v>0</v>
      </c>
      <c r="AE60">
        <f t="shared" si="13"/>
        <v>0</v>
      </c>
      <c r="AF60">
        <f t="shared" si="14"/>
        <v>0</v>
      </c>
      <c r="AG60">
        <f t="shared" si="15"/>
        <v>0</v>
      </c>
      <c r="AH60">
        <f t="shared" si="16"/>
        <v>0</v>
      </c>
      <c r="AI60">
        <f t="shared" si="17"/>
        <v>1</v>
      </c>
    </row>
    <row r="61" spans="1:35" x14ac:dyDescent="0.2">
      <c r="A61">
        <v>60</v>
      </c>
      <c r="B61" t="s">
        <v>16</v>
      </c>
      <c r="C61">
        <v>5</v>
      </c>
      <c r="D61" t="s">
        <v>236</v>
      </c>
      <c r="E61" t="s">
        <v>18</v>
      </c>
      <c r="F61" t="s">
        <v>20</v>
      </c>
      <c r="G61" t="s">
        <v>20</v>
      </c>
      <c r="H61" t="s">
        <v>18</v>
      </c>
      <c r="I61">
        <v>11</v>
      </c>
      <c r="J61">
        <v>12</v>
      </c>
      <c r="K61">
        <v>20</v>
      </c>
      <c r="L61" t="s">
        <v>53</v>
      </c>
      <c r="M61" t="s">
        <v>99</v>
      </c>
      <c r="N61" t="s">
        <v>24</v>
      </c>
      <c r="O61" t="s">
        <v>237</v>
      </c>
      <c r="P61" t="s">
        <v>238</v>
      </c>
      <c r="Q61">
        <f t="shared" si="0"/>
        <v>4</v>
      </c>
      <c r="R61">
        <f t="shared" si="1"/>
        <v>2</v>
      </c>
      <c r="S61">
        <f t="shared" si="2"/>
        <v>2</v>
      </c>
      <c r="T61">
        <f t="shared" si="3"/>
        <v>4</v>
      </c>
      <c r="U61">
        <v>20</v>
      </c>
      <c r="V61">
        <f t="shared" si="4"/>
        <v>0</v>
      </c>
      <c r="W61">
        <f t="shared" si="5"/>
        <v>0</v>
      </c>
      <c r="X61">
        <f t="shared" si="6"/>
        <v>1</v>
      </c>
      <c r="Y61">
        <f t="shared" si="7"/>
        <v>0</v>
      </c>
      <c r="Z61">
        <f t="shared" si="8"/>
        <v>0</v>
      </c>
      <c r="AA61">
        <f t="shared" si="9"/>
        <v>1</v>
      </c>
      <c r="AB61">
        <f t="shared" si="10"/>
        <v>0</v>
      </c>
      <c r="AC61">
        <f t="shared" si="11"/>
        <v>0</v>
      </c>
      <c r="AD61">
        <f t="shared" si="12"/>
        <v>0</v>
      </c>
      <c r="AE61">
        <f t="shared" si="13"/>
        <v>1</v>
      </c>
      <c r="AF61">
        <f t="shared" si="14"/>
        <v>0</v>
      </c>
      <c r="AG61">
        <f t="shared" si="15"/>
        <v>0</v>
      </c>
      <c r="AH61">
        <f t="shared" si="16"/>
        <v>1</v>
      </c>
      <c r="AI61">
        <f t="shared" si="17"/>
        <v>0</v>
      </c>
    </row>
    <row r="62" spans="1:35" x14ac:dyDescent="0.2">
      <c r="A62">
        <v>61</v>
      </c>
      <c r="B62" t="s">
        <v>16</v>
      </c>
      <c r="C62">
        <v>7</v>
      </c>
      <c r="D62" t="s">
        <v>239</v>
      </c>
      <c r="E62" t="s">
        <v>18</v>
      </c>
      <c r="F62" t="s">
        <v>21</v>
      </c>
      <c r="G62" t="s">
        <v>21</v>
      </c>
      <c r="H62" t="s">
        <v>39</v>
      </c>
      <c r="I62">
        <v>4</v>
      </c>
      <c r="J62">
        <v>5</v>
      </c>
      <c r="K62" t="s">
        <v>240</v>
      </c>
      <c r="L62" t="s">
        <v>47</v>
      </c>
      <c r="M62" t="s">
        <v>135</v>
      </c>
      <c r="N62" t="s">
        <v>147</v>
      </c>
      <c r="O62" t="s">
        <v>241</v>
      </c>
      <c r="P62" t="s">
        <v>242</v>
      </c>
      <c r="Q62">
        <f t="shared" si="0"/>
        <v>4</v>
      </c>
      <c r="R62">
        <f t="shared" si="1"/>
        <v>1</v>
      </c>
      <c r="S62">
        <f t="shared" si="2"/>
        <v>1</v>
      </c>
      <c r="T62">
        <f t="shared" si="3"/>
        <v>5</v>
      </c>
      <c r="U62">
        <v>10000</v>
      </c>
      <c r="V62">
        <f t="shared" si="4"/>
        <v>0</v>
      </c>
      <c r="W62">
        <f t="shared" si="5"/>
        <v>0</v>
      </c>
      <c r="X62">
        <f t="shared" si="6"/>
        <v>1</v>
      </c>
      <c r="Y62">
        <f t="shared" si="7"/>
        <v>0</v>
      </c>
      <c r="Z62">
        <f t="shared" si="8"/>
        <v>1</v>
      </c>
      <c r="AA62">
        <f t="shared" si="9"/>
        <v>1</v>
      </c>
      <c r="AB62">
        <f t="shared" si="10"/>
        <v>1</v>
      </c>
      <c r="AC62">
        <f t="shared" si="11"/>
        <v>0</v>
      </c>
      <c r="AD62">
        <f t="shared" si="12"/>
        <v>0</v>
      </c>
      <c r="AE62">
        <f t="shared" si="13"/>
        <v>0</v>
      </c>
      <c r="AF62">
        <f t="shared" si="14"/>
        <v>0</v>
      </c>
      <c r="AG62">
        <f t="shared" si="15"/>
        <v>0</v>
      </c>
      <c r="AH62">
        <f t="shared" si="16"/>
        <v>1</v>
      </c>
      <c r="AI62">
        <f t="shared" si="17"/>
        <v>1</v>
      </c>
    </row>
    <row r="63" spans="1:35" x14ac:dyDescent="0.2">
      <c r="A63">
        <v>62</v>
      </c>
      <c r="B63" t="s">
        <v>16</v>
      </c>
      <c r="C63">
        <v>4</v>
      </c>
      <c r="D63" t="s">
        <v>243</v>
      </c>
      <c r="E63" t="s">
        <v>19</v>
      </c>
      <c r="F63" t="s">
        <v>18</v>
      </c>
      <c r="G63" t="s">
        <v>18</v>
      </c>
      <c r="H63" t="s">
        <v>20</v>
      </c>
      <c r="I63">
        <v>4</v>
      </c>
      <c r="J63">
        <v>6</v>
      </c>
      <c r="K63">
        <v>5000</v>
      </c>
      <c r="L63" t="s">
        <v>98</v>
      </c>
      <c r="M63" t="s">
        <v>23</v>
      </c>
      <c r="N63" t="s">
        <v>24</v>
      </c>
      <c r="O63" t="s">
        <v>244</v>
      </c>
      <c r="P63" t="s">
        <v>245</v>
      </c>
      <c r="Q63">
        <f t="shared" si="0"/>
        <v>3</v>
      </c>
      <c r="R63">
        <f t="shared" si="1"/>
        <v>4</v>
      </c>
      <c r="S63">
        <f t="shared" si="2"/>
        <v>4</v>
      </c>
      <c r="T63">
        <f t="shared" si="3"/>
        <v>2</v>
      </c>
      <c r="U63">
        <v>5000</v>
      </c>
      <c r="V63">
        <f t="shared" si="4"/>
        <v>0</v>
      </c>
      <c r="W63">
        <f t="shared" si="5"/>
        <v>1</v>
      </c>
      <c r="X63">
        <f t="shared" si="6"/>
        <v>0</v>
      </c>
      <c r="Y63">
        <f t="shared" si="7"/>
        <v>0</v>
      </c>
      <c r="Z63">
        <f t="shared" si="8"/>
        <v>0</v>
      </c>
      <c r="AA63">
        <f t="shared" si="9"/>
        <v>1</v>
      </c>
      <c r="AB63">
        <f t="shared" si="10"/>
        <v>0</v>
      </c>
      <c r="AC63">
        <f t="shared" si="11"/>
        <v>0</v>
      </c>
      <c r="AD63">
        <f t="shared" si="12"/>
        <v>0</v>
      </c>
      <c r="AE63">
        <f t="shared" si="13"/>
        <v>0</v>
      </c>
      <c r="AF63">
        <f t="shared" si="14"/>
        <v>0</v>
      </c>
      <c r="AG63">
        <f t="shared" si="15"/>
        <v>0</v>
      </c>
      <c r="AH63">
        <f t="shared" si="16"/>
        <v>1</v>
      </c>
      <c r="AI63">
        <f t="shared" si="17"/>
        <v>0</v>
      </c>
    </row>
    <row r="64" spans="1:35" x14ac:dyDescent="0.2">
      <c r="A64">
        <v>63</v>
      </c>
      <c r="B64" t="s">
        <v>16</v>
      </c>
      <c r="C64">
        <v>7</v>
      </c>
      <c r="D64" t="s">
        <v>246</v>
      </c>
      <c r="E64" t="s">
        <v>18</v>
      </c>
      <c r="F64" t="s">
        <v>20</v>
      </c>
      <c r="G64" t="s">
        <v>20</v>
      </c>
      <c r="H64" t="s">
        <v>39</v>
      </c>
      <c r="I64">
        <v>7</v>
      </c>
      <c r="J64">
        <v>4</v>
      </c>
      <c r="K64" s="1">
        <v>80000</v>
      </c>
      <c r="L64" t="s">
        <v>66</v>
      </c>
      <c r="M64" t="s">
        <v>23</v>
      </c>
      <c r="N64" t="s">
        <v>24</v>
      </c>
      <c r="O64" t="s">
        <v>247</v>
      </c>
      <c r="P64" t="s">
        <v>248</v>
      </c>
      <c r="Q64">
        <f t="shared" si="0"/>
        <v>4</v>
      </c>
      <c r="R64">
        <f t="shared" si="1"/>
        <v>2</v>
      </c>
      <c r="S64">
        <f t="shared" si="2"/>
        <v>2</v>
      </c>
      <c r="T64">
        <f t="shared" si="3"/>
        <v>5</v>
      </c>
      <c r="U64">
        <v>80000</v>
      </c>
      <c r="V64">
        <f t="shared" si="4"/>
        <v>0</v>
      </c>
      <c r="W64">
        <f t="shared" si="5"/>
        <v>1</v>
      </c>
      <c r="X64">
        <f t="shared" si="6"/>
        <v>1</v>
      </c>
      <c r="Y64">
        <f t="shared" si="7"/>
        <v>0</v>
      </c>
      <c r="Z64">
        <f t="shared" si="8"/>
        <v>0</v>
      </c>
      <c r="AA64">
        <f t="shared" si="9"/>
        <v>1</v>
      </c>
      <c r="AB64">
        <f t="shared" si="10"/>
        <v>0</v>
      </c>
      <c r="AC64">
        <f t="shared" si="11"/>
        <v>0</v>
      </c>
      <c r="AD64">
        <f t="shared" si="12"/>
        <v>0</v>
      </c>
      <c r="AE64">
        <f t="shared" si="13"/>
        <v>0</v>
      </c>
      <c r="AF64">
        <f t="shared" si="14"/>
        <v>0</v>
      </c>
      <c r="AG64">
        <f t="shared" si="15"/>
        <v>0</v>
      </c>
      <c r="AH64">
        <f t="shared" si="16"/>
        <v>1</v>
      </c>
      <c r="AI64">
        <f t="shared" si="17"/>
        <v>0</v>
      </c>
    </row>
    <row r="65" spans="1:35" x14ac:dyDescent="0.2">
      <c r="A65">
        <v>64</v>
      </c>
      <c r="B65" t="s">
        <v>16</v>
      </c>
      <c r="C65">
        <v>5</v>
      </c>
      <c r="D65" t="s">
        <v>249</v>
      </c>
      <c r="E65" t="s">
        <v>39</v>
      </c>
      <c r="F65" t="s">
        <v>20</v>
      </c>
      <c r="G65" t="s">
        <v>20</v>
      </c>
      <c r="H65" t="s">
        <v>18</v>
      </c>
      <c r="I65">
        <v>3</v>
      </c>
      <c r="J65">
        <v>6</v>
      </c>
      <c r="K65">
        <v>200</v>
      </c>
      <c r="L65" t="s">
        <v>70</v>
      </c>
      <c r="M65" t="s">
        <v>154</v>
      </c>
      <c r="N65" t="s">
        <v>24</v>
      </c>
      <c r="O65" t="s">
        <v>250</v>
      </c>
      <c r="P65" t="s">
        <v>251</v>
      </c>
      <c r="Q65">
        <f t="shared" si="0"/>
        <v>5</v>
      </c>
      <c r="R65">
        <f t="shared" si="1"/>
        <v>2</v>
      </c>
      <c r="S65">
        <f t="shared" si="2"/>
        <v>2</v>
      </c>
      <c r="T65">
        <f t="shared" si="3"/>
        <v>4</v>
      </c>
      <c r="U65">
        <v>200</v>
      </c>
      <c r="V65">
        <f t="shared" si="4"/>
        <v>0</v>
      </c>
      <c r="W65">
        <f t="shared" si="5"/>
        <v>0</v>
      </c>
      <c r="X65">
        <f t="shared" si="6"/>
        <v>0</v>
      </c>
      <c r="Y65">
        <f t="shared" si="7"/>
        <v>1</v>
      </c>
      <c r="Z65">
        <f t="shared" si="8"/>
        <v>0</v>
      </c>
      <c r="AA65">
        <f t="shared" si="9"/>
        <v>1</v>
      </c>
      <c r="AB65">
        <f t="shared" si="10"/>
        <v>0</v>
      </c>
      <c r="AC65">
        <f t="shared" si="11"/>
        <v>1</v>
      </c>
      <c r="AD65">
        <f t="shared" si="12"/>
        <v>0</v>
      </c>
      <c r="AE65">
        <f t="shared" si="13"/>
        <v>0</v>
      </c>
      <c r="AF65">
        <f t="shared" si="14"/>
        <v>0</v>
      </c>
      <c r="AG65">
        <f t="shared" si="15"/>
        <v>0</v>
      </c>
      <c r="AH65">
        <f t="shared" si="16"/>
        <v>1</v>
      </c>
      <c r="AI65">
        <f t="shared" si="17"/>
        <v>0</v>
      </c>
    </row>
    <row r="66" spans="1:35" x14ac:dyDescent="0.2">
      <c r="A66">
        <v>65</v>
      </c>
      <c r="B66" t="s">
        <v>16</v>
      </c>
      <c r="C66">
        <v>4</v>
      </c>
      <c r="D66" t="s">
        <v>252</v>
      </c>
      <c r="E66" t="s">
        <v>20</v>
      </c>
      <c r="F66" t="s">
        <v>20</v>
      </c>
      <c r="G66" t="s">
        <v>19</v>
      </c>
      <c r="H66" t="s">
        <v>20</v>
      </c>
      <c r="I66">
        <v>5</v>
      </c>
      <c r="J66">
        <v>4</v>
      </c>
      <c r="K66">
        <v>10</v>
      </c>
      <c r="L66" t="s">
        <v>194</v>
      </c>
      <c r="M66" t="s">
        <v>99</v>
      </c>
      <c r="N66" t="s">
        <v>24</v>
      </c>
      <c r="O66" t="s">
        <v>253</v>
      </c>
      <c r="P66" t="s">
        <v>254</v>
      </c>
      <c r="Q66">
        <f t="shared" si="0"/>
        <v>2</v>
      </c>
      <c r="R66">
        <f t="shared" si="1"/>
        <v>2</v>
      </c>
      <c r="S66">
        <f t="shared" si="2"/>
        <v>3</v>
      </c>
      <c r="T66">
        <f t="shared" si="3"/>
        <v>2</v>
      </c>
      <c r="U66">
        <v>10</v>
      </c>
      <c r="V66">
        <f t="shared" si="4"/>
        <v>0</v>
      </c>
      <c r="W66">
        <f t="shared" si="5"/>
        <v>0</v>
      </c>
      <c r="X66">
        <f t="shared" si="6"/>
        <v>0</v>
      </c>
      <c r="Y66">
        <f t="shared" si="7"/>
        <v>1</v>
      </c>
      <c r="Z66">
        <f t="shared" si="8"/>
        <v>1</v>
      </c>
      <c r="AA66">
        <f t="shared" si="9"/>
        <v>1</v>
      </c>
      <c r="AB66">
        <f t="shared" si="10"/>
        <v>0</v>
      </c>
      <c r="AC66">
        <f t="shared" si="11"/>
        <v>0</v>
      </c>
      <c r="AD66">
        <f t="shared" si="12"/>
        <v>0</v>
      </c>
      <c r="AE66">
        <f t="shared" si="13"/>
        <v>1</v>
      </c>
      <c r="AF66">
        <f t="shared" si="14"/>
        <v>0</v>
      </c>
      <c r="AG66">
        <f t="shared" si="15"/>
        <v>0</v>
      </c>
      <c r="AH66">
        <f t="shared" si="16"/>
        <v>1</v>
      </c>
      <c r="AI66">
        <f t="shared" si="17"/>
        <v>0</v>
      </c>
    </row>
    <row r="67" spans="1:35" ht="404" x14ac:dyDescent="0.2">
      <c r="A67">
        <v>66</v>
      </c>
      <c r="B67" t="s">
        <v>16</v>
      </c>
      <c r="C67">
        <v>3</v>
      </c>
      <c r="D67" t="s">
        <v>255</v>
      </c>
      <c r="E67" t="s">
        <v>18</v>
      </c>
      <c r="F67" t="s">
        <v>21</v>
      </c>
      <c r="G67" t="s">
        <v>20</v>
      </c>
      <c r="H67" t="s">
        <v>18</v>
      </c>
      <c r="I67">
        <v>12</v>
      </c>
      <c r="J67">
        <v>6</v>
      </c>
      <c r="K67" t="s">
        <v>256</v>
      </c>
      <c r="L67" t="s">
        <v>22</v>
      </c>
      <c r="M67" t="s">
        <v>23</v>
      </c>
      <c r="N67" t="s">
        <v>36</v>
      </c>
      <c r="O67" t="s">
        <v>257</v>
      </c>
      <c r="P67" s="3" t="s">
        <v>258</v>
      </c>
      <c r="Q67">
        <f t="shared" ref="Q67:Q130" si="18">IF(E67="", "", LEFT(E67, 1) * 1)</f>
        <v>4</v>
      </c>
      <c r="R67">
        <f t="shared" ref="R67:R130" si="19">IF(F67="","",VALUE(LEFT(F67,FIND(" ",F67)-1)))</f>
        <v>1</v>
      </c>
      <c r="S67">
        <f t="shared" ref="S67:S130" si="20">IF(G67="","",VALUE(LEFT(G67,FIND(" ",G67)-1)))</f>
        <v>2</v>
      </c>
      <c r="T67">
        <f t="shared" ref="T67:T130" si="21">IF(H67="","",VALUE(LEFT(H67,FIND(" ",H67)-1)))</f>
        <v>4</v>
      </c>
      <c r="U67">
        <v>0</v>
      </c>
      <c r="V67">
        <f t="shared" ref="V67:V130" si="22">IF(L67="",0,IF(ISNUMBER(SEARCH("Bathroom",L67)),1,0))</f>
        <v>1</v>
      </c>
      <c r="W67">
        <f t="shared" ref="W67:W130" si="23">IF(L67="",0,IF(ISNUMBER(SEARCH("Dining room",L67)),1,0))</f>
        <v>0</v>
      </c>
      <c r="X67">
        <f t="shared" ref="X67:X130" si="24">IF(L67="",0,IF(ISNUMBER(SEARCH("Office",L67)),1,0))</f>
        <v>0</v>
      </c>
      <c r="Y67">
        <f t="shared" ref="Y67:Y130" si="25">IF(L67="",0,IF(ISNUMBER(SEARCH("Bedroom",L67)),1,0))</f>
        <v>0</v>
      </c>
      <c r="Z67">
        <f t="shared" ref="Z67:Z130" si="26">IF(L67="",0,IF(ISNUMBER(SEARCH("Living room",L67)),1,0))</f>
        <v>0</v>
      </c>
      <c r="AA67">
        <f t="shared" ref="AA67:AA130" si="27">IF(M67="",0, IF(ISNUMBER(SEARCH("By yourself",M67)), 1, 0))</f>
        <v>1</v>
      </c>
      <c r="AB67">
        <f t="shared" ref="AB67:AB130" si="28">IF(M67="", 0, IF(ISNUMBER(SEARCH("Friends", M67)), 1, 0))</f>
        <v>0</v>
      </c>
      <c r="AC67">
        <f t="shared" ref="AC67:AC130" si="29">IF(M67="",0,IF(ISNUMBER(SEARCH("Family members", M67)), 1, 0))</f>
        <v>0</v>
      </c>
      <c r="AD67">
        <f t="shared" ref="AD67:AD130" si="30">IF(M67="", 0, IF(ISNUMBER(SEARCH("Coworkers/Classmates", M67)), 1, 0))</f>
        <v>0</v>
      </c>
      <c r="AE67">
        <f t="shared" ref="AE67:AE130" si="31">IF(M67="", 0, IF(ISNUMBER(SEARCH("Strangers", M67)), 1, 0))</f>
        <v>0</v>
      </c>
      <c r="AF67">
        <f t="shared" ref="AF67:AF130" si="32">IF(N67="", 0, IF(ISNUMBER(SEARCH("Spring", N67)), 1, 0))</f>
        <v>0</v>
      </c>
      <c r="AG67">
        <f t="shared" ref="AG67:AG130" si="33">IF(N67="", 0, IF(ISNUMBER(SEARCH("Summer", N67)), 1, 0))</f>
        <v>0</v>
      </c>
      <c r="AH67">
        <f t="shared" ref="AH67:AH130" si="34">IF(N67="", 0, IF(ISNUMBER(SEARCH("Fall", N67)), 1, 0))</f>
        <v>0</v>
      </c>
      <c r="AI67">
        <f t="shared" ref="AI67:AI130" si="35">IF(N67="", 0, IF(ISNUMBER(SEARCH("Winter", N67)), 1, 0))</f>
        <v>1</v>
      </c>
    </row>
    <row r="68" spans="1:35" x14ac:dyDescent="0.2">
      <c r="A68">
        <v>67</v>
      </c>
      <c r="B68" t="s">
        <v>16</v>
      </c>
      <c r="C68">
        <v>8</v>
      </c>
      <c r="D68" t="s">
        <v>259</v>
      </c>
      <c r="E68" t="s">
        <v>39</v>
      </c>
      <c r="F68" t="s">
        <v>21</v>
      </c>
      <c r="G68" t="s">
        <v>19</v>
      </c>
      <c r="H68" t="s">
        <v>18</v>
      </c>
      <c r="I68">
        <v>3</v>
      </c>
      <c r="J68">
        <v>6</v>
      </c>
      <c r="K68">
        <v>500</v>
      </c>
      <c r="L68" t="s">
        <v>41</v>
      </c>
      <c r="M68" t="s">
        <v>135</v>
      </c>
      <c r="N68" t="s">
        <v>24</v>
      </c>
      <c r="O68" t="s">
        <v>260</v>
      </c>
      <c r="P68" t="s">
        <v>261</v>
      </c>
      <c r="Q68">
        <f t="shared" si="18"/>
        <v>5</v>
      </c>
      <c r="R68">
        <f t="shared" si="19"/>
        <v>1</v>
      </c>
      <c r="S68">
        <f t="shared" si="20"/>
        <v>3</v>
      </c>
      <c r="T68">
        <f t="shared" si="21"/>
        <v>4</v>
      </c>
      <c r="U68">
        <v>500</v>
      </c>
      <c r="V68">
        <f t="shared" si="22"/>
        <v>0</v>
      </c>
      <c r="W68">
        <f t="shared" si="23"/>
        <v>0</v>
      </c>
      <c r="X68">
        <f t="shared" si="24"/>
        <v>0</v>
      </c>
      <c r="Y68">
        <f t="shared" si="25"/>
        <v>0</v>
      </c>
      <c r="Z68">
        <f t="shared" si="26"/>
        <v>1</v>
      </c>
      <c r="AA68">
        <f t="shared" si="27"/>
        <v>1</v>
      </c>
      <c r="AB68">
        <f t="shared" si="28"/>
        <v>1</v>
      </c>
      <c r="AC68">
        <f t="shared" si="29"/>
        <v>0</v>
      </c>
      <c r="AD68">
        <f t="shared" si="30"/>
        <v>0</v>
      </c>
      <c r="AE68">
        <f t="shared" si="31"/>
        <v>0</v>
      </c>
      <c r="AF68">
        <f t="shared" si="32"/>
        <v>0</v>
      </c>
      <c r="AG68">
        <f t="shared" si="33"/>
        <v>0</v>
      </c>
      <c r="AH68">
        <f t="shared" si="34"/>
        <v>1</v>
      </c>
      <c r="AI68">
        <f t="shared" si="35"/>
        <v>0</v>
      </c>
    </row>
    <row r="69" spans="1:35" x14ac:dyDescent="0.2">
      <c r="A69">
        <v>68</v>
      </c>
      <c r="B69" t="s">
        <v>16</v>
      </c>
      <c r="C69">
        <v>8</v>
      </c>
      <c r="D69" t="s">
        <v>262</v>
      </c>
      <c r="E69" t="s">
        <v>18</v>
      </c>
      <c r="F69" t="s">
        <v>21</v>
      </c>
      <c r="G69" t="s">
        <v>19</v>
      </c>
      <c r="H69" t="s">
        <v>18</v>
      </c>
      <c r="I69">
        <v>5</v>
      </c>
      <c r="J69">
        <v>7</v>
      </c>
      <c r="K69">
        <v>2000</v>
      </c>
      <c r="L69" t="s">
        <v>53</v>
      </c>
      <c r="M69" t="s">
        <v>23</v>
      </c>
      <c r="N69" t="s">
        <v>24</v>
      </c>
      <c r="O69" t="s">
        <v>148</v>
      </c>
      <c r="P69" t="s">
        <v>263</v>
      </c>
      <c r="Q69">
        <f t="shared" si="18"/>
        <v>4</v>
      </c>
      <c r="R69">
        <f t="shared" si="19"/>
        <v>1</v>
      </c>
      <c r="S69">
        <f t="shared" si="20"/>
        <v>3</v>
      </c>
      <c r="T69">
        <f t="shared" si="21"/>
        <v>4</v>
      </c>
      <c r="U69">
        <v>2000</v>
      </c>
      <c r="V69">
        <f t="shared" si="22"/>
        <v>0</v>
      </c>
      <c r="W69">
        <f t="shared" si="23"/>
        <v>0</v>
      </c>
      <c r="X69">
        <f t="shared" si="24"/>
        <v>1</v>
      </c>
      <c r="Y69">
        <f t="shared" si="25"/>
        <v>0</v>
      </c>
      <c r="Z69">
        <f t="shared" si="26"/>
        <v>0</v>
      </c>
      <c r="AA69">
        <f t="shared" si="27"/>
        <v>1</v>
      </c>
      <c r="AB69">
        <f t="shared" si="28"/>
        <v>0</v>
      </c>
      <c r="AC69">
        <f t="shared" si="29"/>
        <v>0</v>
      </c>
      <c r="AD69">
        <f t="shared" si="30"/>
        <v>0</v>
      </c>
      <c r="AE69">
        <f t="shared" si="31"/>
        <v>0</v>
      </c>
      <c r="AF69">
        <f t="shared" si="32"/>
        <v>0</v>
      </c>
      <c r="AG69">
        <f t="shared" si="33"/>
        <v>0</v>
      </c>
      <c r="AH69">
        <f t="shared" si="34"/>
        <v>1</v>
      </c>
      <c r="AI69">
        <f t="shared" si="35"/>
        <v>0</v>
      </c>
    </row>
    <row r="70" spans="1:35" x14ac:dyDescent="0.2">
      <c r="A70">
        <v>69</v>
      </c>
      <c r="B70" t="s">
        <v>16</v>
      </c>
      <c r="C70">
        <v>8</v>
      </c>
      <c r="D70" t="s">
        <v>264</v>
      </c>
      <c r="E70" t="s">
        <v>39</v>
      </c>
      <c r="F70" t="s">
        <v>20</v>
      </c>
      <c r="G70" t="s">
        <v>20</v>
      </c>
      <c r="H70" t="s">
        <v>39</v>
      </c>
      <c r="I70">
        <v>4</v>
      </c>
      <c r="J70">
        <v>4</v>
      </c>
      <c r="K70">
        <v>6000000</v>
      </c>
      <c r="L70" t="s">
        <v>41</v>
      </c>
      <c r="M70" t="s">
        <v>42</v>
      </c>
      <c r="N70" t="s">
        <v>24</v>
      </c>
      <c r="O70" t="s">
        <v>265</v>
      </c>
      <c r="P70" t="s">
        <v>266</v>
      </c>
      <c r="Q70">
        <f t="shared" si="18"/>
        <v>5</v>
      </c>
      <c r="R70">
        <f t="shared" si="19"/>
        <v>2</v>
      </c>
      <c r="S70">
        <f t="shared" si="20"/>
        <v>2</v>
      </c>
      <c r="T70">
        <f t="shared" si="21"/>
        <v>5</v>
      </c>
      <c r="U70">
        <v>6000000</v>
      </c>
      <c r="V70">
        <f t="shared" si="22"/>
        <v>0</v>
      </c>
      <c r="W70">
        <f t="shared" si="23"/>
        <v>0</v>
      </c>
      <c r="X70">
        <f t="shared" si="24"/>
        <v>0</v>
      </c>
      <c r="Y70">
        <f t="shared" si="25"/>
        <v>0</v>
      </c>
      <c r="Z70">
        <f t="shared" si="26"/>
        <v>1</v>
      </c>
      <c r="AA70">
        <f t="shared" si="27"/>
        <v>0</v>
      </c>
      <c r="AB70">
        <f t="shared" si="28"/>
        <v>1</v>
      </c>
      <c r="AC70">
        <f t="shared" si="29"/>
        <v>0</v>
      </c>
      <c r="AD70">
        <f t="shared" si="30"/>
        <v>0</v>
      </c>
      <c r="AE70">
        <f t="shared" si="31"/>
        <v>0</v>
      </c>
      <c r="AF70">
        <f t="shared" si="32"/>
        <v>0</v>
      </c>
      <c r="AG70">
        <f t="shared" si="33"/>
        <v>0</v>
      </c>
      <c r="AH70">
        <f t="shared" si="34"/>
        <v>1</v>
      </c>
      <c r="AI70">
        <f t="shared" si="35"/>
        <v>0</v>
      </c>
    </row>
    <row r="71" spans="1:35" x14ac:dyDescent="0.2">
      <c r="A71">
        <v>70</v>
      </c>
      <c r="B71" t="s">
        <v>16</v>
      </c>
      <c r="C71">
        <v>8</v>
      </c>
      <c r="D71" t="s">
        <v>267</v>
      </c>
      <c r="E71" t="s">
        <v>39</v>
      </c>
      <c r="F71" t="s">
        <v>20</v>
      </c>
      <c r="G71" t="s">
        <v>20</v>
      </c>
      <c r="H71" t="s">
        <v>39</v>
      </c>
      <c r="I71">
        <v>6</v>
      </c>
      <c r="J71">
        <v>6</v>
      </c>
      <c r="K71">
        <v>5</v>
      </c>
      <c r="L71" t="s">
        <v>22</v>
      </c>
      <c r="M71" t="s">
        <v>268</v>
      </c>
      <c r="N71" t="s">
        <v>24</v>
      </c>
      <c r="O71" t="s">
        <v>269</v>
      </c>
      <c r="P71" t="s">
        <v>270</v>
      </c>
      <c r="Q71">
        <f t="shared" si="18"/>
        <v>5</v>
      </c>
      <c r="R71">
        <f t="shared" si="19"/>
        <v>2</v>
      </c>
      <c r="S71">
        <f t="shared" si="20"/>
        <v>2</v>
      </c>
      <c r="T71">
        <f t="shared" si="21"/>
        <v>5</v>
      </c>
      <c r="U71">
        <v>5</v>
      </c>
      <c r="V71">
        <f t="shared" si="22"/>
        <v>1</v>
      </c>
      <c r="W71">
        <f t="shared" si="23"/>
        <v>0</v>
      </c>
      <c r="X71">
        <f t="shared" si="24"/>
        <v>0</v>
      </c>
      <c r="Y71">
        <f t="shared" si="25"/>
        <v>0</v>
      </c>
      <c r="Z71">
        <f t="shared" si="26"/>
        <v>0</v>
      </c>
      <c r="AA71">
        <f t="shared" si="27"/>
        <v>1</v>
      </c>
      <c r="AB71">
        <f t="shared" si="28"/>
        <v>1</v>
      </c>
      <c r="AC71">
        <f t="shared" si="29"/>
        <v>0</v>
      </c>
      <c r="AD71">
        <f t="shared" si="30"/>
        <v>1</v>
      </c>
      <c r="AE71">
        <f t="shared" si="31"/>
        <v>0</v>
      </c>
      <c r="AF71">
        <f t="shared" si="32"/>
        <v>0</v>
      </c>
      <c r="AG71">
        <f t="shared" si="33"/>
        <v>0</v>
      </c>
      <c r="AH71">
        <f t="shared" si="34"/>
        <v>1</v>
      </c>
      <c r="AI71">
        <f t="shared" si="35"/>
        <v>0</v>
      </c>
    </row>
    <row r="72" spans="1:35" x14ac:dyDescent="0.2">
      <c r="A72">
        <v>71</v>
      </c>
      <c r="B72" t="s">
        <v>16</v>
      </c>
      <c r="C72">
        <v>6</v>
      </c>
      <c r="D72" t="s">
        <v>271</v>
      </c>
      <c r="E72" t="s">
        <v>18</v>
      </c>
      <c r="F72" t="s">
        <v>20</v>
      </c>
      <c r="G72" t="s">
        <v>19</v>
      </c>
      <c r="H72" t="s">
        <v>39</v>
      </c>
      <c r="I72">
        <v>4</v>
      </c>
      <c r="J72">
        <v>6</v>
      </c>
      <c r="K72">
        <v>10</v>
      </c>
      <c r="L72" t="s">
        <v>47</v>
      </c>
      <c r="M72" t="s">
        <v>23</v>
      </c>
      <c r="N72" t="s">
        <v>84</v>
      </c>
      <c r="O72" t="s">
        <v>272</v>
      </c>
      <c r="P72" t="s">
        <v>273</v>
      </c>
      <c r="Q72">
        <f t="shared" si="18"/>
        <v>4</v>
      </c>
      <c r="R72">
        <f t="shared" si="19"/>
        <v>2</v>
      </c>
      <c r="S72">
        <f t="shared" si="20"/>
        <v>3</v>
      </c>
      <c r="T72">
        <f t="shared" si="21"/>
        <v>5</v>
      </c>
      <c r="U72">
        <v>10</v>
      </c>
      <c r="V72">
        <f t="shared" si="22"/>
        <v>0</v>
      </c>
      <c r="W72">
        <f t="shared" si="23"/>
        <v>0</v>
      </c>
      <c r="X72">
        <f t="shared" si="24"/>
        <v>1</v>
      </c>
      <c r="Y72">
        <f t="shared" si="25"/>
        <v>0</v>
      </c>
      <c r="Z72">
        <f t="shared" si="26"/>
        <v>1</v>
      </c>
      <c r="AA72">
        <f t="shared" si="27"/>
        <v>1</v>
      </c>
      <c r="AB72">
        <f t="shared" si="28"/>
        <v>0</v>
      </c>
      <c r="AC72">
        <f t="shared" si="29"/>
        <v>0</v>
      </c>
      <c r="AD72">
        <f t="shared" si="30"/>
        <v>0</v>
      </c>
      <c r="AE72">
        <f t="shared" si="31"/>
        <v>0</v>
      </c>
      <c r="AF72">
        <f t="shared" si="32"/>
        <v>0</v>
      </c>
      <c r="AG72">
        <f t="shared" si="33"/>
        <v>1</v>
      </c>
      <c r="AH72">
        <f t="shared" si="34"/>
        <v>0</v>
      </c>
      <c r="AI72">
        <f t="shared" si="35"/>
        <v>0</v>
      </c>
    </row>
    <row r="73" spans="1:35" x14ac:dyDescent="0.2">
      <c r="A73">
        <v>72</v>
      </c>
      <c r="B73" t="s">
        <v>16</v>
      </c>
      <c r="C73">
        <v>8</v>
      </c>
      <c r="D73" t="s">
        <v>274</v>
      </c>
      <c r="E73" t="s">
        <v>20</v>
      </c>
      <c r="F73" t="s">
        <v>18</v>
      </c>
      <c r="G73" t="s">
        <v>39</v>
      </c>
      <c r="H73" t="s">
        <v>20</v>
      </c>
      <c r="I73">
        <v>4</v>
      </c>
      <c r="J73">
        <v>5</v>
      </c>
      <c r="K73" t="s">
        <v>275</v>
      </c>
      <c r="L73" t="s">
        <v>276</v>
      </c>
      <c r="M73" t="s">
        <v>48</v>
      </c>
      <c r="N73" t="s">
        <v>43</v>
      </c>
      <c r="O73" t="s">
        <v>277</v>
      </c>
      <c r="P73" t="s">
        <v>278</v>
      </c>
      <c r="Q73">
        <f t="shared" si="18"/>
        <v>2</v>
      </c>
      <c r="R73">
        <f t="shared" si="19"/>
        <v>4</v>
      </c>
      <c r="S73">
        <f t="shared" si="20"/>
        <v>5</v>
      </c>
      <c r="T73">
        <f t="shared" si="21"/>
        <v>2</v>
      </c>
      <c r="U73">
        <v>1000</v>
      </c>
      <c r="V73">
        <f t="shared" si="22"/>
        <v>1</v>
      </c>
      <c r="W73">
        <f t="shared" si="23"/>
        <v>1</v>
      </c>
      <c r="X73">
        <f t="shared" si="24"/>
        <v>0</v>
      </c>
      <c r="Y73">
        <f t="shared" si="25"/>
        <v>1</v>
      </c>
      <c r="Z73">
        <f t="shared" si="26"/>
        <v>1</v>
      </c>
      <c r="AA73">
        <f t="shared" si="27"/>
        <v>1</v>
      </c>
      <c r="AB73">
        <f t="shared" si="28"/>
        <v>1</v>
      </c>
      <c r="AC73">
        <f t="shared" si="29"/>
        <v>1</v>
      </c>
      <c r="AD73">
        <f t="shared" si="30"/>
        <v>0</v>
      </c>
      <c r="AE73">
        <f t="shared" si="31"/>
        <v>0</v>
      </c>
      <c r="AF73">
        <f t="shared" si="32"/>
        <v>1</v>
      </c>
      <c r="AG73">
        <f t="shared" si="33"/>
        <v>1</v>
      </c>
      <c r="AH73">
        <f t="shared" si="34"/>
        <v>0</v>
      </c>
      <c r="AI73">
        <f t="shared" si="35"/>
        <v>0</v>
      </c>
    </row>
    <row r="74" spans="1:35" x14ac:dyDescent="0.2">
      <c r="A74">
        <v>73</v>
      </c>
      <c r="B74" t="s">
        <v>16</v>
      </c>
      <c r="C74">
        <v>5</v>
      </c>
      <c r="D74" t="s">
        <v>279</v>
      </c>
      <c r="E74" t="s">
        <v>39</v>
      </c>
      <c r="F74" t="s">
        <v>21</v>
      </c>
      <c r="G74" t="s">
        <v>21</v>
      </c>
      <c r="H74" t="s">
        <v>18</v>
      </c>
      <c r="I74">
        <v>7</v>
      </c>
      <c r="J74">
        <v>7</v>
      </c>
      <c r="K74">
        <v>10000000</v>
      </c>
      <c r="L74" t="s">
        <v>230</v>
      </c>
      <c r="M74" t="s">
        <v>280</v>
      </c>
      <c r="N74" t="s">
        <v>24</v>
      </c>
      <c r="O74" t="s">
        <v>281</v>
      </c>
      <c r="P74" t="s">
        <v>282</v>
      </c>
      <c r="Q74">
        <f t="shared" si="18"/>
        <v>5</v>
      </c>
      <c r="R74">
        <f t="shared" si="19"/>
        <v>1</v>
      </c>
      <c r="S74">
        <f t="shared" si="20"/>
        <v>1</v>
      </c>
      <c r="T74">
        <f t="shared" si="21"/>
        <v>4</v>
      </c>
      <c r="U74">
        <v>10000000</v>
      </c>
      <c r="V74">
        <f t="shared" si="22"/>
        <v>1</v>
      </c>
      <c r="W74">
        <f t="shared" si="23"/>
        <v>1</v>
      </c>
      <c r="X74">
        <f t="shared" si="24"/>
        <v>1</v>
      </c>
      <c r="Y74">
        <f t="shared" si="25"/>
        <v>1</v>
      </c>
      <c r="Z74">
        <f t="shared" si="26"/>
        <v>1</v>
      </c>
      <c r="AA74">
        <f t="shared" si="27"/>
        <v>0</v>
      </c>
      <c r="AB74">
        <f t="shared" si="28"/>
        <v>1</v>
      </c>
      <c r="AC74">
        <f t="shared" si="29"/>
        <v>1</v>
      </c>
      <c r="AD74">
        <f t="shared" si="30"/>
        <v>1</v>
      </c>
      <c r="AE74">
        <f t="shared" si="31"/>
        <v>0</v>
      </c>
      <c r="AF74">
        <f t="shared" si="32"/>
        <v>0</v>
      </c>
      <c r="AG74">
        <f t="shared" si="33"/>
        <v>0</v>
      </c>
      <c r="AH74">
        <f t="shared" si="34"/>
        <v>1</v>
      </c>
      <c r="AI74">
        <f t="shared" si="35"/>
        <v>0</v>
      </c>
    </row>
    <row r="75" spans="1:35" x14ac:dyDescent="0.2">
      <c r="A75">
        <v>74</v>
      </c>
      <c r="B75" t="s">
        <v>16</v>
      </c>
      <c r="C75">
        <v>8</v>
      </c>
      <c r="D75" t="s">
        <v>283</v>
      </c>
      <c r="E75" t="s">
        <v>21</v>
      </c>
      <c r="F75" t="s">
        <v>19</v>
      </c>
      <c r="G75" t="s">
        <v>19</v>
      </c>
      <c r="H75" t="s">
        <v>18</v>
      </c>
      <c r="I75">
        <v>14</v>
      </c>
      <c r="J75">
        <v>10</v>
      </c>
      <c r="K75">
        <v>30000000</v>
      </c>
      <c r="L75" t="s">
        <v>53</v>
      </c>
      <c r="M75" t="s">
        <v>135</v>
      </c>
      <c r="N75" t="s">
        <v>24</v>
      </c>
      <c r="O75" t="s">
        <v>284</v>
      </c>
      <c r="P75" t="s">
        <v>285</v>
      </c>
      <c r="Q75">
        <f t="shared" si="18"/>
        <v>1</v>
      </c>
      <c r="R75">
        <f t="shared" si="19"/>
        <v>3</v>
      </c>
      <c r="S75">
        <f t="shared" si="20"/>
        <v>3</v>
      </c>
      <c r="T75">
        <f t="shared" si="21"/>
        <v>4</v>
      </c>
      <c r="U75">
        <v>30000000</v>
      </c>
      <c r="V75">
        <f t="shared" si="22"/>
        <v>0</v>
      </c>
      <c r="W75">
        <f t="shared" si="23"/>
        <v>0</v>
      </c>
      <c r="X75">
        <f t="shared" si="24"/>
        <v>1</v>
      </c>
      <c r="Y75">
        <f t="shared" si="25"/>
        <v>0</v>
      </c>
      <c r="Z75">
        <f t="shared" si="26"/>
        <v>0</v>
      </c>
      <c r="AA75">
        <f t="shared" si="27"/>
        <v>1</v>
      </c>
      <c r="AB75">
        <f t="shared" si="28"/>
        <v>1</v>
      </c>
      <c r="AC75">
        <f t="shared" si="29"/>
        <v>0</v>
      </c>
      <c r="AD75">
        <f t="shared" si="30"/>
        <v>0</v>
      </c>
      <c r="AE75">
        <f t="shared" si="31"/>
        <v>0</v>
      </c>
      <c r="AF75">
        <f t="shared" si="32"/>
        <v>0</v>
      </c>
      <c r="AG75">
        <f t="shared" si="33"/>
        <v>0</v>
      </c>
      <c r="AH75">
        <f t="shared" si="34"/>
        <v>1</v>
      </c>
      <c r="AI75">
        <f t="shared" si="35"/>
        <v>0</v>
      </c>
    </row>
    <row r="76" spans="1:35" x14ac:dyDescent="0.2">
      <c r="A76">
        <v>75</v>
      </c>
      <c r="B76" t="s">
        <v>16</v>
      </c>
      <c r="C76">
        <v>9</v>
      </c>
      <c r="D76" t="s">
        <v>286</v>
      </c>
      <c r="E76" t="s">
        <v>18</v>
      </c>
      <c r="F76" t="s">
        <v>21</v>
      </c>
      <c r="G76" t="s">
        <v>21</v>
      </c>
      <c r="H76" t="s">
        <v>39</v>
      </c>
      <c r="I76">
        <v>4</v>
      </c>
      <c r="J76">
        <v>8</v>
      </c>
      <c r="K76">
        <v>0</v>
      </c>
      <c r="L76" t="s">
        <v>41</v>
      </c>
      <c r="M76" t="s">
        <v>23</v>
      </c>
      <c r="N76" t="s">
        <v>36</v>
      </c>
      <c r="O76" t="s">
        <v>287</v>
      </c>
      <c r="P76" t="s">
        <v>288</v>
      </c>
      <c r="Q76">
        <f t="shared" si="18"/>
        <v>4</v>
      </c>
      <c r="R76">
        <f t="shared" si="19"/>
        <v>1</v>
      </c>
      <c r="S76">
        <f t="shared" si="20"/>
        <v>1</v>
      </c>
      <c r="T76">
        <f t="shared" si="21"/>
        <v>5</v>
      </c>
      <c r="U76">
        <v>0</v>
      </c>
      <c r="V76">
        <f t="shared" si="22"/>
        <v>0</v>
      </c>
      <c r="W76">
        <f t="shared" si="23"/>
        <v>0</v>
      </c>
      <c r="X76">
        <f t="shared" si="24"/>
        <v>0</v>
      </c>
      <c r="Y76">
        <f t="shared" si="25"/>
        <v>0</v>
      </c>
      <c r="Z76">
        <f t="shared" si="26"/>
        <v>1</v>
      </c>
      <c r="AA76">
        <f t="shared" si="27"/>
        <v>1</v>
      </c>
      <c r="AB76">
        <f t="shared" si="28"/>
        <v>0</v>
      </c>
      <c r="AC76">
        <f t="shared" si="29"/>
        <v>0</v>
      </c>
      <c r="AD76">
        <f t="shared" si="30"/>
        <v>0</v>
      </c>
      <c r="AE76">
        <f t="shared" si="31"/>
        <v>0</v>
      </c>
      <c r="AF76">
        <f t="shared" si="32"/>
        <v>0</v>
      </c>
      <c r="AG76">
        <f t="shared" si="33"/>
        <v>0</v>
      </c>
      <c r="AH76">
        <f t="shared" si="34"/>
        <v>0</v>
      </c>
      <c r="AI76">
        <f t="shared" si="35"/>
        <v>1</v>
      </c>
    </row>
    <row r="77" spans="1:35" x14ac:dyDescent="0.2">
      <c r="A77">
        <v>76</v>
      </c>
      <c r="B77" t="s">
        <v>16</v>
      </c>
      <c r="C77">
        <v>9</v>
      </c>
      <c r="D77" t="s">
        <v>289</v>
      </c>
      <c r="E77" t="s">
        <v>39</v>
      </c>
      <c r="F77" t="s">
        <v>21</v>
      </c>
      <c r="G77" t="s">
        <v>19</v>
      </c>
      <c r="H77" t="s">
        <v>18</v>
      </c>
      <c r="I77">
        <v>4</v>
      </c>
      <c r="J77">
        <v>4</v>
      </c>
      <c r="K77" t="s">
        <v>290</v>
      </c>
      <c r="L77" t="s">
        <v>41</v>
      </c>
      <c r="M77" t="s">
        <v>291</v>
      </c>
      <c r="N77" t="s">
        <v>24</v>
      </c>
      <c r="O77" t="s">
        <v>292</v>
      </c>
      <c r="P77" t="s">
        <v>293</v>
      </c>
      <c r="Q77">
        <f t="shared" si="18"/>
        <v>5</v>
      </c>
      <c r="R77">
        <f t="shared" si="19"/>
        <v>1</v>
      </c>
      <c r="S77">
        <f t="shared" si="20"/>
        <v>3</v>
      </c>
      <c r="T77">
        <f t="shared" si="21"/>
        <v>4</v>
      </c>
      <c r="U77">
        <v>10000</v>
      </c>
      <c r="V77">
        <f t="shared" si="22"/>
        <v>0</v>
      </c>
      <c r="W77">
        <f t="shared" si="23"/>
        <v>0</v>
      </c>
      <c r="X77">
        <f t="shared" si="24"/>
        <v>0</v>
      </c>
      <c r="Y77">
        <f t="shared" si="25"/>
        <v>0</v>
      </c>
      <c r="Z77">
        <f t="shared" si="26"/>
        <v>1</v>
      </c>
      <c r="AA77">
        <f t="shared" si="27"/>
        <v>0</v>
      </c>
      <c r="AB77">
        <f t="shared" si="28"/>
        <v>1</v>
      </c>
      <c r="AC77">
        <f t="shared" si="29"/>
        <v>0</v>
      </c>
      <c r="AD77">
        <f t="shared" si="30"/>
        <v>1</v>
      </c>
      <c r="AE77">
        <f t="shared" si="31"/>
        <v>0</v>
      </c>
      <c r="AF77">
        <f t="shared" si="32"/>
        <v>0</v>
      </c>
      <c r="AG77">
        <f t="shared" si="33"/>
        <v>0</v>
      </c>
      <c r="AH77">
        <f t="shared" si="34"/>
        <v>1</v>
      </c>
      <c r="AI77">
        <f t="shared" si="35"/>
        <v>0</v>
      </c>
    </row>
    <row r="78" spans="1:35" x14ac:dyDescent="0.2">
      <c r="A78">
        <v>77</v>
      </c>
      <c r="B78" t="s">
        <v>16</v>
      </c>
      <c r="C78">
        <v>7</v>
      </c>
      <c r="D78" t="s">
        <v>294</v>
      </c>
      <c r="E78" t="s">
        <v>18</v>
      </c>
      <c r="F78" t="s">
        <v>20</v>
      </c>
      <c r="G78" t="s">
        <v>18</v>
      </c>
      <c r="H78" t="s">
        <v>18</v>
      </c>
      <c r="I78">
        <v>4</v>
      </c>
      <c r="J78">
        <v>4</v>
      </c>
      <c r="K78">
        <v>15</v>
      </c>
      <c r="L78" t="s">
        <v>22</v>
      </c>
      <c r="M78" t="s">
        <v>23</v>
      </c>
      <c r="N78" t="s">
        <v>24</v>
      </c>
      <c r="O78" t="s">
        <v>295</v>
      </c>
      <c r="P78" t="s">
        <v>296</v>
      </c>
      <c r="Q78">
        <f t="shared" si="18"/>
        <v>4</v>
      </c>
      <c r="R78">
        <f t="shared" si="19"/>
        <v>2</v>
      </c>
      <c r="S78">
        <f t="shared" si="20"/>
        <v>4</v>
      </c>
      <c r="T78">
        <f t="shared" si="21"/>
        <v>4</v>
      </c>
      <c r="U78">
        <v>15</v>
      </c>
      <c r="V78">
        <f t="shared" si="22"/>
        <v>1</v>
      </c>
      <c r="W78">
        <f t="shared" si="23"/>
        <v>0</v>
      </c>
      <c r="X78">
        <f t="shared" si="24"/>
        <v>0</v>
      </c>
      <c r="Y78">
        <f t="shared" si="25"/>
        <v>0</v>
      </c>
      <c r="Z78">
        <f t="shared" si="26"/>
        <v>0</v>
      </c>
      <c r="AA78">
        <f t="shared" si="27"/>
        <v>1</v>
      </c>
      <c r="AB78">
        <f t="shared" si="28"/>
        <v>0</v>
      </c>
      <c r="AC78">
        <f t="shared" si="29"/>
        <v>0</v>
      </c>
      <c r="AD78">
        <f t="shared" si="30"/>
        <v>0</v>
      </c>
      <c r="AE78">
        <f t="shared" si="31"/>
        <v>0</v>
      </c>
      <c r="AF78">
        <f t="shared" si="32"/>
        <v>0</v>
      </c>
      <c r="AG78">
        <f t="shared" si="33"/>
        <v>0</v>
      </c>
      <c r="AH78">
        <f t="shared" si="34"/>
        <v>1</v>
      </c>
      <c r="AI78">
        <f t="shared" si="35"/>
        <v>0</v>
      </c>
    </row>
    <row r="79" spans="1:35" ht="102" x14ac:dyDescent="0.2">
      <c r="A79">
        <v>78</v>
      </c>
      <c r="B79" t="s">
        <v>16</v>
      </c>
      <c r="C79">
        <v>7</v>
      </c>
      <c r="D79" t="s">
        <v>297</v>
      </c>
      <c r="E79" t="s">
        <v>18</v>
      </c>
      <c r="F79" t="s">
        <v>20</v>
      </c>
      <c r="G79" t="s">
        <v>18</v>
      </c>
      <c r="H79" t="s">
        <v>18</v>
      </c>
      <c r="I79">
        <v>5</v>
      </c>
      <c r="J79">
        <v>9</v>
      </c>
      <c r="K79" s="1">
        <v>10000</v>
      </c>
      <c r="L79" t="s">
        <v>53</v>
      </c>
      <c r="M79" t="s">
        <v>23</v>
      </c>
      <c r="N79" t="s">
        <v>36</v>
      </c>
      <c r="O79" t="s">
        <v>298</v>
      </c>
      <c r="P79" s="3" t="s">
        <v>299</v>
      </c>
      <c r="Q79">
        <f t="shared" si="18"/>
        <v>4</v>
      </c>
      <c r="R79">
        <f t="shared" si="19"/>
        <v>2</v>
      </c>
      <c r="S79">
        <f t="shared" si="20"/>
        <v>4</v>
      </c>
      <c r="T79">
        <f t="shared" si="21"/>
        <v>4</v>
      </c>
      <c r="U79">
        <v>10000</v>
      </c>
      <c r="V79">
        <f t="shared" si="22"/>
        <v>0</v>
      </c>
      <c r="W79">
        <f t="shared" si="23"/>
        <v>0</v>
      </c>
      <c r="X79">
        <f t="shared" si="24"/>
        <v>1</v>
      </c>
      <c r="Y79">
        <f t="shared" si="25"/>
        <v>0</v>
      </c>
      <c r="Z79">
        <f t="shared" si="26"/>
        <v>0</v>
      </c>
      <c r="AA79">
        <f t="shared" si="27"/>
        <v>1</v>
      </c>
      <c r="AB79">
        <f t="shared" si="28"/>
        <v>0</v>
      </c>
      <c r="AC79">
        <f t="shared" si="29"/>
        <v>0</v>
      </c>
      <c r="AD79">
        <f t="shared" si="30"/>
        <v>0</v>
      </c>
      <c r="AE79">
        <f t="shared" si="31"/>
        <v>0</v>
      </c>
      <c r="AF79">
        <f t="shared" si="32"/>
        <v>0</v>
      </c>
      <c r="AG79">
        <f t="shared" si="33"/>
        <v>0</v>
      </c>
      <c r="AH79">
        <f t="shared" si="34"/>
        <v>0</v>
      </c>
      <c r="AI79">
        <f t="shared" si="35"/>
        <v>1</v>
      </c>
    </row>
    <row r="80" spans="1:35" x14ac:dyDescent="0.2">
      <c r="A80">
        <v>79</v>
      </c>
      <c r="B80" t="s">
        <v>16</v>
      </c>
      <c r="C80">
        <v>7</v>
      </c>
      <c r="D80" t="s">
        <v>300</v>
      </c>
      <c r="E80" t="s">
        <v>19</v>
      </c>
      <c r="F80" t="s">
        <v>19</v>
      </c>
      <c r="G80" t="s">
        <v>18</v>
      </c>
      <c r="H80" t="s">
        <v>18</v>
      </c>
      <c r="I80">
        <v>3</v>
      </c>
      <c r="J80">
        <v>5</v>
      </c>
      <c r="K80" t="s">
        <v>301</v>
      </c>
      <c r="L80" t="s">
        <v>53</v>
      </c>
      <c r="M80" t="s">
        <v>23</v>
      </c>
      <c r="N80" t="s">
        <v>24</v>
      </c>
      <c r="O80" t="s">
        <v>302</v>
      </c>
      <c r="P80" t="s">
        <v>303</v>
      </c>
      <c r="Q80">
        <f t="shared" si="18"/>
        <v>3</v>
      </c>
      <c r="R80">
        <f t="shared" si="19"/>
        <v>3</v>
      </c>
      <c r="S80">
        <f t="shared" si="20"/>
        <v>4</v>
      </c>
      <c r="T80">
        <f t="shared" si="21"/>
        <v>4</v>
      </c>
      <c r="U80">
        <v>1000000</v>
      </c>
      <c r="V80">
        <f t="shared" si="22"/>
        <v>0</v>
      </c>
      <c r="W80">
        <f t="shared" si="23"/>
        <v>0</v>
      </c>
      <c r="X80">
        <f t="shared" si="24"/>
        <v>1</v>
      </c>
      <c r="Y80">
        <f t="shared" si="25"/>
        <v>0</v>
      </c>
      <c r="Z80">
        <f t="shared" si="26"/>
        <v>0</v>
      </c>
      <c r="AA80">
        <f t="shared" si="27"/>
        <v>1</v>
      </c>
      <c r="AB80">
        <f t="shared" si="28"/>
        <v>0</v>
      </c>
      <c r="AC80">
        <f t="shared" si="29"/>
        <v>0</v>
      </c>
      <c r="AD80">
        <f t="shared" si="30"/>
        <v>0</v>
      </c>
      <c r="AE80">
        <f t="shared" si="31"/>
        <v>0</v>
      </c>
      <c r="AF80">
        <f t="shared" si="32"/>
        <v>0</v>
      </c>
      <c r="AG80">
        <f t="shared" si="33"/>
        <v>0</v>
      </c>
      <c r="AH80">
        <f t="shared" si="34"/>
        <v>1</v>
      </c>
      <c r="AI80">
        <f t="shared" si="35"/>
        <v>0</v>
      </c>
    </row>
    <row r="81" spans="1:35" ht="238" x14ac:dyDescent="0.2">
      <c r="A81">
        <v>80</v>
      </c>
      <c r="B81" t="s">
        <v>16</v>
      </c>
      <c r="C81">
        <v>9</v>
      </c>
      <c r="D81" s="3" t="s">
        <v>304</v>
      </c>
      <c r="E81" t="s">
        <v>18</v>
      </c>
      <c r="F81" t="s">
        <v>20</v>
      </c>
      <c r="G81" t="s">
        <v>20</v>
      </c>
      <c r="H81" t="s">
        <v>18</v>
      </c>
      <c r="I81">
        <v>5</v>
      </c>
      <c r="J81">
        <v>6</v>
      </c>
      <c r="K81" s="1">
        <v>50</v>
      </c>
      <c r="L81" t="s">
        <v>305</v>
      </c>
      <c r="M81" t="s">
        <v>99</v>
      </c>
      <c r="N81" t="s">
        <v>147</v>
      </c>
      <c r="O81" t="s">
        <v>306</v>
      </c>
      <c r="P81" s="3" t="s">
        <v>307</v>
      </c>
      <c r="Q81">
        <f t="shared" si="18"/>
        <v>4</v>
      </c>
      <c r="R81">
        <f t="shared" si="19"/>
        <v>2</v>
      </c>
      <c r="S81">
        <f t="shared" si="20"/>
        <v>2</v>
      </c>
      <c r="T81">
        <f t="shared" si="21"/>
        <v>4</v>
      </c>
      <c r="U81">
        <v>50</v>
      </c>
      <c r="V81">
        <f t="shared" si="22"/>
        <v>1</v>
      </c>
      <c r="W81">
        <f t="shared" si="23"/>
        <v>1</v>
      </c>
      <c r="X81">
        <f t="shared" si="24"/>
        <v>1</v>
      </c>
      <c r="Y81">
        <f t="shared" si="25"/>
        <v>0</v>
      </c>
      <c r="Z81">
        <f t="shared" si="26"/>
        <v>1</v>
      </c>
      <c r="AA81">
        <f t="shared" si="27"/>
        <v>1</v>
      </c>
      <c r="AB81">
        <f t="shared" si="28"/>
        <v>0</v>
      </c>
      <c r="AC81">
        <f t="shared" si="29"/>
        <v>0</v>
      </c>
      <c r="AD81">
        <f t="shared" si="30"/>
        <v>0</v>
      </c>
      <c r="AE81">
        <f t="shared" si="31"/>
        <v>1</v>
      </c>
      <c r="AF81">
        <f t="shared" si="32"/>
        <v>0</v>
      </c>
      <c r="AG81">
        <f t="shared" si="33"/>
        <v>0</v>
      </c>
      <c r="AH81">
        <f t="shared" si="34"/>
        <v>1</v>
      </c>
      <c r="AI81">
        <f t="shared" si="35"/>
        <v>1</v>
      </c>
    </row>
    <row r="82" spans="1:35" x14ac:dyDescent="0.2">
      <c r="A82">
        <v>81</v>
      </c>
      <c r="B82" t="s">
        <v>16</v>
      </c>
      <c r="C82">
        <v>6</v>
      </c>
      <c r="D82" t="s">
        <v>308</v>
      </c>
      <c r="E82" t="s">
        <v>18</v>
      </c>
      <c r="F82" t="s">
        <v>20</v>
      </c>
      <c r="G82" t="s">
        <v>19</v>
      </c>
      <c r="H82" t="s">
        <v>18</v>
      </c>
      <c r="I82">
        <v>3</v>
      </c>
      <c r="J82">
        <v>5</v>
      </c>
      <c r="K82" t="s">
        <v>309</v>
      </c>
      <c r="L82" t="s">
        <v>47</v>
      </c>
      <c r="M82" t="s">
        <v>23</v>
      </c>
      <c r="N82" t="s">
        <v>84</v>
      </c>
      <c r="O82" t="s">
        <v>310</v>
      </c>
      <c r="P82" t="s">
        <v>311</v>
      </c>
      <c r="Q82">
        <f t="shared" si="18"/>
        <v>4</v>
      </c>
      <c r="R82">
        <f t="shared" si="19"/>
        <v>2</v>
      </c>
      <c r="S82">
        <f t="shared" si="20"/>
        <v>3</v>
      </c>
      <c r="T82">
        <f t="shared" si="21"/>
        <v>4</v>
      </c>
      <c r="U82">
        <v>200</v>
      </c>
      <c r="V82">
        <f t="shared" si="22"/>
        <v>0</v>
      </c>
      <c r="W82">
        <f t="shared" si="23"/>
        <v>0</v>
      </c>
      <c r="X82">
        <f t="shared" si="24"/>
        <v>1</v>
      </c>
      <c r="Y82">
        <f t="shared" si="25"/>
        <v>0</v>
      </c>
      <c r="Z82">
        <f t="shared" si="26"/>
        <v>1</v>
      </c>
      <c r="AA82">
        <f t="shared" si="27"/>
        <v>1</v>
      </c>
      <c r="AB82">
        <f t="shared" si="28"/>
        <v>0</v>
      </c>
      <c r="AC82">
        <f t="shared" si="29"/>
        <v>0</v>
      </c>
      <c r="AD82">
        <f t="shared" si="30"/>
        <v>0</v>
      </c>
      <c r="AE82">
        <f t="shared" si="31"/>
        <v>0</v>
      </c>
      <c r="AF82">
        <f t="shared" si="32"/>
        <v>0</v>
      </c>
      <c r="AG82">
        <f t="shared" si="33"/>
        <v>1</v>
      </c>
      <c r="AH82">
        <f t="shared" si="34"/>
        <v>0</v>
      </c>
      <c r="AI82">
        <f t="shared" si="35"/>
        <v>0</v>
      </c>
    </row>
    <row r="83" spans="1:35" x14ac:dyDescent="0.2">
      <c r="A83">
        <v>82</v>
      </c>
      <c r="B83" t="s">
        <v>16</v>
      </c>
      <c r="C83">
        <v>6</v>
      </c>
      <c r="D83" t="s">
        <v>312</v>
      </c>
      <c r="E83" t="s">
        <v>18</v>
      </c>
      <c r="F83" t="s">
        <v>19</v>
      </c>
      <c r="G83" t="s">
        <v>18</v>
      </c>
      <c r="H83" t="s">
        <v>18</v>
      </c>
      <c r="I83">
        <v>5</v>
      </c>
      <c r="J83">
        <v>5</v>
      </c>
      <c r="K83">
        <v>10</v>
      </c>
      <c r="L83" t="s">
        <v>53</v>
      </c>
      <c r="M83" t="s">
        <v>23</v>
      </c>
      <c r="N83" t="s">
        <v>24</v>
      </c>
      <c r="O83" t="s">
        <v>313</v>
      </c>
      <c r="P83" t="s">
        <v>314</v>
      </c>
      <c r="Q83">
        <f t="shared" si="18"/>
        <v>4</v>
      </c>
      <c r="R83">
        <f t="shared" si="19"/>
        <v>3</v>
      </c>
      <c r="S83">
        <f t="shared" si="20"/>
        <v>4</v>
      </c>
      <c r="T83">
        <f t="shared" si="21"/>
        <v>4</v>
      </c>
      <c r="U83">
        <v>10</v>
      </c>
      <c r="V83">
        <f t="shared" si="22"/>
        <v>0</v>
      </c>
      <c r="W83">
        <f t="shared" si="23"/>
        <v>0</v>
      </c>
      <c r="X83">
        <f t="shared" si="24"/>
        <v>1</v>
      </c>
      <c r="Y83">
        <f t="shared" si="25"/>
        <v>0</v>
      </c>
      <c r="Z83">
        <f t="shared" si="26"/>
        <v>0</v>
      </c>
      <c r="AA83">
        <f t="shared" si="27"/>
        <v>1</v>
      </c>
      <c r="AB83">
        <f t="shared" si="28"/>
        <v>0</v>
      </c>
      <c r="AC83">
        <f t="shared" si="29"/>
        <v>0</v>
      </c>
      <c r="AD83">
        <f t="shared" si="30"/>
        <v>0</v>
      </c>
      <c r="AE83">
        <f t="shared" si="31"/>
        <v>0</v>
      </c>
      <c r="AF83">
        <f t="shared" si="32"/>
        <v>0</v>
      </c>
      <c r="AG83">
        <f t="shared" si="33"/>
        <v>0</v>
      </c>
      <c r="AH83">
        <f t="shared" si="34"/>
        <v>1</v>
      </c>
      <c r="AI83">
        <f t="shared" si="35"/>
        <v>0</v>
      </c>
    </row>
    <row r="84" spans="1:35" x14ac:dyDescent="0.2">
      <c r="A84">
        <v>83</v>
      </c>
      <c r="B84" t="s">
        <v>16</v>
      </c>
      <c r="C84">
        <v>8</v>
      </c>
      <c r="D84" t="s">
        <v>315</v>
      </c>
      <c r="E84" t="s">
        <v>18</v>
      </c>
      <c r="F84" t="s">
        <v>21</v>
      </c>
      <c r="G84" t="s">
        <v>21</v>
      </c>
      <c r="H84" t="s">
        <v>39</v>
      </c>
      <c r="I84">
        <v>3</v>
      </c>
      <c r="J84">
        <v>3</v>
      </c>
      <c r="K84" s="2">
        <v>1000</v>
      </c>
      <c r="L84" t="s">
        <v>41</v>
      </c>
      <c r="M84" t="s">
        <v>23</v>
      </c>
      <c r="N84" t="s">
        <v>147</v>
      </c>
      <c r="O84" t="s">
        <v>316</v>
      </c>
      <c r="P84" t="s">
        <v>317</v>
      </c>
      <c r="Q84">
        <f t="shared" si="18"/>
        <v>4</v>
      </c>
      <c r="R84">
        <f t="shared" si="19"/>
        <v>1</v>
      </c>
      <c r="S84">
        <f t="shared" si="20"/>
        <v>1</v>
      </c>
      <c r="T84">
        <f t="shared" si="21"/>
        <v>5</v>
      </c>
      <c r="U84">
        <v>1000</v>
      </c>
      <c r="V84">
        <f t="shared" si="22"/>
        <v>0</v>
      </c>
      <c r="W84">
        <f t="shared" si="23"/>
        <v>0</v>
      </c>
      <c r="X84">
        <f t="shared" si="24"/>
        <v>0</v>
      </c>
      <c r="Y84">
        <f t="shared" si="25"/>
        <v>0</v>
      </c>
      <c r="Z84">
        <f t="shared" si="26"/>
        <v>1</v>
      </c>
      <c r="AA84">
        <f t="shared" si="27"/>
        <v>1</v>
      </c>
      <c r="AB84">
        <f t="shared" si="28"/>
        <v>0</v>
      </c>
      <c r="AC84">
        <f t="shared" si="29"/>
        <v>0</v>
      </c>
      <c r="AD84">
        <f t="shared" si="30"/>
        <v>0</v>
      </c>
      <c r="AE84">
        <f t="shared" si="31"/>
        <v>0</v>
      </c>
      <c r="AF84">
        <f t="shared" si="32"/>
        <v>0</v>
      </c>
      <c r="AG84">
        <f t="shared" si="33"/>
        <v>0</v>
      </c>
      <c r="AH84">
        <f t="shared" si="34"/>
        <v>1</v>
      </c>
      <c r="AI84">
        <f t="shared" si="35"/>
        <v>1</v>
      </c>
    </row>
    <row r="85" spans="1:35" x14ac:dyDescent="0.2">
      <c r="A85">
        <v>84</v>
      </c>
      <c r="B85" t="s">
        <v>16</v>
      </c>
      <c r="C85">
        <v>5</v>
      </c>
      <c r="D85" t="s">
        <v>318</v>
      </c>
      <c r="E85" t="s">
        <v>19</v>
      </c>
      <c r="F85" t="s">
        <v>20</v>
      </c>
      <c r="G85" t="s">
        <v>20</v>
      </c>
      <c r="H85" t="s">
        <v>19</v>
      </c>
      <c r="I85">
        <v>2</v>
      </c>
      <c r="J85">
        <v>5</v>
      </c>
      <c r="K85">
        <v>100</v>
      </c>
      <c r="L85" t="s">
        <v>41</v>
      </c>
      <c r="M85" t="s">
        <v>42</v>
      </c>
      <c r="N85" t="s">
        <v>24</v>
      </c>
      <c r="O85" t="s">
        <v>319</v>
      </c>
      <c r="P85" t="s">
        <v>320</v>
      </c>
      <c r="Q85">
        <f t="shared" si="18"/>
        <v>3</v>
      </c>
      <c r="R85">
        <f t="shared" si="19"/>
        <v>2</v>
      </c>
      <c r="S85">
        <f t="shared" si="20"/>
        <v>2</v>
      </c>
      <c r="T85">
        <f t="shared" si="21"/>
        <v>3</v>
      </c>
      <c r="U85">
        <v>100</v>
      </c>
      <c r="V85">
        <f t="shared" si="22"/>
        <v>0</v>
      </c>
      <c r="W85">
        <f t="shared" si="23"/>
        <v>0</v>
      </c>
      <c r="X85">
        <f t="shared" si="24"/>
        <v>0</v>
      </c>
      <c r="Y85">
        <f t="shared" si="25"/>
        <v>0</v>
      </c>
      <c r="Z85">
        <f t="shared" si="26"/>
        <v>1</v>
      </c>
      <c r="AA85">
        <f t="shared" si="27"/>
        <v>0</v>
      </c>
      <c r="AB85">
        <f t="shared" si="28"/>
        <v>1</v>
      </c>
      <c r="AC85">
        <f t="shared" si="29"/>
        <v>0</v>
      </c>
      <c r="AD85">
        <f t="shared" si="30"/>
        <v>0</v>
      </c>
      <c r="AE85">
        <f t="shared" si="31"/>
        <v>0</v>
      </c>
      <c r="AF85">
        <f t="shared" si="32"/>
        <v>0</v>
      </c>
      <c r="AG85">
        <f t="shared" si="33"/>
        <v>0</v>
      </c>
      <c r="AH85">
        <f t="shared" si="34"/>
        <v>1</v>
      </c>
      <c r="AI85">
        <f t="shared" si="35"/>
        <v>0</v>
      </c>
    </row>
    <row r="86" spans="1:35" x14ac:dyDescent="0.2">
      <c r="A86">
        <v>85</v>
      </c>
      <c r="B86" t="s">
        <v>16</v>
      </c>
      <c r="C86">
        <v>7</v>
      </c>
      <c r="D86" t="s">
        <v>321</v>
      </c>
      <c r="E86" t="s">
        <v>39</v>
      </c>
      <c r="F86" t="s">
        <v>20</v>
      </c>
      <c r="G86" t="s">
        <v>20</v>
      </c>
      <c r="H86" t="s">
        <v>18</v>
      </c>
      <c r="I86">
        <v>1</v>
      </c>
      <c r="J86">
        <v>4</v>
      </c>
      <c r="K86">
        <v>2500</v>
      </c>
      <c r="L86" t="s">
        <v>47</v>
      </c>
      <c r="M86" t="s">
        <v>29</v>
      </c>
      <c r="N86" t="s">
        <v>24</v>
      </c>
      <c r="O86" t="s">
        <v>322</v>
      </c>
      <c r="P86" t="s">
        <v>323</v>
      </c>
      <c r="Q86">
        <f t="shared" si="18"/>
        <v>5</v>
      </c>
      <c r="R86">
        <f t="shared" si="19"/>
        <v>2</v>
      </c>
      <c r="S86">
        <f t="shared" si="20"/>
        <v>2</v>
      </c>
      <c r="T86">
        <f t="shared" si="21"/>
        <v>4</v>
      </c>
      <c r="U86">
        <v>2500</v>
      </c>
      <c r="V86">
        <f t="shared" si="22"/>
        <v>0</v>
      </c>
      <c r="W86">
        <f t="shared" si="23"/>
        <v>0</v>
      </c>
      <c r="X86">
        <f t="shared" si="24"/>
        <v>1</v>
      </c>
      <c r="Y86">
        <f t="shared" si="25"/>
        <v>0</v>
      </c>
      <c r="Z86">
        <f t="shared" si="26"/>
        <v>1</v>
      </c>
      <c r="AA86">
        <f t="shared" si="27"/>
        <v>1</v>
      </c>
      <c r="AB86">
        <f t="shared" si="28"/>
        <v>0</v>
      </c>
      <c r="AC86">
        <f t="shared" si="29"/>
        <v>0</v>
      </c>
      <c r="AD86">
        <f t="shared" si="30"/>
        <v>1</v>
      </c>
      <c r="AE86">
        <f t="shared" si="31"/>
        <v>0</v>
      </c>
      <c r="AF86">
        <f t="shared" si="32"/>
        <v>0</v>
      </c>
      <c r="AG86">
        <f t="shared" si="33"/>
        <v>0</v>
      </c>
      <c r="AH86">
        <f t="shared" si="34"/>
        <v>1</v>
      </c>
      <c r="AI86">
        <f t="shared" si="35"/>
        <v>0</v>
      </c>
    </row>
    <row r="87" spans="1:35" x14ac:dyDescent="0.2">
      <c r="A87">
        <v>86</v>
      </c>
      <c r="B87" t="s">
        <v>16</v>
      </c>
      <c r="C87">
        <v>4</v>
      </c>
      <c r="D87" t="s">
        <v>324</v>
      </c>
      <c r="E87" t="s">
        <v>18</v>
      </c>
      <c r="F87" t="s">
        <v>21</v>
      </c>
      <c r="G87" t="s">
        <v>20</v>
      </c>
      <c r="H87" t="s">
        <v>39</v>
      </c>
      <c r="I87">
        <v>6</v>
      </c>
      <c r="J87">
        <v>6</v>
      </c>
      <c r="K87" t="s">
        <v>325</v>
      </c>
      <c r="L87" t="s">
        <v>53</v>
      </c>
      <c r="M87" t="s">
        <v>123</v>
      </c>
      <c r="N87" t="s">
        <v>84</v>
      </c>
      <c r="O87" t="s">
        <v>326</v>
      </c>
      <c r="P87" t="s">
        <v>327</v>
      </c>
      <c r="Q87">
        <f t="shared" si="18"/>
        <v>4</v>
      </c>
      <c r="R87">
        <f t="shared" si="19"/>
        <v>1</v>
      </c>
      <c r="S87">
        <f t="shared" si="20"/>
        <v>2</v>
      </c>
      <c r="T87">
        <f t="shared" si="21"/>
        <v>5</v>
      </c>
      <c r="U87">
        <v>0</v>
      </c>
      <c r="V87">
        <f t="shared" si="22"/>
        <v>0</v>
      </c>
      <c r="W87">
        <f t="shared" si="23"/>
        <v>0</v>
      </c>
      <c r="X87">
        <f t="shared" si="24"/>
        <v>1</v>
      </c>
      <c r="Y87">
        <f t="shared" si="25"/>
        <v>0</v>
      </c>
      <c r="Z87">
        <f t="shared" si="26"/>
        <v>0</v>
      </c>
      <c r="AA87">
        <f t="shared" si="27"/>
        <v>0</v>
      </c>
      <c r="AB87">
        <f t="shared" si="28"/>
        <v>1</v>
      </c>
      <c r="AC87">
        <f t="shared" si="29"/>
        <v>1</v>
      </c>
      <c r="AD87">
        <f t="shared" si="30"/>
        <v>0</v>
      </c>
      <c r="AE87">
        <f t="shared" si="31"/>
        <v>0</v>
      </c>
      <c r="AF87">
        <f t="shared" si="32"/>
        <v>0</v>
      </c>
      <c r="AG87">
        <f t="shared" si="33"/>
        <v>1</v>
      </c>
      <c r="AH87">
        <f t="shared" si="34"/>
        <v>0</v>
      </c>
      <c r="AI87">
        <f t="shared" si="35"/>
        <v>0</v>
      </c>
    </row>
    <row r="88" spans="1:35" x14ac:dyDescent="0.2">
      <c r="A88">
        <v>87</v>
      </c>
      <c r="B88" t="s">
        <v>16</v>
      </c>
      <c r="C88">
        <v>6</v>
      </c>
      <c r="D88" t="s">
        <v>328</v>
      </c>
      <c r="E88" t="s">
        <v>19</v>
      </c>
      <c r="F88" t="s">
        <v>20</v>
      </c>
      <c r="G88" t="s">
        <v>20</v>
      </c>
      <c r="H88" t="s">
        <v>19</v>
      </c>
      <c r="I88">
        <v>3</v>
      </c>
      <c r="J88">
        <v>4</v>
      </c>
      <c r="K88">
        <v>100</v>
      </c>
      <c r="L88" t="s">
        <v>22</v>
      </c>
      <c r="M88" t="s">
        <v>80</v>
      </c>
      <c r="N88" t="s">
        <v>24</v>
      </c>
      <c r="O88" t="s">
        <v>329</v>
      </c>
      <c r="P88" t="s">
        <v>330</v>
      </c>
      <c r="Q88">
        <f t="shared" si="18"/>
        <v>3</v>
      </c>
      <c r="R88">
        <f t="shared" si="19"/>
        <v>2</v>
      </c>
      <c r="S88">
        <f t="shared" si="20"/>
        <v>2</v>
      </c>
      <c r="T88">
        <f t="shared" si="21"/>
        <v>3</v>
      </c>
      <c r="U88">
        <v>100</v>
      </c>
      <c r="V88">
        <f t="shared" si="22"/>
        <v>1</v>
      </c>
      <c r="W88">
        <f t="shared" si="23"/>
        <v>0</v>
      </c>
      <c r="X88">
        <f t="shared" si="24"/>
        <v>0</v>
      </c>
      <c r="Y88">
        <f t="shared" si="25"/>
        <v>0</v>
      </c>
      <c r="Z88">
        <f t="shared" si="26"/>
        <v>0</v>
      </c>
      <c r="AA88">
        <f t="shared" si="27"/>
        <v>1</v>
      </c>
      <c r="AB88">
        <f t="shared" si="28"/>
        <v>1</v>
      </c>
      <c r="AC88">
        <f t="shared" si="29"/>
        <v>0</v>
      </c>
      <c r="AD88">
        <f t="shared" si="30"/>
        <v>0</v>
      </c>
      <c r="AE88">
        <f t="shared" si="31"/>
        <v>1</v>
      </c>
      <c r="AF88">
        <f t="shared" si="32"/>
        <v>0</v>
      </c>
      <c r="AG88">
        <f t="shared" si="33"/>
        <v>0</v>
      </c>
      <c r="AH88">
        <f t="shared" si="34"/>
        <v>1</v>
      </c>
      <c r="AI88">
        <f t="shared" si="35"/>
        <v>0</v>
      </c>
    </row>
    <row r="89" spans="1:35" x14ac:dyDescent="0.2">
      <c r="A89">
        <v>88</v>
      </c>
      <c r="B89" t="s">
        <v>16</v>
      </c>
      <c r="C89">
        <v>8</v>
      </c>
      <c r="D89" t="s">
        <v>331</v>
      </c>
      <c r="E89" t="s">
        <v>18</v>
      </c>
      <c r="F89" t="s">
        <v>20</v>
      </c>
      <c r="G89" t="s">
        <v>21</v>
      </c>
      <c r="H89" t="s">
        <v>18</v>
      </c>
      <c r="I89">
        <v>4</v>
      </c>
      <c r="J89">
        <v>5</v>
      </c>
      <c r="K89">
        <v>100</v>
      </c>
      <c r="L89" t="s">
        <v>53</v>
      </c>
      <c r="M89" t="s">
        <v>115</v>
      </c>
      <c r="N89" t="s">
        <v>36</v>
      </c>
      <c r="O89" t="s">
        <v>332</v>
      </c>
      <c r="P89" t="s">
        <v>333</v>
      </c>
      <c r="Q89">
        <f t="shared" si="18"/>
        <v>4</v>
      </c>
      <c r="R89">
        <f t="shared" si="19"/>
        <v>2</v>
      </c>
      <c r="S89">
        <f t="shared" si="20"/>
        <v>1</v>
      </c>
      <c r="T89">
        <f t="shared" si="21"/>
        <v>4</v>
      </c>
      <c r="U89">
        <v>100</v>
      </c>
      <c r="V89">
        <f t="shared" si="22"/>
        <v>0</v>
      </c>
      <c r="W89">
        <f t="shared" si="23"/>
        <v>0</v>
      </c>
      <c r="X89">
        <f t="shared" si="24"/>
        <v>1</v>
      </c>
      <c r="Y89">
        <f t="shared" si="25"/>
        <v>0</v>
      </c>
      <c r="Z89">
        <f t="shared" si="26"/>
        <v>0</v>
      </c>
      <c r="AA89">
        <f t="shared" si="27"/>
        <v>0</v>
      </c>
      <c r="AB89">
        <f t="shared" si="28"/>
        <v>0</v>
      </c>
      <c r="AC89">
        <f t="shared" si="29"/>
        <v>1</v>
      </c>
      <c r="AD89">
        <f t="shared" si="30"/>
        <v>0</v>
      </c>
      <c r="AE89">
        <f t="shared" si="31"/>
        <v>0</v>
      </c>
      <c r="AF89">
        <f t="shared" si="32"/>
        <v>0</v>
      </c>
      <c r="AG89">
        <f t="shared" si="33"/>
        <v>0</v>
      </c>
      <c r="AH89">
        <f t="shared" si="34"/>
        <v>0</v>
      </c>
      <c r="AI89">
        <f t="shared" si="35"/>
        <v>1</v>
      </c>
    </row>
    <row r="90" spans="1:35" x14ac:dyDescent="0.2">
      <c r="A90">
        <v>89</v>
      </c>
      <c r="B90" t="s">
        <v>16</v>
      </c>
      <c r="C90">
        <v>8</v>
      </c>
      <c r="D90" t="s">
        <v>334</v>
      </c>
      <c r="E90" t="s">
        <v>19</v>
      </c>
      <c r="F90" t="s">
        <v>19</v>
      </c>
      <c r="G90" t="s">
        <v>19</v>
      </c>
      <c r="H90" t="s">
        <v>19</v>
      </c>
      <c r="I90">
        <v>6</v>
      </c>
      <c r="J90">
        <v>3</v>
      </c>
      <c r="K90" s="2">
        <v>1000000</v>
      </c>
      <c r="L90" t="s">
        <v>41</v>
      </c>
      <c r="M90" t="s">
        <v>123</v>
      </c>
      <c r="N90" t="s">
        <v>24</v>
      </c>
      <c r="O90" t="s">
        <v>148</v>
      </c>
      <c r="P90" t="s">
        <v>335</v>
      </c>
      <c r="Q90">
        <f t="shared" si="18"/>
        <v>3</v>
      </c>
      <c r="R90">
        <f t="shared" si="19"/>
        <v>3</v>
      </c>
      <c r="S90">
        <f t="shared" si="20"/>
        <v>3</v>
      </c>
      <c r="T90">
        <f t="shared" si="21"/>
        <v>3</v>
      </c>
      <c r="U90">
        <v>1000000</v>
      </c>
      <c r="V90">
        <f t="shared" si="22"/>
        <v>0</v>
      </c>
      <c r="W90">
        <f t="shared" si="23"/>
        <v>0</v>
      </c>
      <c r="X90">
        <f t="shared" si="24"/>
        <v>0</v>
      </c>
      <c r="Y90">
        <f t="shared" si="25"/>
        <v>0</v>
      </c>
      <c r="Z90">
        <f t="shared" si="26"/>
        <v>1</v>
      </c>
      <c r="AA90">
        <f t="shared" si="27"/>
        <v>0</v>
      </c>
      <c r="AB90">
        <f t="shared" si="28"/>
        <v>1</v>
      </c>
      <c r="AC90">
        <f t="shared" si="29"/>
        <v>1</v>
      </c>
      <c r="AD90">
        <f t="shared" si="30"/>
        <v>0</v>
      </c>
      <c r="AE90">
        <f t="shared" si="31"/>
        <v>0</v>
      </c>
      <c r="AF90">
        <f t="shared" si="32"/>
        <v>0</v>
      </c>
      <c r="AG90">
        <f t="shared" si="33"/>
        <v>0</v>
      </c>
      <c r="AH90">
        <f t="shared" si="34"/>
        <v>1</v>
      </c>
      <c r="AI90">
        <f t="shared" si="35"/>
        <v>0</v>
      </c>
    </row>
    <row r="91" spans="1:35" x14ac:dyDescent="0.2">
      <c r="A91">
        <v>90</v>
      </c>
      <c r="B91" t="s">
        <v>16</v>
      </c>
      <c r="C91">
        <v>2</v>
      </c>
      <c r="D91" t="s">
        <v>336</v>
      </c>
      <c r="E91" t="s">
        <v>39</v>
      </c>
      <c r="F91" t="s">
        <v>20</v>
      </c>
      <c r="G91" t="s">
        <v>20</v>
      </c>
      <c r="H91" t="s">
        <v>18</v>
      </c>
      <c r="I91">
        <v>5</v>
      </c>
      <c r="J91">
        <v>4</v>
      </c>
      <c r="K91">
        <v>5</v>
      </c>
      <c r="L91" t="s">
        <v>22</v>
      </c>
      <c r="M91" t="s">
        <v>23</v>
      </c>
      <c r="N91" t="s">
        <v>24</v>
      </c>
      <c r="O91" t="s">
        <v>337</v>
      </c>
      <c r="P91" t="s">
        <v>338</v>
      </c>
      <c r="Q91">
        <f t="shared" si="18"/>
        <v>5</v>
      </c>
      <c r="R91">
        <f t="shared" si="19"/>
        <v>2</v>
      </c>
      <c r="S91">
        <f t="shared" si="20"/>
        <v>2</v>
      </c>
      <c r="T91">
        <f t="shared" si="21"/>
        <v>4</v>
      </c>
      <c r="U91">
        <v>5</v>
      </c>
      <c r="V91">
        <f t="shared" si="22"/>
        <v>1</v>
      </c>
      <c r="W91">
        <f t="shared" si="23"/>
        <v>0</v>
      </c>
      <c r="X91">
        <f t="shared" si="24"/>
        <v>0</v>
      </c>
      <c r="Y91">
        <f t="shared" si="25"/>
        <v>0</v>
      </c>
      <c r="Z91">
        <f t="shared" si="26"/>
        <v>0</v>
      </c>
      <c r="AA91">
        <f t="shared" si="27"/>
        <v>1</v>
      </c>
      <c r="AB91">
        <f t="shared" si="28"/>
        <v>0</v>
      </c>
      <c r="AC91">
        <f t="shared" si="29"/>
        <v>0</v>
      </c>
      <c r="AD91">
        <f t="shared" si="30"/>
        <v>0</v>
      </c>
      <c r="AE91">
        <f t="shared" si="31"/>
        <v>0</v>
      </c>
      <c r="AF91">
        <f t="shared" si="32"/>
        <v>0</v>
      </c>
      <c r="AG91">
        <f t="shared" si="33"/>
        <v>0</v>
      </c>
      <c r="AH91">
        <f t="shared" si="34"/>
        <v>1</v>
      </c>
      <c r="AI91">
        <f t="shared" si="35"/>
        <v>0</v>
      </c>
    </row>
    <row r="92" spans="1:35" x14ac:dyDescent="0.2">
      <c r="A92">
        <v>91</v>
      </c>
      <c r="B92" t="s">
        <v>16</v>
      </c>
      <c r="C92">
        <v>9</v>
      </c>
      <c r="D92" t="s">
        <v>339</v>
      </c>
      <c r="E92" t="s">
        <v>18</v>
      </c>
      <c r="F92" t="s">
        <v>20</v>
      </c>
      <c r="G92" t="s">
        <v>19</v>
      </c>
      <c r="H92" t="s">
        <v>18</v>
      </c>
      <c r="I92">
        <v>6</v>
      </c>
      <c r="J92">
        <v>7</v>
      </c>
      <c r="K92" t="s">
        <v>340</v>
      </c>
      <c r="L92" t="s">
        <v>70</v>
      </c>
      <c r="M92" t="s">
        <v>23</v>
      </c>
      <c r="N92" t="s">
        <v>49</v>
      </c>
      <c r="O92" t="s">
        <v>341</v>
      </c>
      <c r="P92" t="s">
        <v>342</v>
      </c>
      <c r="Q92">
        <f t="shared" si="18"/>
        <v>4</v>
      </c>
      <c r="R92">
        <f t="shared" si="19"/>
        <v>2</v>
      </c>
      <c r="S92">
        <f t="shared" si="20"/>
        <v>3</v>
      </c>
      <c r="T92">
        <f t="shared" si="21"/>
        <v>4</v>
      </c>
      <c r="U92">
        <v>100000</v>
      </c>
      <c r="V92">
        <f t="shared" si="22"/>
        <v>0</v>
      </c>
      <c r="W92">
        <f t="shared" si="23"/>
        <v>0</v>
      </c>
      <c r="X92">
        <f t="shared" si="24"/>
        <v>0</v>
      </c>
      <c r="Y92">
        <f t="shared" si="25"/>
        <v>1</v>
      </c>
      <c r="Z92">
        <f t="shared" si="26"/>
        <v>0</v>
      </c>
      <c r="AA92">
        <f t="shared" si="27"/>
        <v>1</v>
      </c>
      <c r="AB92">
        <f t="shared" si="28"/>
        <v>0</v>
      </c>
      <c r="AC92">
        <f t="shared" si="29"/>
        <v>0</v>
      </c>
      <c r="AD92">
        <f t="shared" si="30"/>
        <v>0</v>
      </c>
      <c r="AE92">
        <f t="shared" si="31"/>
        <v>0</v>
      </c>
      <c r="AF92">
        <f t="shared" si="32"/>
        <v>0</v>
      </c>
      <c r="AG92">
        <f t="shared" si="33"/>
        <v>1</v>
      </c>
      <c r="AH92">
        <f t="shared" si="34"/>
        <v>1</v>
      </c>
      <c r="AI92">
        <f t="shared" si="35"/>
        <v>0</v>
      </c>
    </row>
    <row r="93" spans="1:35" x14ac:dyDescent="0.2">
      <c r="A93">
        <v>92</v>
      </c>
      <c r="B93" t="s">
        <v>16</v>
      </c>
      <c r="C93">
        <v>7</v>
      </c>
      <c r="D93" t="s">
        <v>343</v>
      </c>
      <c r="E93" t="s">
        <v>18</v>
      </c>
      <c r="F93" t="s">
        <v>20</v>
      </c>
      <c r="G93" t="s">
        <v>18</v>
      </c>
      <c r="H93" t="s">
        <v>18</v>
      </c>
      <c r="I93">
        <v>8</v>
      </c>
      <c r="J93">
        <v>9</v>
      </c>
      <c r="K93">
        <v>1000</v>
      </c>
      <c r="L93" t="s">
        <v>47</v>
      </c>
      <c r="M93" t="s">
        <v>23</v>
      </c>
      <c r="N93" t="s">
        <v>24</v>
      </c>
      <c r="O93" t="s">
        <v>344</v>
      </c>
      <c r="P93" t="s">
        <v>345</v>
      </c>
      <c r="Q93">
        <f t="shared" si="18"/>
        <v>4</v>
      </c>
      <c r="R93">
        <f t="shared" si="19"/>
        <v>2</v>
      </c>
      <c r="S93">
        <f t="shared" si="20"/>
        <v>4</v>
      </c>
      <c r="T93">
        <f t="shared" si="21"/>
        <v>4</v>
      </c>
      <c r="U93">
        <v>1000</v>
      </c>
      <c r="V93">
        <f t="shared" si="22"/>
        <v>0</v>
      </c>
      <c r="W93">
        <f t="shared" si="23"/>
        <v>0</v>
      </c>
      <c r="X93">
        <f t="shared" si="24"/>
        <v>1</v>
      </c>
      <c r="Y93">
        <f t="shared" si="25"/>
        <v>0</v>
      </c>
      <c r="Z93">
        <f t="shared" si="26"/>
        <v>1</v>
      </c>
      <c r="AA93">
        <f t="shared" si="27"/>
        <v>1</v>
      </c>
      <c r="AB93">
        <f t="shared" si="28"/>
        <v>0</v>
      </c>
      <c r="AC93">
        <f t="shared" si="29"/>
        <v>0</v>
      </c>
      <c r="AD93">
        <f t="shared" si="30"/>
        <v>0</v>
      </c>
      <c r="AE93">
        <f t="shared" si="31"/>
        <v>0</v>
      </c>
      <c r="AF93">
        <f t="shared" si="32"/>
        <v>0</v>
      </c>
      <c r="AG93">
        <f t="shared" si="33"/>
        <v>0</v>
      </c>
      <c r="AH93">
        <f t="shared" si="34"/>
        <v>1</v>
      </c>
      <c r="AI93">
        <f t="shared" si="35"/>
        <v>0</v>
      </c>
    </row>
    <row r="94" spans="1:35" x14ac:dyDescent="0.2">
      <c r="A94">
        <v>93</v>
      </c>
      <c r="B94" t="s">
        <v>16</v>
      </c>
      <c r="C94">
        <v>9</v>
      </c>
      <c r="D94" t="s">
        <v>346</v>
      </c>
      <c r="E94" t="s">
        <v>39</v>
      </c>
      <c r="F94" t="s">
        <v>18</v>
      </c>
      <c r="G94" t="s">
        <v>21</v>
      </c>
      <c r="H94" t="s">
        <v>39</v>
      </c>
      <c r="I94">
        <v>3</v>
      </c>
      <c r="J94">
        <v>3</v>
      </c>
      <c r="K94" s="1">
        <v>0</v>
      </c>
      <c r="L94" t="s">
        <v>53</v>
      </c>
      <c r="M94" t="s">
        <v>23</v>
      </c>
      <c r="N94" t="s">
        <v>215</v>
      </c>
      <c r="O94" t="s">
        <v>347</v>
      </c>
      <c r="P94" t="s">
        <v>348</v>
      </c>
      <c r="Q94">
        <f t="shared" si="18"/>
        <v>5</v>
      </c>
      <c r="R94">
        <f t="shared" si="19"/>
        <v>4</v>
      </c>
      <c r="S94">
        <f t="shared" si="20"/>
        <v>1</v>
      </c>
      <c r="T94">
        <f t="shared" si="21"/>
        <v>5</v>
      </c>
      <c r="U94">
        <v>0</v>
      </c>
      <c r="V94">
        <f t="shared" si="22"/>
        <v>0</v>
      </c>
      <c r="W94">
        <f t="shared" si="23"/>
        <v>0</v>
      </c>
      <c r="X94">
        <f t="shared" si="24"/>
        <v>1</v>
      </c>
      <c r="Y94">
        <f t="shared" si="25"/>
        <v>0</v>
      </c>
      <c r="Z94">
        <f t="shared" si="26"/>
        <v>0</v>
      </c>
      <c r="AA94">
        <f t="shared" si="27"/>
        <v>1</v>
      </c>
      <c r="AB94">
        <f t="shared" si="28"/>
        <v>0</v>
      </c>
      <c r="AC94">
        <f t="shared" si="29"/>
        <v>0</v>
      </c>
      <c r="AD94">
        <f t="shared" si="30"/>
        <v>0</v>
      </c>
      <c r="AE94">
        <f t="shared" si="31"/>
        <v>0</v>
      </c>
      <c r="AF94">
        <f t="shared" si="32"/>
        <v>1</v>
      </c>
      <c r="AG94">
        <f t="shared" si="33"/>
        <v>0</v>
      </c>
      <c r="AH94">
        <f t="shared" si="34"/>
        <v>0</v>
      </c>
      <c r="AI94">
        <f t="shared" si="35"/>
        <v>0</v>
      </c>
    </row>
    <row r="95" spans="1:35" ht="136" x14ac:dyDescent="0.2">
      <c r="A95">
        <v>94</v>
      </c>
      <c r="B95" t="s">
        <v>16</v>
      </c>
      <c r="C95">
        <v>6</v>
      </c>
      <c r="D95" s="3" t="s">
        <v>349</v>
      </c>
      <c r="E95" t="s">
        <v>18</v>
      </c>
      <c r="F95" t="s">
        <v>20</v>
      </c>
      <c r="G95" t="s">
        <v>19</v>
      </c>
      <c r="H95" t="s">
        <v>18</v>
      </c>
      <c r="I95">
        <v>5</v>
      </c>
      <c r="J95">
        <v>5</v>
      </c>
      <c r="K95">
        <v>250</v>
      </c>
      <c r="L95" t="s">
        <v>53</v>
      </c>
      <c r="M95" t="s">
        <v>23</v>
      </c>
      <c r="N95" t="s">
        <v>24</v>
      </c>
      <c r="O95" t="s">
        <v>350</v>
      </c>
      <c r="P95" t="s">
        <v>351</v>
      </c>
      <c r="Q95">
        <f t="shared" si="18"/>
        <v>4</v>
      </c>
      <c r="R95">
        <f t="shared" si="19"/>
        <v>2</v>
      </c>
      <c r="S95">
        <f t="shared" si="20"/>
        <v>3</v>
      </c>
      <c r="T95">
        <f t="shared" si="21"/>
        <v>4</v>
      </c>
      <c r="U95">
        <v>250</v>
      </c>
      <c r="V95">
        <f t="shared" si="22"/>
        <v>0</v>
      </c>
      <c r="W95">
        <f t="shared" si="23"/>
        <v>0</v>
      </c>
      <c r="X95">
        <f t="shared" si="24"/>
        <v>1</v>
      </c>
      <c r="Y95">
        <f t="shared" si="25"/>
        <v>0</v>
      </c>
      <c r="Z95">
        <f t="shared" si="26"/>
        <v>0</v>
      </c>
      <c r="AA95">
        <f t="shared" si="27"/>
        <v>1</v>
      </c>
      <c r="AB95">
        <f t="shared" si="28"/>
        <v>0</v>
      </c>
      <c r="AC95">
        <f t="shared" si="29"/>
        <v>0</v>
      </c>
      <c r="AD95">
        <f t="shared" si="30"/>
        <v>0</v>
      </c>
      <c r="AE95">
        <f t="shared" si="31"/>
        <v>0</v>
      </c>
      <c r="AF95">
        <f t="shared" si="32"/>
        <v>0</v>
      </c>
      <c r="AG95">
        <f t="shared" si="33"/>
        <v>0</v>
      </c>
      <c r="AH95">
        <f t="shared" si="34"/>
        <v>1</v>
      </c>
      <c r="AI95">
        <f t="shared" si="35"/>
        <v>0</v>
      </c>
    </row>
    <row r="96" spans="1:35" x14ac:dyDescent="0.2">
      <c r="A96">
        <v>95</v>
      </c>
      <c r="B96" t="s">
        <v>16</v>
      </c>
      <c r="C96">
        <v>7</v>
      </c>
      <c r="D96" t="s">
        <v>352</v>
      </c>
      <c r="E96" t="s">
        <v>20</v>
      </c>
      <c r="F96" t="s">
        <v>21</v>
      </c>
      <c r="G96" t="s">
        <v>20</v>
      </c>
      <c r="H96" t="s">
        <v>18</v>
      </c>
      <c r="I96">
        <v>8</v>
      </c>
      <c r="J96">
        <v>4</v>
      </c>
      <c r="K96">
        <v>20</v>
      </c>
      <c r="L96" t="s">
        <v>22</v>
      </c>
      <c r="M96" t="s">
        <v>123</v>
      </c>
      <c r="N96" t="s">
        <v>84</v>
      </c>
      <c r="O96" t="s">
        <v>353</v>
      </c>
      <c r="P96" t="s">
        <v>354</v>
      </c>
      <c r="Q96">
        <f t="shared" si="18"/>
        <v>2</v>
      </c>
      <c r="R96">
        <f t="shared" si="19"/>
        <v>1</v>
      </c>
      <c r="S96">
        <f t="shared" si="20"/>
        <v>2</v>
      </c>
      <c r="T96">
        <f t="shared" si="21"/>
        <v>4</v>
      </c>
      <c r="U96">
        <v>20</v>
      </c>
      <c r="V96">
        <f t="shared" si="22"/>
        <v>1</v>
      </c>
      <c r="W96">
        <f t="shared" si="23"/>
        <v>0</v>
      </c>
      <c r="X96">
        <f t="shared" si="24"/>
        <v>0</v>
      </c>
      <c r="Y96">
        <f t="shared" si="25"/>
        <v>0</v>
      </c>
      <c r="Z96">
        <f t="shared" si="26"/>
        <v>0</v>
      </c>
      <c r="AA96">
        <f t="shared" si="27"/>
        <v>0</v>
      </c>
      <c r="AB96">
        <f t="shared" si="28"/>
        <v>1</v>
      </c>
      <c r="AC96">
        <f t="shared" si="29"/>
        <v>1</v>
      </c>
      <c r="AD96">
        <f t="shared" si="30"/>
        <v>0</v>
      </c>
      <c r="AE96">
        <f t="shared" si="31"/>
        <v>0</v>
      </c>
      <c r="AF96">
        <f t="shared" si="32"/>
        <v>0</v>
      </c>
      <c r="AG96">
        <f t="shared" si="33"/>
        <v>1</v>
      </c>
      <c r="AH96">
        <f t="shared" si="34"/>
        <v>0</v>
      </c>
      <c r="AI96">
        <f t="shared" si="35"/>
        <v>0</v>
      </c>
    </row>
    <row r="97" spans="1:35" x14ac:dyDescent="0.2">
      <c r="A97">
        <v>96</v>
      </c>
      <c r="B97" t="s">
        <v>16</v>
      </c>
      <c r="C97">
        <v>8</v>
      </c>
      <c r="D97" t="s">
        <v>355</v>
      </c>
      <c r="E97" t="s">
        <v>39</v>
      </c>
      <c r="F97" t="s">
        <v>21</v>
      </c>
      <c r="G97" t="s">
        <v>20</v>
      </c>
      <c r="H97" t="s">
        <v>18</v>
      </c>
      <c r="I97">
        <v>4</v>
      </c>
      <c r="J97">
        <v>3</v>
      </c>
      <c r="K97" s="2">
        <v>250000</v>
      </c>
      <c r="L97" t="s">
        <v>47</v>
      </c>
      <c r="M97" t="s">
        <v>23</v>
      </c>
      <c r="N97" t="s">
        <v>147</v>
      </c>
      <c r="O97" t="s">
        <v>356</v>
      </c>
      <c r="P97" t="s">
        <v>357</v>
      </c>
      <c r="Q97">
        <f t="shared" si="18"/>
        <v>5</v>
      </c>
      <c r="R97">
        <f t="shared" si="19"/>
        <v>1</v>
      </c>
      <c r="S97">
        <f t="shared" si="20"/>
        <v>2</v>
      </c>
      <c r="T97">
        <f t="shared" si="21"/>
        <v>4</v>
      </c>
      <c r="U97">
        <v>250000</v>
      </c>
      <c r="V97">
        <f t="shared" si="22"/>
        <v>0</v>
      </c>
      <c r="W97">
        <f t="shared" si="23"/>
        <v>0</v>
      </c>
      <c r="X97">
        <f t="shared" si="24"/>
        <v>1</v>
      </c>
      <c r="Y97">
        <f t="shared" si="25"/>
        <v>0</v>
      </c>
      <c r="Z97">
        <f t="shared" si="26"/>
        <v>1</v>
      </c>
      <c r="AA97">
        <f t="shared" si="27"/>
        <v>1</v>
      </c>
      <c r="AB97">
        <f t="shared" si="28"/>
        <v>0</v>
      </c>
      <c r="AC97">
        <f t="shared" si="29"/>
        <v>0</v>
      </c>
      <c r="AD97">
        <f t="shared" si="30"/>
        <v>0</v>
      </c>
      <c r="AE97">
        <f t="shared" si="31"/>
        <v>0</v>
      </c>
      <c r="AF97">
        <f t="shared" si="32"/>
        <v>0</v>
      </c>
      <c r="AG97">
        <f t="shared" si="33"/>
        <v>0</v>
      </c>
      <c r="AH97">
        <f t="shared" si="34"/>
        <v>1</v>
      </c>
      <c r="AI97">
        <f t="shared" si="35"/>
        <v>1</v>
      </c>
    </row>
    <row r="98" spans="1:35" x14ac:dyDescent="0.2">
      <c r="A98">
        <v>97</v>
      </c>
      <c r="B98" t="s">
        <v>16</v>
      </c>
      <c r="C98">
        <v>7</v>
      </c>
      <c r="D98" t="s">
        <v>358</v>
      </c>
      <c r="E98" t="s">
        <v>18</v>
      </c>
      <c r="F98" t="s">
        <v>20</v>
      </c>
      <c r="G98" t="s">
        <v>20</v>
      </c>
      <c r="H98" t="s">
        <v>18</v>
      </c>
      <c r="I98">
        <v>6</v>
      </c>
      <c r="J98">
        <v>4</v>
      </c>
      <c r="K98">
        <v>100</v>
      </c>
      <c r="L98" t="s">
        <v>53</v>
      </c>
      <c r="M98" t="s">
        <v>23</v>
      </c>
      <c r="N98" t="s">
        <v>84</v>
      </c>
      <c r="O98" t="s">
        <v>359</v>
      </c>
      <c r="P98" t="s">
        <v>360</v>
      </c>
      <c r="Q98">
        <f t="shared" si="18"/>
        <v>4</v>
      </c>
      <c r="R98">
        <f t="shared" si="19"/>
        <v>2</v>
      </c>
      <c r="S98">
        <f t="shared" si="20"/>
        <v>2</v>
      </c>
      <c r="T98">
        <f t="shared" si="21"/>
        <v>4</v>
      </c>
      <c r="U98">
        <v>100</v>
      </c>
      <c r="V98">
        <f t="shared" si="22"/>
        <v>0</v>
      </c>
      <c r="W98">
        <f t="shared" si="23"/>
        <v>0</v>
      </c>
      <c r="X98">
        <f t="shared" si="24"/>
        <v>1</v>
      </c>
      <c r="Y98">
        <f t="shared" si="25"/>
        <v>0</v>
      </c>
      <c r="Z98">
        <f t="shared" si="26"/>
        <v>0</v>
      </c>
      <c r="AA98">
        <f t="shared" si="27"/>
        <v>1</v>
      </c>
      <c r="AB98">
        <f t="shared" si="28"/>
        <v>0</v>
      </c>
      <c r="AC98">
        <f t="shared" si="29"/>
        <v>0</v>
      </c>
      <c r="AD98">
        <f t="shared" si="30"/>
        <v>0</v>
      </c>
      <c r="AE98">
        <f t="shared" si="31"/>
        <v>0</v>
      </c>
      <c r="AF98">
        <f t="shared" si="32"/>
        <v>0</v>
      </c>
      <c r="AG98">
        <f t="shared" si="33"/>
        <v>1</v>
      </c>
      <c r="AH98">
        <f t="shared" si="34"/>
        <v>0</v>
      </c>
      <c r="AI98">
        <f t="shared" si="35"/>
        <v>0</v>
      </c>
    </row>
    <row r="99" spans="1:35" x14ac:dyDescent="0.2">
      <c r="A99">
        <v>98</v>
      </c>
      <c r="B99" t="s">
        <v>16</v>
      </c>
      <c r="C99">
        <v>8</v>
      </c>
      <c r="D99" t="s">
        <v>361</v>
      </c>
      <c r="E99" t="s">
        <v>39</v>
      </c>
      <c r="F99" t="s">
        <v>19</v>
      </c>
      <c r="G99" t="s">
        <v>18</v>
      </c>
      <c r="H99" t="s">
        <v>18</v>
      </c>
      <c r="I99">
        <v>5</v>
      </c>
      <c r="J99">
        <v>6</v>
      </c>
      <c r="K99">
        <v>15</v>
      </c>
      <c r="L99" t="s">
        <v>53</v>
      </c>
      <c r="M99" t="s">
        <v>23</v>
      </c>
      <c r="N99" t="s">
        <v>84</v>
      </c>
      <c r="O99" t="s">
        <v>362</v>
      </c>
      <c r="P99" t="s">
        <v>363</v>
      </c>
      <c r="Q99">
        <f t="shared" si="18"/>
        <v>5</v>
      </c>
      <c r="R99">
        <f t="shared" si="19"/>
        <v>3</v>
      </c>
      <c r="S99">
        <f t="shared" si="20"/>
        <v>4</v>
      </c>
      <c r="T99">
        <f t="shared" si="21"/>
        <v>4</v>
      </c>
      <c r="U99">
        <v>15</v>
      </c>
      <c r="V99">
        <f t="shared" si="22"/>
        <v>0</v>
      </c>
      <c r="W99">
        <f t="shared" si="23"/>
        <v>0</v>
      </c>
      <c r="X99">
        <f t="shared" si="24"/>
        <v>1</v>
      </c>
      <c r="Y99">
        <f t="shared" si="25"/>
        <v>0</v>
      </c>
      <c r="Z99">
        <f t="shared" si="26"/>
        <v>0</v>
      </c>
      <c r="AA99">
        <f t="shared" si="27"/>
        <v>1</v>
      </c>
      <c r="AB99">
        <f t="shared" si="28"/>
        <v>0</v>
      </c>
      <c r="AC99">
        <f t="shared" si="29"/>
        <v>0</v>
      </c>
      <c r="AD99">
        <f t="shared" si="30"/>
        <v>0</v>
      </c>
      <c r="AE99">
        <f t="shared" si="31"/>
        <v>0</v>
      </c>
      <c r="AF99">
        <f t="shared" si="32"/>
        <v>0</v>
      </c>
      <c r="AG99">
        <f t="shared" si="33"/>
        <v>1</v>
      </c>
      <c r="AH99">
        <f t="shared" si="34"/>
        <v>0</v>
      </c>
      <c r="AI99">
        <f t="shared" si="35"/>
        <v>0</v>
      </c>
    </row>
    <row r="100" spans="1:35" x14ac:dyDescent="0.2">
      <c r="A100">
        <v>99</v>
      </c>
      <c r="B100" t="s">
        <v>16</v>
      </c>
      <c r="C100">
        <v>8</v>
      </c>
      <c r="D100" t="s">
        <v>364</v>
      </c>
      <c r="E100" t="s">
        <v>39</v>
      </c>
      <c r="F100" t="s">
        <v>21</v>
      </c>
      <c r="G100" t="s">
        <v>20</v>
      </c>
      <c r="H100" t="s">
        <v>39</v>
      </c>
      <c r="I100">
        <v>4</v>
      </c>
      <c r="J100">
        <v>4</v>
      </c>
      <c r="K100">
        <v>50</v>
      </c>
      <c r="L100" t="s">
        <v>41</v>
      </c>
      <c r="M100" t="s">
        <v>23</v>
      </c>
      <c r="N100" t="s">
        <v>147</v>
      </c>
      <c r="O100" t="s">
        <v>365</v>
      </c>
      <c r="P100" t="s">
        <v>366</v>
      </c>
      <c r="Q100">
        <f t="shared" si="18"/>
        <v>5</v>
      </c>
      <c r="R100">
        <f t="shared" si="19"/>
        <v>1</v>
      </c>
      <c r="S100">
        <f t="shared" si="20"/>
        <v>2</v>
      </c>
      <c r="T100">
        <f t="shared" si="21"/>
        <v>5</v>
      </c>
      <c r="U100">
        <v>50</v>
      </c>
      <c r="V100">
        <f t="shared" si="22"/>
        <v>0</v>
      </c>
      <c r="W100">
        <f t="shared" si="23"/>
        <v>0</v>
      </c>
      <c r="X100">
        <f t="shared" si="24"/>
        <v>0</v>
      </c>
      <c r="Y100">
        <f t="shared" si="25"/>
        <v>0</v>
      </c>
      <c r="Z100">
        <f t="shared" si="26"/>
        <v>1</v>
      </c>
      <c r="AA100">
        <f t="shared" si="27"/>
        <v>1</v>
      </c>
      <c r="AB100">
        <f t="shared" si="28"/>
        <v>0</v>
      </c>
      <c r="AC100">
        <f t="shared" si="29"/>
        <v>0</v>
      </c>
      <c r="AD100">
        <f t="shared" si="30"/>
        <v>0</v>
      </c>
      <c r="AE100">
        <f t="shared" si="31"/>
        <v>0</v>
      </c>
      <c r="AF100">
        <f t="shared" si="32"/>
        <v>0</v>
      </c>
      <c r="AG100">
        <f t="shared" si="33"/>
        <v>0</v>
      </c>
      <c r="AH100">
        <f t="shared" si="34"/>
        <v>1</v>
      </c>
      <c r="AI100">
        <f t="shared" si="35"/>
        <v>1</v>
      </c>
    </row>
    <row r="101" spans="1:35" x14ac:dyDescent="0.2">
      <c r="A101">
        <v>100</v>
      </c>
      <c r="B101" t="s">
        <v>16</v>
      </c>
      <c r="C101">
        <v>8</v>
      </c>
      <c r="D101" t="s">
        <v>367</v>
      </c>
      <c r="E101" t="s">
        <v>18</v>
      </c>
      <c r="F101" t="s">
        <v>18</v>
      </c>
      <c r="G101" t="s">
        <v>18</v>
      </c>
      <c r="H101" t="s">
        <v>20</v>
      </c>
      <c r="I101">
        <v>3</v>
      </c>
      <c r="J101">
        <v>4</v>
      </c>
      <c r="K101">
        <v>50</v>
      </c>
      <c r="L101" t="s">
        <v>53</v>
      </c>
      <c r="M101" t="s">
        <v>161</v>
      </c>
      <c r="N101" t="s">
        <v>24</v>
      </c>
      <c r="O101" t="s">
        <v>368</v>
      </c>
      <c r="P101" t="s">
        <v>369</v>
      </c>
      <c r="Q101">
        <f t="shared" si="18"/>
        <v>4</v>
      </c>
      <c r="R101">
        <f t="shared" si="19"/>
        <v>4</v>
      </c>
      <c r="S101">
        <f t="shared" si="20"/>
        <v>4</v>
      </c>
      <c r="T101">
        <f t="shared" si="21"/>
        <v>2</v>
      </c>
      <c r="U101">
        <v>50</v>
      </c>
      <c r="V101">
        <f t="shared" si="22"/>
        <v>0</v>
      </c>
      <c r="W101">
        <f t="shared" si="23"/>
        <v>0</v>
      </c>
      <c r="X101">
        <f t="shared" si="24"/>
        <v>1</v>
      </c>
      <c r="Y101">
        <f t="shared" si="25"/>
        <v>0</v>
      </c>
      <c r="Z101">
        <f t="shared" si="26"/>
        <v>0</v>
      </c>
      <c r="AA101">
        <f t="shared" si="27"/>
        <v>1</v>
      </c>
      <c r="AB101">
        <f t="shared" si="28"/>
        <v>1</v>
      </c>
      <c r="AC101">
        <f t="shared" si="29"/>
        <v>1</v>
      </c>
      <c r="AD101">
        <f t="shared" si="30"/>
        <v>1</v>
      </c>
      <c r="AE101">
        <f t="shared" si="31"/>
        <v>0</v>
      </c>
      <c r="AF101">
        <f t="shared" si="32"/>
        <v>0</v>
      </c>
      <c r="AG101">
        <f t="shared" si="33"/>
        <v>0</v>
      </c>
      <c r="AH101">
        <f t="shared" si="34"/>
        <v>1</v>
      </c>
      <c r="AI101">
        <f t="shared" si="35"/>
        <v>0</v>
      </c>
    </row>
    <row r="102" spans="1:35" x14ac:dyDescent="0.2">
      <c r="A102">
        <v>101</v>
      </c>
      <c r="B102" t="s">
        <v>16</v>
      </c>
      <c r="C102">
        <v>4</v>
      </c>
      <c r="D102" t="s">
        <v>370</v>
      </c>
      <c r="E102" t="s">
        <v>18</v>
      </c>
      <c r="F102" t="s">
        <v>19</v>
      </c>
      <c r="G102" t="s">
        <v>18</v>
      </c>
      <c r="H102" t="s">
        <v>20</v>
      </c>
      <c r="I102">
        <v>6</v>
      </c>
      <c r="J102">
        <v>8</v>
      </c>
      <c r="K102" t="s">
        <v>371</v>
      </c>
      <c r="L102" t="s">
        <v>41</v>
      </c>
      <c r="M102" t="s">
        <v>23</v>
      </c>
      <c r="N102" t="s">
        <v>24</v>
      </c>
      <c r="O102" t="s">
        <v>372</v>
      </c>
      <c r="P102" t="s">
        <v>373</v>
      </c>
      <c r="Q102">
        <f t="shared" si="18"/>
        <v>4</v>
      </c>
      <c r="R102">
        <f t="shared" si="19"/>
        <v>3</v>
      </c>
      <c r="S102">
        <f t="shared" si="20"/>
        <v>4</v>
      </c>
      <c r="T102">
        <f t="shared" si="21"/>
        <v>2</v>
      </c>
      <c r="U102">
        <v>1000000</v>
      </c>
      <c r="V102">
        <f t="shared" si="22"/>
        <v>0</v>
      </c>
      <c r="W102">
        <f t="shared" si="23"/>
        <v>0</v>
      </c>
      <c r="X102">
        <f t="shared" si="24"/>
        <v>0</v>
      </c>
      <c r="Y102">
        <f t="shared" si="25"/>
        <v>0</v>
      </c>
      <c r="Z102">
        <f t="shared" si="26"/>
        <v>1</v>
      </c>
      <c r="AA102">
        <f t="shared" si="27"/>
        <v>1</v>
      </c>
      <c r="AB102">
        <f t="shared" si="28"/>
        <v>0</v>
      </c>
      <c r="AC102">
        <f t="shared" si="29"/>
        <v>0</v>
      </c>
      <c r="AD102">
        <f t="shared" si="30"/>
        <v>0</v>
      </c>
      <c r="AE102">
        <f t="shared" si="31"/>
        <v>0</v>
      </c>
      <c r="AF102">
        <f t="shared" si="32"/>
        <v>0</v>
      </c>
      <c r="AG102">
        <f t="shared" si="33"/>
        <v>0</v>
      </c>
      <c r="AH102">
        <f t="shared" si="34"/>
        <v>1</v>
      </c>
      <c r="AI102">
        <f t="shared" si="35"/>
        <v>0</v>
      </c>
    </row>
    <row r="103" spans="1:35" x14ac:dyDescent="0.2">
      <c r="A103">
        <v>102</v>
      </c>
      <c r="B103" t="s">
        <v>16</v>
      </c>
      <c r="C103">
        <v>8</v>
      </c>
      <c r="D103" t="s">
        <v>374</v>
      </c>
      <c r="E103" t="s">
        <v>39</v>
      </c>
      <c r="F103" t="s">
        <v>20</v>
      </c>
      <c r="G103" t="s">
        <v>19</v>
      </c>
      <c r="H103" t="s">
        <v>18</v>
      </c>
      <c r="I103">
        <v>8</v>
      </c>
      <c r="J103">
        <v>7</v>
      </c>
      <c r="K103">
        <v>10000</v>
      </c>
      <c r="L103" t="s">
        <v>53</v>
      </c>
      <c r="M103" t="s">
        <v>135</v>
      </c>
      <c r="N103" t="s">
        <v>84</v>
      </c>
      <c r="O103" t="s">
        <v>375</v>
      </c>
      <c r="P103" t="s">
        <v>376</v>
      </c>
      <c r="Q103">
        <f t="shared" si="18"/>
        <v>5</v>
      </c>
      <c r="R103">
        <f t="shared" si="19"/>
        <v>2</v>
      </c>
      <c r="S103">
        <f t="shared" si="20"/>
        <v>3</v>
      </c>
      <c r="T103">
        <f t="shared" si="21"/>
        <v>4</v>
      </c>
      <c r="U103">
        <v>10000</v>
      </c>
      <c r="V103">
        <f t="shared" si="22"/>
        <v>0</v>
      </c>
      <c r="W103">
        <f t="shared" si="23"/>
        <v>0</v>
      </c>
      <c r="X103">
        <f t="shared" si="24"/>
        <v>1</v>
      </c>
      <c r="Y103">
        <f t="shared" si="25"/>
        <v>0</v>
      </c>
      <c r="Z103">
        <f t="shared" si="26"/>
        <v>0</v>
      </c>
      <c r="AA103">
        <f t="shared" si="27"/>
        <v>1</v>
      </c>
      <c r="AB103">
        <f t="shared" si="28"/>
        <v>1</v>
      </c>
      <c r="AC103">
        <f t="shared" si="29"/>
        <v>0</v>
      </c>
      <c r="AD103">
        <f t="shared" si="30"/>
        <v>0</v>
      </c>
      <c r="AE103">
        <f t="shared" si="31"/>
        <v>0</v>
      </c>
      <c r="AF103">
        <f t="shared" si="32"/>
        <v>0</v>
      </c>
      <c r="AG103">
        <f t="shared" si="33"/>
        <v>1</v>
      </c>
      <c r="AH103">
        <f t="shared" si="34"/>
        <v>0</v>
      </c>
      <c r="AI103">
        <f t="shared" si="35"/>
        <v>0</v>
      </c>
    </row>
    <row r="104" spans="1:35" x14ac:dyDescent="0.2">
      <c r="A104">
        <v>103</v>
      </c>
      <c r="B104" t="s">
        <v>16</v>
      </c>
      <c r="C104">
        <v>5</v>
      </c>
      <c r="D104" t="s">
        <v>377</v>
      </c>
      <c r="E104" t="s">
        <v>18</v>
      </c>
      <c r="F104" t="s">
        <v>19</v>
      </c>
      <c r="G104" t="s">
        <v>20</v>
      </c>
      <c r="H104" t="s">
        <v>18</v>
      </c>
      <c r="I104">
        <v>3</v>
      </c>
      <c r="J104">
        <v>4</v>
      </c>
      <c r="K104">
        <v>1000000</v>
      </c>
      <c r="L104" t="s">
        <v>53</v>
      </c>
      <c r="M104" t="s">
        <v>23</v>
      </c>
      <c r="N104" t="s">
        <v>84</v>
      </c>
      <c r="O104" t="s">
        <v>378</v>
      </c>
      <c r="P104" t="s">
        <v>379</v>
      </c>
      <c r="Q104">
        <f t="shared" si="18"/>
        <v>4</v>
      </c>
      <c r="R104">
        <f t="shared" si="19"/>
        <v>3</v>
      </c>
      <c r="S104">
        <f t="shared" si="20"/>
        <v>2</v>
      </c>
      <c r="T104">
        <f t="shared" si="21"/>
        <v>4</v>
      </c>
      <c r="U104">
        <v>1000000</v>
      </c>
      <c r="V104">
        <f t="shared" si="22"/>
        <v>0</v>
      </c>
      <c r="W104">
        <f t="shared" si="23"/>
        <v>0</v>
      </c>
      <c r="X104">
        <f t="shared" si="24"/>
        <v>1</v>
      </c>
      <c r="Y104">
        <f t="shared" si="25"/>
        <v>0</v>
      </c>
      <c r="Z104">
        <f t="shared" si="26"/>
        <v>0</v>
      </c>
      <c r="AA104">
        <f t="shared" si="27"/>
        <v>1</v>
      </c>
      <c r="AB104">
        <f t="shared" si="28"/>
        <v>0</v>
      </c>
      <c r="AC104">
        <f t="shared" si="29"/>
        <v>0</v>
      </c>
      <c r="AD104">
        <f t="shared" si="30"/>
        <v>0</v>
      </c>
      <c r="AE104">
        <f t="shared" si="31"/>
        <v>0</v>
      </c>
      <c r="AF104">
        <f t="shared" si="32"/>
        <v>0</v>
      </c>
      <c r="AG104">
        <f t="shared" si="33"/>
        <v>1</v>
      </c>
      <c r="AH104">
        <f t="shared" si="34"/>
        <v>0</v>
      </c>
      <c r="AI104">
        <f t="shared" si="35"/>
        <v>0</v>
      </c>
    </row>
    <row r="105" spans="1:35" x14ac:dyDescent="0.2">
      <c r="A105">
        <v>104</v>
      </c>
      <c r="B105" t="s">
        <v>16</v>
      </c>
      <c r="C105">
        <v>3</v>
      </c>
      <c r="D105" t="s">
        <v>380</v>
      </c>
      <c r="E105" t="s">
        <v>19</v>
      </c>
      <c r="F105" t="s">
        <v>18</v>
      </c>
      <c r="G105" t="s">
        <v>39</v>
      </c>
      <c r="H105" t="s">
        <v>20</v>
      </c>
      <c r="I105">
        <v>7</v>
      </c>
      <c r="J105">
        <v>7</v>
      </c>
      <c r="K105">
        <v>100</v>
      </c>
      <c r="L105" t="s">
        <v>79</v>
      </c>
      <c r="M105" t="s">
        <v>99</v>
      </c>
      <c r="N105" t="s">
        <v>84</v>
      </c>
      <c r="O105" t="s">
        <v>381</v>
      </c>
      <c r="P105" t="s">
        <v>382</v>
      </c>
      <c r="Q105">
        <f t="shared" si="18"/>
        <v>3</v>
      </c>
      <c r="R105">
        <f t="shared" si="19"/>
        <v>4</v>
      </c>
      <c r="S105">
        <f t="shared" si="20"/>
        <v>5</v>
      </c>
      <c r="T105">
        <f t="shared" si="21"/>
        <v>2</v>
      </c>
      <c r="U105">
        <v>100</v>
      </c>
      <c r="V105">
        <f t="shared" si="22"/>
        <v>0</v>
      </c>
      <c r="W105">
        <f t="shared" si="23"/>
        <v>1</v>
      </c>
      <c r="X105">
        <f t="shared" si="24"/>
        <v>0</v>
      </c>
      <c r="Y105">
        <f t="shared" si="25"/>
        <v>0</v>
      </c>
      <c r="Z105">
        <f t="shared" si="26"/>
        <v>1</v>
      </c>
      <c r="AA105">
        <f t="shared" si="27"/>
        <v>1</v>
      </c>
      <c r="AB105">
        <f t="shared" si="28"/>
        <v>0</v>
      </c>
      <c r="AC105">
        <f t="shared" si="29"/>
        <v>0</v>
      </c>
      <c r="AD105">
        <f t="shared" si="30"/>
        <v>0</v>
      </c>
      <c r="AE105">
        <f t="shared" si="31"/>
        <v>1</v>
      </c>
      <c r="AF105">
        <f t="shared" si="32"/>
        <v>0</v>
      </c>
      <c r="AG105">
        <f t="shared" si="33"/>
        <v>1</v>
      </c>
      <c r="AH105">
        <f t="shared" si="34"/>
        <v>0</v>
      </c>
      <c r="AI105">
        <f t="shared" si="35"/>
        <v>0</v>
      </c>
    </row>
    <row r="106" spans="1:35" x14ac:dyDescent="0.2">
      <c r="A106">
        <v>105</v>
      </c>
      <c r="B106" t="s">
        <v>16</v>
      </c>
      <c r="C106">
        <v>3</v>
      </c>
      <c r="D106" t="s">
        <v>383</v>
      </c>
      <c r="E106" t="s">
        <v>19</v>
      </c>
      <c r="F106" t="s">
        <v>18</v>
      </c>
      <c r="G106" t="s">
        <v>20</v>
      </c>
      <c r="H106" t="s">
        <v>18</v>
      </c>
      <c r="I106">
        <v>4</v>
      </c>
      <c r="J106">
        <v>4</v>
      </c>
      <c r="K106" s="2">
        <v>1000000</v>
      </c>
      <c r="L106" t="s">
        <v>53</v>
      </c>
      <c r="M106" t="s">
        <v>42</v>
      </c>
      <c r="N106" t="s">
        <v>24</v>
      </c>
      <c r="O106" t="s">
        <v>195</v>
      </c>
      <c r="P106" t="s">
        <v>384</v>
      </c>
      <c r="Q106">
        <f t="shared" si="18"/>
        <v>3</v>
      </c>
      <c r="R106">
        <f t="shared" si="19"/>
        <v>4</v>
      </c>
      <c r="S106">
        <f t="shared" si="20"/>
        <v>2</v>
      </c>
      <c r="T106">
        <f t="shared" si="21"/>
        <v>4</v>
      </c>
      <c r="U106">
        <v>1000000</v>
      </c>
      <c r="V106">
        <f t="shared" si="22"/>
        <v>0</v>
      </c>
      <c r="W106">
        <f t="shared" si="23"/>
        <v>0</v>
      </c>
      <c r="X106">
        <f t="shared" si="24"/>
        <v>1</v>
      </c>
      <c r="Y106">
        <f t="shared" si="25"/>
        <v>0</v>
      </c>
      <c r="Z106">
        <f t="shared" si="26"/>
        <v>0</v>
      </c>
      <c r="AA106">
        <f t="shared" si="27"/>
        <v>0</v>
      </c>
      <c r="AB106">
        <f t="shared" si="28"/>
        <v>1</v>
      </c>
      <c r="AC106">
        <f t="shared" si="29"/>
        <v>0</v>
      </c>
      <c r="AD106">
        <f t="shared" si="30"/>
        <v>0</v>
      </c>
      <c r="AE106">
        <f t="shared" si="31"/>
        <v>0</v>
      </c>
      <c r="AF106">
        <f t="shared" si="32"/>
        <v>0</v>
      </c>
      <c r="AG106">
        <f t="shared" si="33"/>
        <v>0</v>
      </c>
      <c r="AH106">
        <f t="shared" si="34"/>
        <v>1</v>
      </c>
      <c r="AI106">
        <f t="shared" si="35"/>
        <v>0</v>
      </c>
    </row>
    <row r="107" spans="1:35" x14ac:dyDescent="0.2">
      <c r="A107">
        <v>106</v>
      </c>
      <c r="B107" t="s">
        <v>16</v>
      </c>
      <c r="C107">
        <v>8</v>
      </c>
      <c r="D107" t="s">
        <v>385</v>
      </c>
      <c r="E107" t="s">
        <v>18</v>
      </c>
      <c r="F107" t="s">
        <v>21</v>
      </c>
      <c r="G107" t="s">
        <v>20</v>
      </c>
      <c r="H107" t="s">
        <v>18</v>
      </c>
      <c r="I107">
        <v>4</v>
      </c>
      <c r="J107">
        <v>6</v>
      </c>
      <c r="K107" s="1">
        <v>30</v>
      </c>
      <c r="L107" t="s">
        <v>41</v>
      </c>
      <c r="M107" t="s">
        <v>23</v>
      </c>
      <c r="N107" t="s">
        <v>147</v>
      </c>
      <c r="O107" t="s">
        <v>386</v>
      </c>
      <c r="P107" t="s">
        <v>387</v>
      </c>
      <c r="Q107">
        <f t="shared" si="18"/>
        <v>4</v>
      </c>
      <c r="R107">
        <f t="shared" si="19"/>
        <v>1</v>
      </c>
      <c r="S107">
        <f t="shared" si="20"/>
        <v>2</v>
      </c>
      <c r="T107">
        <f t="shared" si="21"/>
        <v>4</v>
      </c>
      <c r="U107">
        <v>30</v>
      </c>
      <c r="V107">
        <f t="shared" si="22"/>
        <v>0</v>
      </c>
      <c r="W107">
        <f t="shared" si="23"/>
        <v>0</v>
      </c>
      <c r="X107">
        <f t="shared" si="24"/>
        <v>0</v>
      </c>
      <c r="Y107">
        <f t="shared" si="25"/>
        <v>0</v>
      </c>
      <c r="Z107">
        <f t="shared" si="26"/>
        <v>1</v>
      </c>
      <c r="AA107">
        <f t="shared" si="27"/>
        <v>1</v>
      </c>
      <c r="AB107">
        <f t="shared" si="28"/>
        <v>0</v>
      </c>
      <c r="AC107">
        <f t="shared" si="29"/>
        <v>0</v>
      </c>
      <c r="AD107">
        <f t="shared" si="30"/>
        <v>0</v>
      </c>
      <c r="AE107">
        <f t="shared" si="31"/>
        <v>0</v>
      </c>
      <c r="AF107">
        <f t="shared" si="32"/>
        <v>0</v>
      </c>
      <c r="AG107">
        <f t="shared" si="33"/>
        <v>0</v>
      </c>
      <c r="AH107">
        <f t="shared" si="34"/>
        <v>1</v>
      </c>
      <c r="AI107">
        <f t="shared" si="35"/>
        <v>1</v>
      </c>
    </row>
    <row r="108" spans="1:35" x14ac:dyDescent="0.2">
      <c r="A108">
        <v>107</v>
      </c>
      <c r="B108" t="s">
        <v>16</v>
      </c>
      <c r="C108">
        <v>8</v>
      </c>
      <c r="D108" t="s">
        <v>388</v>
      </c>
      <c r="E108" t="s">
        <v>18</v>
      </c>
      <c r="F108" t="s">
        <v>20</v>
      </c>
      <c r="G108" t="s">
        <v>20</v>
      </c>
      <c r="H108" t="s">
        <v>39</v>
      </c>
      <c r="I108">
        <v>5</v>
      </c>
      <c r="J108">
        <v>4</v>
      </c>
      <c r="K108">
        <v>100000</v>
      </c>
      <c r="L108" t="s">
        <v>53</v>
      </c>
      <c r="M108" t="s">
        <v>23</v>
      </c>
      <c r="N108" t="s">
        <v>24</v>
      </c>
      <c r="O108" t="s">
        <v>103</v>
      </c>
      <c r="P108" t="s">
        <v>389</v>
      </c>
      <c r="Q108">
        <f t="shared" si="18"/>
        <v>4</v>
      </c>
      <c r="R108">
        <f t="shared" si="19"/>
        <v>2</v>
      </c>
      <c r="S108">
        <f t="shared" si="20"/>
        <v>2</v>
      </c>
      <c r="T108">
        <f t="shared" si="21"/>
        <v>5</v>
      </c>
      <c r="U108">
        <v>100000</v>
      </c>
      <c r="V108">
        <f t="shared" si="22"/>
        <v>0</v>
      </c>
      <c r="W108">
        <f t="shared" si="23"/>
        <v>0</v>
      </c>
      <c r="X108">
        <f t="shared" si="24"/>
        <v>1</v>
      </c>
      <c r="Y108">
        <f t="shared" si="25"/>
        <v>0</v>
      </c>
      <c r="Z108">
        <f t="shared" si="26"/>
        <v>0</v>
      </c>
      <c r="AA108">
        <f t="shared" si="27"/>
        <v>1</v>
      </c>
      <c r="AB108">
        <f t="shared" si="28"/>
        <v>0</v>
      </c>
      <c r="AC108">
        <f t="shared" si="29"/>
        <v>0</v>
      </c>
      <c r="AD108">
        <f t="shared" si="30"/>
        <v>0</v>
      </c>
      <c r="AE108">
        <f t="shared" si="31"/>
        <v>0</v>
      </c>
      <c r="AF108">
        <f t="shared" si="32"/>
        <v>0</v>
      </c>
      <c r="AG108">
        <f t="shared" si="33"/>
        <v>0</v>
      </c>
      <c r="AH108">
        <f t="shared" si="34"/>
        <v>1</v>
      </c>
      <c r="AI108">
        <f t="shared" si="35"/>
        <v>0</v>
      </c>
    </row>
    <row r="109" spans="1:35" x14ac:dyDescent="0.2">
      <c r="A109">
        <v>108</v>
      </c>
      <c r="B109" t="s">
        <v>16</v>
      </c>
      <c r="C109">
        <v>6</v>
      </c>
      <c r="D109" t="s">
        <v>390</v>
      </c>
      <c r="E109" t="s">
        <v>20</v>
      </c>
      <c r="F109" t="s">
        <v>19</v>
      </c>
      <c r="G109" t="s">
        <v>19</v>
      </c>
      <c r="H109" t="s">
        <v>18</v>
      </c>
      <c r="I109">
        <v>7</v>
      </c>
      <c r="J109">
        <v>4</v>
      </c>
      <c r="K109">
        <v>150</v>
      </c>
      <c r="L109" t="s">
        <v>53</v>
      </c>
      <c r="M109" t="s">
        <v>23</v>
      </c>
      <c r="N109" t="s">
        <v>84</v>
      </c>
      <c r="O109" t="s">
        <v>391</v>
      </c>
      <c r="P109" t="s">
        <v>392</v>
      </c>
      <c r="Q109">
        <f t="shared" si="18"/>
        <v>2</v>
      </c>
      <c r="R109">
        <f t="shared" si="19"/>
        <v>3</v>
      </c>
      <c r="S109">
        <f t="shared" si="20"/>
        <v>3</v>
      </c>
      <c r="T109">
        <f t="shared" si="21"/>
        <v>4</v>
      </c>
      <c r="U109">
        <v>150</v>
      </c>
      <c r="V109">
        <f t="shared" si="22"/>
        <v>0</v>
      </c>
      <c r="W109">
        <f t="shared" si="23"/>
        <v>0</v>
      </c>
      <c r="X109">
        <f t="shared" si="24"/>
        <v>1</v>
      </c>
      <c r="Y109">
        <f t="shared" si="25"/>
        <v>0</v>
      </c>
      <c r="Z109">
        <f t="shared" si="26"/>
        <v>0</v>
      </c>
      <c r="AA109">
        <f t="shared" si="27"/>
        <v>1</v>
      </c>
      <c r="AB109">
        <f t="shared" si="28"/>
        <v>0</v>
      </c>
      <c r="AC109">
        <f t="shared" si="29"/>
        <v>0</v>
      </c>
      <c r="AD109">
        <f t="shared" si="30"/>
        <v>0</v>
      </c>
      <c r="AE109">
        <f t="shared" si="31"/>
        <v>0</v>
      </c>
      <c r="AF109">
        <f t="shared" si="32"/>
        <v>0</v>
      </c>
      <c r="AG109">
        <f t="shared" si="33"/>
        <v>1</v>
      </c>
      <c r="AH109">
        <f t="shared" si="34"/>
        <v>0</v>
      </c>
      <c r="AI109">
        <f t="shared" si="35"/>
        <v>0</v>
      </c>
    </row>
    <row r="110" spans="1:35" x14ac:dyDescent="0.2">
      <c r="A110">
        <v>109</v>
      </c>
      <c r="B110" t="s">
        <v>16</v>
      </c>
      <c r="C110">
        <v>9</v>
      </c>
      <c r="D110" t="s">
        <v>393</v>
      </c>
      <c r="E110" t="s">
        <v>18</v>
      </c>
      <c r="F110" t="s">
        <v>20</v>
      </c>
      <c r="G110" t="s">
        <v>20</v>
      </c>
      <c r="H110" t="s">
        <v>39</v>
      </c>
      <c r="I110">
        <v>5</v>
      </c>
      <c r="J110">
        <v>7</v>
      </c>
      <c r="K110" t="s">
        <v>394</v>
      </c>
      <c r="L110" t="s">
        <v>79</v>
      </c>
      <c r="M110" t="s">
        <v>42</v>
      </c>
      <c r="N110" t="s">
        <v>24</v>
      </c>
      <c r="O110" t="s">
        <v>395</v>
      </c>
      <c r="P110" t="s">
        <v>396</v>
      </c>
      <c r="Q110">
        <f t="shared" si="18"/>
        <v>4</v>
      </c>
      <c r="R110">
        <f t="shared" si="19"/>
        <v>2</v>
      </c>
      <c r="S110">
        <f t="shared" si="20"/>
        <v>2</v>
      </c>
      <c r="T110">
        <f t="shared" si="21"/>
        <v>5</v>
      </c>
      <c r="U110">
        <v>5000</v>
      </c>
      <c r="V110">
        <f t="shared" si="22"/>
        <v>0</v>
      </c>
      <c r="W110">
        <f t="shared" si="23"/>
        <v>1</v>
      </c>
      <c r="X110">
        <f t="shared" si="24"/>
        <v>0</v>
      </c>
      <c r="Y110">
        <f t="shared" si="25"/>
        <v>0</v>
      </c>
      <c r="Z110">
        <f t="shared" si="26"/>
        <v>1</v>
      </c>
      <c r="AA110">
        <f t="shared" si="27"/>
        <v>0</v>
      </c>
      <c r="AB110">
        <f t="shared" si="28"/>
        <v>1</v>
      </c>
      <c r="AC110">
        <f t="shared" si="29"/>
        <v>0</v>
      </c>
      <c r="AD110">
        <f t="shared" si="30"/>
        <v>0</v>
      </c>
      <c r="AE110">
        <f t="shared" si="31"/>
        <v>0</v>
      </c>
      <c r="AF110">
        <f t="shared" si="32"/>
        <v>0</v>
      </c>
      <c r="AG110">
        <f t="shared" si="33"/>
        <v>0</v>
      </c>
      <c r="AH110">
        <f t="shared" si="34"/>
        <v>1</v>
      </c>
      <c r="AI110">
        <f t="shared" si="35"/>
        <v>0</v>
      </c>
    </row>
    <row r="111" spans="1:35" x14ac:dyDescent="0.2">
      <c r="A111">
        <v>110</v>
      </c>
      <c r="B111" t="s">
        <v>16</v>
      </c>
      <c r="C111">
        <v>9</v>
      </c>
      <c r="D111" t="s">
        <v>397</v>
      </c>
      <c r="E111" t="s">
        <v>39</v>
      </c>
      <c r="F111" t="s">
        <v>20</v>
      </c>
      <c r="G111" t="s">
        <v>18</v>
      </c>
      <c r="H111" t="s">
        <v>19</v>
      </c>
      <c r="I111">
        <v>3</v>
      </c>
      <c r="J111">
        <v>3</v>
      </c>
      <c r="K111" t="s">
        <v>398</v>
      </c>
      <c r="L111" t="s">
        <v>79</v>
      </c>
      <c r="M111" t="s">
        <v>23</v>
      </c>
      <c r="N111" t="s">
        <v>24</v>
      </c>
      <c r="O111" t="s">
        <v>399</v>
      </c>
      <c r="P111" t="s">
        <v>400</v>
      </c>
      <c r="Q111">
        <f t="shared" si="18"/>
        <v>5</v>
      </c>
      <c r="R111">
        <f t="shared" si="19"/>
        <v>2</v>
      </c>
      <c r="S111">
        <f t="shared" si="20"/>
        <v>4</v>
      </c>
      <c r="T111">
        <f t="shared" si="21"/>
        <v>3</v>
      </c>
      <c r="U111">
        <v>200</v>
      </c>
      <c r="V111">
        <f t="shared" si="22"/>
        <v>0</v>
      </c>
      <c r="W111">
        <f t="shared" si="23"/>
        <v>1</v>
      </c>
      <c r="X111">
        <f t="shared" si="24"/>
        <v>0</v>
      </c>
      <c r="Y111">
        <f t="shared" si="25"/>
        <v>0</v>
      </c>
      <c r="Z111">
        <f t="shared" si="26"/>
        <v>1</v>
      </c>
      <c r="AA111">
        <f t="shared" si="27"/>
        <v>1</v>
      </c>
      <c r="AB111">
        <f t="shared" si="28"/>
        <v>0</v>
      </c>
      <c r="AC111">
        <f t="shared" si="29"/>
        <v>0</v>
      </c>
      <c r="AD111">
        <f t="shared" si="30"/>
        <v>0</v>
      </c>
      <c r="AE111">
        <f t="shared" si="31"/>
        <v>0</v>
      </c>
      <c r="AF111">
        <f t="shared" si="32"/>
        <v>0</v>
      </c>
      <c r="AG111">
        <f t="shared" si="33"/>
        <v>0</v>
      </c>
      <c r="AH111">
        <f t="shared" si="34"/>
        <v>1</v>
      </c>
      <c r="AI111">
        <f t="shared" si="35"/>
        <v>0</v>
      </c>
    </row>
    <row r="112" spans="1:35" x14ac:dyDescent="0.2">
      <c r="A112">
        <v>111</v>
      </c>
      <c r="B112" t="s">
        <v>16</v>
      </c>
      <c r="C112">
        <v>8</v>
      </c>
      <c r="D112" t="s">
        <v>401</v>
      </c>
      <c r="E112" t="s">
        <v>18</v>
      </c>
      <c r="F112" t="s">
        <v>20</v>
      </c>
      <c r="G112" t="s">
        <v>20</v>
      </c>
      <c r="H112" t="s">
        <v>39</v>
      </c>
      <c r="I112">
        <v>5</v>
      </c>
      <c r="J112">
        <v>6</v>
      </c>
      <c r="K112">
        <v>10000</v>
      </c>
      <c r="L112" t="s">
        <v>22</v>
      </c>
      <c r="M112" t="s">
        <v>23</v>
      </c>
      <c r="N112" t="s">
        <v>36</v>
      </c>
      <c r="O112" t="s">
        <v>402</v>
      </c>
      <c r="P112" t="s">
        <v>403</v>
      </c>
      <c r="Q112">
        <f t="shared" si="18"/>
        <v>4</v>
      </c>
      <c r="R112">
        <f t="shared" si="19"/>
        <v>2</v>
      </c>
      <c r="S112">
        <f t="shared" si="20"/>
        <v>2</v>
      </c>
      <c r="T112">
        <f t="shared" si="21"/>
        <v>5</v>
      </c>
      <c r="U112">
        <v>10000</v>
      </c>
      <c r="V112">
        <f t="shared" si="22"/>
        <v>1</v>
      </c>
      <c r="W112">
        <f t="shared" si="23"/>
        <v>0</v>
      </c>
      <c r="X112">
        <f t="shared" si="24"/>
        <v>0</v>
      </c>
      <c r="Y112">
        <f t="shared" si="25"/>
        <v>0</v>
      </c>
      <c r="Z112">
        <f t="shared" si="26"/>
        <v>0</v>
      </c>
      <c r="AA112">
        <f t="shared" si="27"/>
        <v>1</v>
      </c>
      <c r="AB112">
        <f t="shared" si="28"/>
        <v>0</v>
      </c>
      <c r="AC112">
        <f t="shared" si="29"/>
        <v>0</v>
      </c>
      <c r="AD112">
        <f t="shared" si="30"/>
        <v>0</v>
      </c>
      <c r="AE112">
        <f t="shared" si="31"/>
        <v>0</v>
      </c>
      <c r="AF112">
        <f t="shared" si="32"/>
        <v>0</v>
      </c>
      <c r="AG112">
        <f t="shared" si="33"/>
        <v>0</v>
      </c>
      <c r="AH112">
        <f t="shared" si="34"/>
        <v>0</v>
      </c>
      <c r="AI112">
        <f t="shared" si="35"/>
        <v>1</v>
      </c>
    </row>
    <row r="113" spans="1:35" x14ac:dyDescent="0.2">
      <c r="A113">
        <v>112</v>
      </c>
      <c r="B113" t="s">
        <v>16</v>
      </c>
      <c r="C113">
        <v>5</v>
      </c>
      <c r="D113" t="s">
        <v>404</v>
      </c>
      <c r="E113" t="s">
        <v>18</v>
      </c>
      <c r="F113" t="s">
        <v>19</v>
      </c>
      <c r="G113" t="s">
        <v>18</v>
      </c>
      <c r="H113" t="s">
        <v>20</v>
      </c>
      <c r="I113">
        <v>2</v>
      </c>
      <c r="J113">
        <v>1</v>
      </c>
      <c r="K113" t="s">
        <v>405</v>
      </c>
      <c r="L113" t="s">
        <v>41</v>
      </c>
      <c r="M113" t="s">
        <v>42</v>
      </c>
      <c r="N113" t="s">
        <v>24</v>
      </c>
      <c r="O113" t="s">
        <v>406</v>
      </c>
      <c r="P113" t="s">
        <v>407</v>
      </c>
      <c r="Q113">
        <f t="shared" si="18"/>
        <v>4</v>
      </c>
      <c r="R113">
        <f t="shared" si="19"/>
        <v>3</v>
      </c>
      <c r="S113">
        <f t="shared" si="20"/>
        <v>4</v>
      </c>
      <c r="T113">
        <f t="shared" si="21"/>
        <v>2</v>
      </c>
      <c r="U113">
        <v>0</v>
      </c>
      <c r="V113">
        <f t="shared" si="22"/>
        <v>0</v>
      </c>
      <c r="W113">
        <f t="shared" si="23"/>
        <v>0</v>
      </c>
      <c r="X113">
        <f t="shared" si="24"/>
        <v>0</v>
      </c>
      <c r="Y113">
        <f t="shared" si="25"/>
        <v>0</v>
      </c>
      <c r="Z113">
        <f t="shared" si="26"/>
        <v>1</v>
      </c>
      <c r="AA113">
        <f t="shared" si="27"/>
        <v>0</v>
      </c>
      <c r="AB113">
        <f t="shared" si="28"/>
        <v>1</v>
      </c>
      <c r="AC113">
        <f t="shared" si="29"/>
        <v>0</v>
      </c>
      <c r="AD113">
        <f t="shared" si="30"/>
        <v>0</v>
      </c>
      <c r="AE113">
        <f t="shared" si="31"/>
        <v>0</v>
      </c>
      <c r="AF113">
        <f t="shared" si="32"/>
        <v>0</v>
      </c>
      <c r="AG113">
        <f t="shared" si="33"/>
        <v>0</v>
      </c>
      <c r="AH113">
        <f t="shared" si="34"/>
        <v>1</v>
      </c>
      <c r="AI113">
        <f t="shared" si="35"/>
        <v>0</v>
      </c>
    </row>
    <row r="114" spans="1:35" x14ac:dyDescent="0.2">
      <c r="A114">
        <v>113</v>
      </c>
      <c r="B114" t="s">
        <v>16</v>
      </c>
      <c r="C114">
        <v>6</v>
      </c>
      <c r="D114" t="s">
        <v>408</v>
      </c>
      <c r="E114" t="s">
        <v>18</v>
      </c>
      <c r="F114" t="s">
        <v>21</v>
      </c>
      <c r="G114" t="s">
        <v>19</v>
      </c>
      <c r="H114" t="s">
        <v>18</v>
      </c>
      <c r="I114">
        <v>4</v>
      </c>
      <c r="J114">
        <v>6</v>
      </c>
      <c r="K114">
        <v>40</v>
      </c>
      <c r="L114" t="s">
        <v>22</v>
      </c>
      <c r="M114" t="s">
        <v>219</v>
      </c>
      <c r="N114" t="s">
        <v>36</v>
      </c>
      <c r="O114" t="s">
        <v>409</v>
      </c>
      <c r="P114" t="s">
        <v>410</v>
      </c>
      <c r="Q114">
        <f t="shared" si="18"/>
        <v>4</v>
      </c>
      <c r="R114">
        <f t="shared" si="19"/>
        <v>1</v>
      </c>
      <c r="S114">
        <f t="shared" si="20"/>
        <v>3</v>
      </c>
      <c r="T114">
        <f t="shared" si="21"/>
        <v>4</v>
      </c>
      <c r="U114">
        <v>40</v>
      </c>
      <c r="V114">
        <f t="shared" si="22"/>
        <v>1</v>
      </c>
      <c r="W114">
        <f t="shared" si="23"/>
        <v>0</v>
      </c>
      <c r="X114">
        <f t="shared" si="24"/>
        <v>0</v>
      </c>
      <c r="Y114">
        <f t="shared" si="25"/>
        <v>0</v>
      </c>
      <c r="Z114">
        <f t="shared" si="26"/>
        <v>0</v>
      </c>
      <c r="AA114">
        <f t="shared" si="27"/>
        <v>0</v>
      </c>
      <c r="AB114">
        <f t="shared" si="28"/>
        <v>0</v>
      </c>
      <c r="AC114">
        <f t="shared" si="29"/>
        <v>0</v>
      </c>
      <c r="AD114">
        <f t="shared" si="30"/>
        <v>0</v>
      </c>
      <c r="AE114">
        <f t="shared" si="31"/>
        <v>1</v>
      </c>
      <c r="AF114">
        <f t="shared" si="32"/>
        <v>0</v>
      </c>
      <c r="AG114">
        <f t="shared" si="33"/>
        <v>0</v>
      </c>
      <c r="AH114">
        <f t="shared" si="34"/>
        <v>0</v>
      </c>
      <c r="AI114">
        <f t="shared" si="35"/>
        <v>1</v>
      </c>
    </row>
    <row r="115" spans="1:35" x14ac:dyDescent="0.2">
      <c r="A115">
        <v>114</v>
      </c>
      <c r="B115" t="s">
        <v>16</v>
      </c>
      <c r="C115">
        <v>7</v>
      </c>
      <c r="D115" t="s">
        <v>411</v>
      </c>
      <c r="E115" t="s">
        <v>18</v>
      </c>
      <c r="F115" t="s">
        <v>21</v>
      </c>
      <c r="G115" t="s">
        <v>20</v>
      </c>
      <c r="H115" t="s">
        <v>18</v>
      </c>
      <c r="I115">
        <v>6</v>
      </c>
      <c r="J115">
        <v>5</v>
      </c>
      <c r="K115" t="s">
        <v>412</v>
      </c>
      <c r="L115" t="s">
        <v>53</v>
      </c>
      <c r="M115" t="s">
        <v>219</v>
      </c>
      <c r="N115" t="s">
        <v>24</v>
      </c>
      <c r="O115" t="s">
        <v>413</v>
      </c>
      <c r="P115" t="s">
        <v>414</v>
      </c>
      <c r="Q115">
        <f t="shared" si="18"/>
        <v>4</v>
      </c>
      <c r="R115">
        <f t="shared" si="19"/>
        <v>1</v>
      </c>
      <c r="S115">
        <f t="shared" si="20"/>
        <v>2</v>
      </c>
      <c r="T115">
        <f t="shared" si="21"/>
        <v>4</v>
      </c>
      <c r="U115">
        <v>50</v>
      </c>
      <c r="V115">
        <f t="shared" si="22"/>
        <v>0</v>
      </c>
      <c r="W115">
        <f t="shared" si="23"/>
        <v>0</v>
      </c>
      <c r="X115">
        <f t="shared" si="24"/>
        <v>1</v>
      </c>
      <c r="Y115">
        <f t="shared" si="25"/>
        <v>0</v>
      </c>
      <c r="Z115">
        <f t="shared" si="26"/>
        <v>0</v>
      </c>
      <c r="AA115">
        <f t="shared" si="27"/>
        <v>0</v>
      </c>
      <c r="AB115">
        <f t="shared" si="28"/>
        <v>0</v>
      </c>
      <c r="AC115">
        <f t="shared" si="29"/>
        <v>0</v>
      </c>
      <c r="AD115">
        <f t="shared" si="30"/>
        <v>0</v>
      </c>
      <c r="AE115">
        <f t="shared" si="31"/>
        <v>1</v>
      </c>
      <c r="AF115">
        <f t="shared" si="32"/>
        <v>0</v>
      </c>
      <c r="AG115">
        <f t="shared" si="33"/>
        <v>0</v>
      </c>
      <c r="AH115">
        <f t="shared" si="34"/>
        <v>1</v>
      </c>
      <c r="AI115">
        <f t="shared" si="35"/>
        <v>0</v>
      </c>
    </row>
    <row r="116" spans="1:35" x14ac:dyDescent="0.2">
      <c r="A116">
        <v>115</v>
      </c>
      <c r="B116" t="s">
        <v>16</v>
      </c>
      <c r="C116">
        <v>8</v>
      </c>
      <c r="D116" t="s">
        <v>415</v>
      </c>
      <c r="E116" t="s">
        <v>18</v>
      </c>
      <c r="F116" t="s">
        <v>19</v>
      </c>
      <c r="G116" t="s">
        <v>20</v>
      </c>
      <c r="H116" t="s">
        <v>18</v>
      </c>
      <c r="I116">
        <v>3</v>
      </c>
      <c r="J116">
        <v>6</v>
      </c>
      <c r="K116">
        <v>100</v>
      </c>
      <c r="L116" t="s">
        <v>22</v>
      </c>
      <c r="M116" t="s">
        <v>35</v>
      </c>
      <c r="N116" t="s">
        <v>84</v>
      </c>
      <c r="O116" t="s">
        <v>416</v>
      </c>
      <c r="P116" t="s">
        <v>417</v>
      </c>
      <c r="Q116">
        <f t="shared" si="18"/>
        <v>4</v>
      </c>
      <c r="R116">
        <f t="shared" si="19"/>
        <v>3</v>
      </c>
      <c r="S116">
        <f t="shared" si="20"/>
        <v>2</v>
      </c>
      <c r="T116">
        <f t="shared" si="21"/>
        <v>4</v>
      </c>
      <c r="U116">
        <v>100</v>
      </c>
      <c r="V116">
        <f t="shared" si="22"/>
        <v>1</v>
      </c>
      <c r="W116">
        <f t="shared" si="23"/>
        <v>0</v>
      </c>
      <c r="X116">
        <f t="shared" si="24"/>
        <v>0</v>
      </c>
      <c r="Y116">
        <f t="shared" si="25"/>
        <v>0</v>
      </c>
      <c r="Z116">
        <f t="shared" si="26"/>
        <v>0</v>
      </c>
      <c r="AA116">
        <f t="shared" si="27"/>
        <v>0</v>
      </c>
      <c r="AB116">
        <f t="shared" si="28"/>
        <v>0</v>
      </c>
      <c r="AC116">
        <f t="shared" si="29"/>
        <v>0</v>
      </c>
      <c r="AD116">
        <f t="shared" si="30"/>
        <v>1</v>
      </c>
      <c r="AE116">
        <f t="shared" si="31"/>
        <v>0</v>
      </c>
      <c r="AF116">
        <f t="shared" si="32"/>
        <v>0</v>
      </c>
      <c r="AG116">
        <f t="shared" si="33"/>
        <v>1</v>
      </c>
      <c r="AH116">
        <f t="shared" si="34"/>
        <v>0</v>
      </c>
      <c r="AI116">
        <f t="shared" si="35"/>
        <v>0</v>
      </c>
    </row>
    <row r="117" spans="1:35" x14ac:dyDescent="0.2">
      <c r="A117">
        <v>116</v>
      </c>
      <c r="B117" t="s">
        <v>16</v>
      </c>
      <c r="C117">
        <v>6</v>
      </c>
      <c r="D117" t="s">
        <v>418</v>
      </c>
      <c r="E117" t="s">
        <v>18</v>
      </c>
      <c r="F117" t="s">
        <v>20</v>
      </c>
      <c r="G117" t="s">
        <v>21</v>
      </c>
      <c r="H117" t="s">
        <v>39</v>
      </c>
      <c r="I117">
        <v>4</v>
      </c>
      <c r="J117">
        <v>6</v>
      </c>
      <c r="K117">
        <v>10000000</v>
      </c>
      <c r="L117" t="s">
        <v>47</v>
      </c>
      <c r="M117" t="s">
        <v>23</v>
      </c>
      <c r="N117" t="s">
        <v>24</v>
      </c>
      <c r="O117" t="s">
        <v>419</v>
      </c>
      <c r="P117" t="s">
        <v>420</v>
      </c>
      <c r="Q117">
        <f t="shared" si="18"/>
        <v>4</v>
      </c>
      <c r="R117">
        <f t="shared" si="19"/>
        <v>2</v>
      </c>
      <c r="S117">
        <f t="shared" si="20"/>
        <v>1</v>
      </c>
      <c r="T117">
        <f t="shared" si="21"/>
        <v>5</v>
      </c>
      <c r="U117">
        <v>10000000</v>
      </c>
      <c r="V117">
        <f t="shared" si="22"/>
        <v>0</v>
      </c>
      <c r="W117">
        <f t="shared" si="23"/>
        <v>0</v>
      </c>
      <c r="X117">
        <f t="shared" si="24"/>
        <v>1</v>
      </c>
      <c r="Y117">
        <f t="shared" si="25"/>
        <v>0</v>
      </c>
      <c r="Z117">
        <f t="shared" si="26"/>
        <v>1</v>
      </c>
      <c r="AA117">
        <f t="shared" si="27"/>
        <v>1</v>
      </c>
      <c r="AB117">
        <f t="shared" si="28"/>
        <v>0</v>
      </c>
      <c r="AC117">
        <f t="shared" si="29"/>
        <v>0</v>
      </c>
      <c r="AD117">
        <f t="shared" si="30"/>
        <v>0</v>
      </c>
      <c r="AE117">
        <f t="shared" si="31"/>
        <v>0</v>
      </c>
      <c r="AF117">
        <f t="shared" si="32"/>
        <v>0</v>
      </c>
      <c r="AG117">
        <f t="shared" si="33"/>
        <v>0</v>
      </c>
      <c r="AH117">
        <f t="shared" si="34"/>
        <v>1</v>
      </c>
      <c r="AI117">
        <f t="shared" si="35"/>
        <v>0</v>
      </c>
    </row>
    <row r="118" spans="1:35" x14ac:dyDescent="0.2">
      <c r="A118">
        <v>117</v>
      </c>
      <c r="B118" t="s">
        <v>16</v>
      </c>
      <c r="C118">
        <v>7</v>
      </c>
      <c r="D118" t="s">
        <v>421</v>
      </c>
      <c r="E118" t="s">
        <v>39</v>
      </c>
      <c r="F118" t="s">
        <v>20</v>
      </c>
      <c r="G118" t="s">
        <v>19</v>
      </c>
      <c r="H118" t="s">
        <v>18</v>
      </c>
      <c r="I118">
        <v>5</v>
      </c>
      <c r="J118">
        <v>6</v>
      </c>
      <c r="K118">
        <v>0</v>
      </c>
      <c r="L118" t="s">
        <v>22</v>
      </c>
      <c r="M118" t="s">
        <v>99</v>
      </c>
      <c r="N118" t="s">
        <v>215</v>
      </c>
      <c r="O118" t="s">
        <v>422</v>
      </c>
      <c r="P118" t="s">
        <v>423</v>
      </c>
      <c r="Q118">
        <f t="shared" si="18"/>
        <v>5</v>
      </c>
      <c r="R118">
        <f t="shared" si="19"/>
        <v>2</v>
      </c>
      <c r="S118">
        <f t="shared" si="20"/>
        <v>3</v>
      </c>
      <c r="T118">
        <f t="shared" si="21"/>
        <v>4</v>
      </c>
      <c r="U118">
        <v>0</v>
      </c>
      <c r="V118">
        <f t="shared" si="22"/>
        <v>1</v>
      </c>
      <c r="W118">
        <f t="shared" si="23"/>
        <v>0</v>
      </c>
      <c r="X118">
        <f t="shared" si="24"/>
        <v>0</v>
      </c>
      <c r="Y118">
        <f t="shared" si="25"/>
        <v>0</v>
      </c>
      <c r="Z118">
        <f t="shared" si="26"/>
        <v>0</v>
      </c>
      <c r="AA118">
        <f t="shared" si="27"/>
        <v>1</v>
      </c>
      <c r="AB118">
        <f t="shared" si="28"/>
        <v>0</v>
      </c>
      <c r="AC118">
        <f t="shared" si="29"/>
        <v>0</v>
      </c>
      <c r="AD118">
        <f t="shared" si="30"/>
        <v>0</v>
      </c>
      <c r="AE118">
        <f t="shared" si="31"/>
        <v>1</v>
      </c>
      <c r="AF118">
        <f t="shared" si="32"/>
        <v>1</v>
      </c>
      <c r="AG118">
        <f t="shared" si="33"/>
        <v>0</v>
      </c>
      <c r="AH118">
        <f t="shared" si="34"/>
        <v>0</v>
      </c>
      <c r="AI118">
        <f t="shared" si="35"/>
        <v>0</v>
      </c>
    </row>
    <row r="119" spans="1:35" x14ac:dyDescent="0.2">
      <c r="A119">
        <v>118</v>
      </c>
      <c r="B119" t="s">
        <v>16</v>
      </c>
      <c r="C119">
        <v>6</v>
      </c>
      <c r="D119" t="s">
        <v>424</v>
      </c>
      <c r="E119" t="s">
        <v>18</v>
      </c>
      <c r="F119" t="s">
        <v>20</v>
      </c>
      <c r="G119" t="s">
        <v>20</v>
      </c>
      <c r="H119" t="s">
        <v>39</v>
      </c>
      <c r="I119">
        <v>4</v>
      </c>
      <c r="J119">
        <v>5</v>
      </c>
      <c r="K119">
        <v>50</v>
      </c>
      <c r="L119" t="s">
        <v>22</v>
      </c>
      <c r="M119" t="s">
        <v>219</v>
      </c>
      <c r="N119" t="s">
        <v>24</v>
      </c>
      <c r="O119" t="s">
        <v>60</v>
      </c>
      <c r="P119" t="s">
        <v>425</v>
      </c>
      <c r="Q119">
        <f t="shared" si="18"/>
        <v>4</v>
      </c>
      <c r="R119">
        <f t="shared" si="19"/>
        <v>2</v>
      </c>
      <c r="S119">
        <f t="shared" si="20"/>
        <v>2</v>
      </c>
      <c r="T119">
        <f t="shared" si="21"/>
        <v>5</v>
      </c>
      <c r="U119">
        <v>50</v>
      </c>
      <c r="V119">
        <f t="shared" si="22"/>
        <v>1</v>
      </c>
      <c r="W119">
        <f t="shared" si="23"/>
        <v>0</v>
      </c>
      <c r="X119">
        <f t="shared" si="24"/>
        <v>0</v>
      </c>
      <c r="Y119">
        <f t="shared" si="25"/>
        <v>0</v>
      </c>
      <c r="Z119">
        <f t="shared" si="26"/>
        <v>0</v>
      </c>
      <c r="AA119">
        <f t="shared" si="27"/>
        <v>0</v>
      </c>
      <c r="AB119">
        <f t="shared" si="28"/>
        <v>0</v>
      </c>
      <c r="AC119">
        <f t="shared" si="29"/>
        <v>0</v>
      </c>
      <c r="AD119">
        <f t="shared" si="30"/>
        <v>0</v>
      </c>
      <c r="AE119">
        <f t="shared" si="31"/>
        <v>1</v>
      </c>
      <c r="AF119">
        <f t="shared" si="32"/>
        <v>0</v>
      </c>
      <c r="AG119">
        <f t="shared" si="33"/>
        <v>0</v>
      </c>
      <c r="AH119">
        <f t="shared" si="34"/>
        <v>1</v>
      </c>
      <c r="AI119">
        <f t="shared" si="35"/>
        <v>0</v>
      </c>
    </row>
    <row r="120" spans="1:35" x14ac:dyDescent="0.2">
      <c r="A120">
        <v>119</v>
      </c>
      <c r="B120" t="s">
        <v>16</v>
      </c>
      <c r="C120">
        <v>8</v>
      </c>
      <c r="D120" t="s">
        <v>426</v>
      </c>
      <c r="E120" t="s">
        <v>39</v>
      </c>
      <c r="F120" t="s">
        <v>21</v>
      </c>
      <c r="G120" t="s">
        <v>20</v>
      </c>
      <c r="H120" t="s">
        <v>39</v>
      </c>
      <c r="I120">
        <v>4</v>
      </c>
      <c r="J120">
        <v>3</v>
      </c>
      <c r="K120">
        <v>200</v>
      </c>
      <c r="L120" t="s">
        <v>22</v>
      </c>
      <c r="M120" t="s">
        <v>179</v>
      </c>
      <c r="N120" t="s">
        <v>49</v>
      </c>
      <c r="O120" t="s">
        <v>427</v>
      </c>
      <c r="P120" t="s">
        <v>428</v>
      </c>
      <c r="Q120">
        <f t="shared" si="18"/>
        <v>5</v>
      </c>
      <c r="R120">
        <f t="shared" si="19"/>
        <v>1</v>
      </c>
      <c r="S120">
        <f t="shared" si="20"/>
        <v>2</v>
      </c>
      <c r="T120">
        <f t="shared" si="21"/>
        <v>5</v>
      </c>
      <c r="U120">
        <v>200</v>
      </c>
      <c r="V120">
        <f t="shared" si="22"/>
        <v>1</v>
      </c>
      <c r="W120">
        <f t="shared" si="23"/>
        <v>0</v>
      </c>
      <c r="X120">
        <f t="shared" si="24"/>
        <v>0</v>
      </c>
      <c r="Y120">
        <f t="shared" si="25"/>
        <v>0</v>
      </c>
      <c r="Z120">
        <f t="shared" si="26"/>
        <v>0</v>
      </c>
      <c r="AA120">
        <f t="shared" si="27"/>
        <v>0</v>
      </c>
      <c r="AB120">
        <f t="shared" si="28"/>
        <v>0</v>
      </c>
      <c r="AC120">
        <f t="shared" si="29"/>
        <v>0</v>
      </c>
      <c r="AD120">
        <f t="shared" si="30"/>
        <v>1</v>
      </c>
      <c r="AE120">
        <f t="shared" si="31"/>
        <v>1</v>
      </c>
      <c r="AF120">
        <f t="shared" si="32"/>
        <v>0</v>
      </c>
      <c r="AG120">
        <f t="shared" si="33"/>
        <v>1</v>
      </c>
      <c r="AH120">
        <f t="shared" si="34"/>
        <v>1</v>
      </c>
      <c r="AI120">
        <f t="shared" si="35"/>
        <v>0</v>
      </c>
    </row>
    <row r="121" spans="1:35" x14ac:dyDescent="0.2">
      <c r="A121">
        <v>120</v>
      </c>
      <c r="B121" t="s">
        <v>16</v>
      </c>
      <c r="C121">
        <v>8</v>
      </c>
      <c r="D121" t="s">
        <v>429</v>
      </c>
      <c r="E121" t="s">
        <v>18</v>
      </c>
      <c r="F121" t="s">
        <v>20</v>
      </c>
      <c r="G121" t="s">
        <v>19</v>
      </c>
      <c r="H121" t="s">
        <v>18</v>
      </c>
      <c r="I121">
        <v>7</v>
      </c>
      <c r="J121">
        <v>3</v>
      </c>
      <c r="K121">
        <v>5000</v>
      </c>
      <c r="L121" t="s">
        <v>47</v>
      </c>
      <c r="M121" t="s">
        <v>154</v>
      </c>
      <c r="N121" t="s">
        <v>36</v>
      </c>
      <c r="O121" t="s">
        <v>322</v>
      </c>
      <c r="P121" t="s">
        <v>430</v>
      </c>
      <c r="Q121">
        <f t="shared" si="18"/>
        <v>4</v>
      </c>
      <c r="R121">
        <f t="shared" si="19"/>
        <v>2</v>
      </c>
      <c r="S121">
        <f t="shared" si="20"/>
        <v>3</v>
      </c>
      <c r="T121">
        <f t="shared" si="21"/>
        <v>4</v>
      </c>
      <c r="U121">
        <v>5000</v>
      </c>
      <c r="V121">
        <f t="shared" si="22"/>
        <v>0</v>
      </c>
      <c r="W121">
        <f t="shared" si="23"/>
        <v>0</v>
      </c>
      <c r="X121">
        <f t="shared" si="24"/>
        <v>1</v>
      </c>
      <c r="Y121">
        <f t="shared" si="25"/>
        <v>0</v>
      </c>
      <c r="Z121">
        <f t="shared" si="26"/>
        <v>1</v>
      </c>
      <c r="AA121">
        <f t="shared" si="27"/>
        <v>1</v>
      </c>
      <c r="AB121">
        <f t="shared" si="28"/>
        <v>0</v>
      </c>
      <c r="AC121">
        <f t="shared" si="29"/>
        <v>1</v>
      </c>
      <c r="AD121">
        <f t="shared" si="30"/>
        <v>0</v>
      </c>
      <c r="AE121">
        <f t="shared" si="31"/>
        <v>0</v>
      </c>
      <c r="AF121">
        <f t="shared" si="32"/>
        <v>0</v>
      </c>
      <c r="AG121">
        <f t="shared" si="33"/>
        <v>0</v>
      </c>
      <c r="AH121">
        <f t="shared" si="34"/>
        <v>0</v>
      </c>
      <c r="AI121">
        <f t="shared" si="35"/>
        <v>1</v>
      </c>
    </row>
    <row r="122" spans="1:35" x14ac:dyDescent="0.2">
      <c r="A122">
        <v>121</v>
      </c>
      <c r="B122" t="s">
        <v>16</v>
      </c>
      <c r="C122">
        <v>7</v>
      </c>
      <c r="D122" t="s">
        <v>431</v>
      </c>
      <c r="E122" t="s">
        <v>20</v>
      </c>
      <c r="F122" t="s">
        <v>19</v>
      </c>
      <c r="G122" t="s">
        <v>20</v>
      </c>
      <c r="H122" t="s">
        <v>20</v>
      </c>
      <c r="I122">
        <v>5</v>
      </c>
      <c r="J122">
        <v>9</v>
      </c>
      <c r="K122">
        <v>30</v>
      </c>
      <c r="L122" t="s">
        <v>53</v>
      </c>
      <c r="M122" t="s">
        <v>123</v>
      </c>
      <c r="N122" t="s">
        <v>24</v>
      </c>
      <c r="O122" t="s">
        <v>432</v>
      </c>
      <c r="P122" t="s">
        <v>433</v>
      </c>
      <c r="Q122">
        <f t="shared" si="18"/>
        <v>2</v>
      </c>
      <c r="R122">
        <f t="shared" si="19"/>
        <v>3</v>
      </c>
      <c r="S122">
        <f t="shared" si="20"/>
        <v>2</v>
      </c>
      <c r="T122">
        <f t="shared" si="21"/>
        <v>2</v>
      </c>
      <c r="U122">
        <v>30</v>
      </c>
      <c r="V122">
        <f t="shared" si="22"/>
        <v>0</v>
      </c>
      <c r="W122">
        <f t="shared" si="23"/>
        <v>0</v>
      </c>
      <c r="X122">
        <f t="shared" si="24"/>
        <v>1</v>
      </c>
      <c r="Y122">
        <f t="shared" si="25"/>
        <v>0</v>
      </c>
      <c r="Z122">
        <f t="shared" si="26"/>
        <v>0</v>
      </c>
      <c r="AA122">
        <f t="shared" si="27"/>
        <v>0</v>
      </c>
      <c r="AB122">
        <f t="shared" si="28"/>
        <v>1</v>
      </c>
      <c r="AC122">
        <f t="shared" si="29"/>
        <v>1</v>
      </c>
      <c r="AD122">
        <f t="shared" si="30"/>
        <v>0</v>
      </c>
      <c r="AE122">
        <f t="shared" si="31"/>
        <v>0</v>
      </c>
      <c r="AF122">
        <f t="shared" si="32"/>
        <v>0</v>
      </c>
      <c r="AG122">
        <f t="shared" si="33"/>
        <v>0</v>
      </c>
      <c r="AH122">
        <f t="shared" si="34"/>
        <v>1</v>
      </c>
      <c r="AI122">
        <f t="shared" si="35"/>
        <v>0</v>
      </c>
    </row>
    <row r="123" spans="1:35" ht="255" x14ac:dyDescent="0.2">
      <c r="A123">
        <v>122</v>
      </c>
      <c r="B123" t="s">
        <v>16</v>
      </c>
      <c r="C123">
        <v>8</v>
      </c>
      <c r="D123" t="s">
        <v>434</v>
      </c>
      <c r="E123" t="s">
        <v>39</v>
      </c>
      <c r="F123" t="s">
        <v>20</v>
      </c>
      <c r="G123" t="s">
        <v>18</v>
      </c>
      <c r="H123" t="s">
        <v>39</v>
      </c>
      <c r="I123">
        <v>5</v>
      </c>
      <c r="J123">
        <v>8</v>
      </c>
      <c r="K123">
        <v>5000</v>
      </c>
      <c r="L123" t="s">
        <v>435</v>
      </c>
      <c r="M123" t="s">
        <v>436</v>
      </c>
      <c r="N123" t="s">
        <v>36</v>
      </c>
      <c r="O123" t="s">
        <v>437</v>
      </c>
      <c r="P123" s="3" t="s">
        <v>438</v>
      </c>
      <c r="Q123">
        <f t="shared" si="18"/>
        <v>5</v>
      </c>
      <c r="R123">
        <f t="shared" si="19"/>
        <v>2</v>
      </c>
      <c r="S123">
        <f t="shared" si="20"/>
        <v>4</v>
      </c>
      <c r="T123">
        <f t="shared" si="21"/>
        <v>5</v>
      </c>
      <c r="U123">
        <v>5000</v>
      </c>
      <c r="V123">
        <f t="shared" si="22"/>
        <v>1</v>
      </c>
      <c r="W123">
        <f t="shared" si="23"/>
        <v>0</v>
      </c>
      <c r="X123">
        <f t="shared" si="24"/>
        <v>0</v>
      </c>
      <c r="Y123">
        <f t="shared" si="25"/>
        <v>0</v>
      </c>
      <c r="Z123">
        <f t="shared" si="26"/>
        <v>1</v>
      </c>
      <c r="AA123">
        <f t="shared" si="27"/>
        <v>1</v>
      </c>
      <c r="AB123">
        <f t="shared" si="28"/>
        <v>0</v>
      </c>
      <c r="AC123">
        <f t="shared" si="29"/>
        <v>0</v>
      </c>
      <c r="AD123">
        <f t="shared" si="30"/>
        <v>1</v>
      </c>
      <c r="AE123">
        <f t="shared" si="31"/>
        <v>1</v>
      </c>
      <c r="AF123">
        <f t="shared" si="32"/>
        <v>0</v>
      </c>
      <c r="AG123">
        <f t="shared" si="33"/>
        <v>0</v>
      </c>
      <c r="AH123">
        <f t="shared" si="34"/>
        <v>0</v>
      </c>
      <c r="AI123">
        <f t="shared" si="35"/>
        <v>1</v>
      </c>
    </row>
    <row r="124" spans="1:35" x14ac:dyDescent="0.2">
      <c r="A124">
        <v>123</v>
      </c>
      <c r="B124" t="s">
        <v>16</v>
      </c>
      <c r="C124">
        <v>4</v>
      </c>
      <c r="D124" t="s">
        <v>439</v>
      </c>
      <c r="E124" t="s">
        <v>39</v>
      </c>
      <c r="F124" t="s">
        <v>19</v>
      </c>
      <c r="G124" t="s">
        <v>18</v>
      </c>
      <c r="H124" t="s">
        <v>20</v>
      </c>
      <c r="I124">
        <v>4</v>
      </c>
      <c r="J124">
        <v>3</v>
      </c>
      <c r="K124" s="1">
        <v>175</v>
      </c>
      <c r="L124" t="s">
        <v>66</v>
      </c>
      <c r="M124" t="s">
        <v>436</v>
      </c>
      <c r="N124" t="s">
        <v>24</v>
      </c>
      <c r="O124" t="s">
        <v>440</v>
      </c>
      <c r="P124" t="s">
        <v>441</v>
      </c>
      <c r="Q124">
        <f t="shared" si="18"/>
        <v>5</v>
      </c>
      <c r="R124">
        <f t="shared" si="19"/>
        <v>3</v>
      </c>
      <c r="S124">
        <f t="shared" si="20"/>
        <v>4</v>
      </c>
      <c r="T124">
        <f t="shared" si="21"/>
        <v>2</v>
      </c>
      <c r="U124">
        <v>175</v>
      </c>
      <c r="V124">
        <f t="shared" si="22"/>
        <v>0</v>
      </c>
      <c r="W124">
        <f t="shared" si="23"/>
        <v>1</v>
      </c>
      <c r="X124">
        <f t="shared" si="24"/>
        <v>1</v>
      </c>
      <c r="Y124">
        <f t="shared" si="25"/>
        <v>0</v>
      </c>
      <c r="Z124">
        <f t="shared" si="26"/>
        <v>0</v>
      </c>
      <c r="AA124">
        <f t="shared" si="27"/>
        <v>1</v>
      </c>
      <c r="AB124">
        <f t="shared" si="28"/>
        <v>0</v>
      </c>
      <c r="AC124">
        <f t="shared" si="29"/>
        <v>0</v>
      </c>
      <c r="AD124">
        <f t="shared" si="30"/>
        <v>1</v>
      </c>
      <c r="AE124">
        <f t="shared" si="31"/>
        <v>1</v>
      </c>
      <c r="AF124">
        <f t="shared" si="32"/>
        <v>0</v>
      </c>
      <c r="AG124">
        <f t="shared" si="33"/>
        <v>0</v>
      </c>
      <c r="AH124">
        <f t="shared" si="34"/>
        <v>1</v>
      </c>
      <c r="AI124">
        <f t="shared" si="35"/>
        <v>0</v>
      </c>
    </row>
    <row r="125" spans="1:35" ht="119" x14ac:dyDescent="0.2">
      <c r="A125">
        <v>124</v>
      </c>
      <c r="B125" t="s">
        <v>16</v>
      </c>
      <c r="C125">
        <v>8</v>
      </c>
      <c r="D125" t="s">
        <v>442</v>
      </c>
      <c r="E125" t="s">
        <v>39</v>
      </c>
      <c r="F125" t="s">
        <v>20</v>
      </c>
      <c r="G125" t="s">
        <v>19</v>
      </c>
      <c r="H125" t="s">
        <v>18</v>
      </c>
      <c r="I125">
        <v>6</v>
      </c>
      <c r="J125">
        <v>6</v>
      </c>
      <c r="K125" s="1">
        <v>25</v>
      </c>
      <c r="L125" t="s">
        <v>443</v>
      </c>
      <c r="M125" t="s">
        <v>268</v>
      </c>
      <c r="N125" t="s">
        <v>43</v>
      </c>
      <c r="O125" t="s">
        <v>444</v>
      </c>
      <c r="P125" s="3" t="s">
        <v>445</v>
      </c>
      <c r="Q125">
        <f t="shared" si="18"/>
        <v>5</v>
      </c>
      <c r="R125">
        <f t="shared" si="19"/>
        <v>2</v>
      </c>
      <c r="S125">
        <f t="shared" si="20"/>
        <v>3</v>
      </c>
      <c r="T125">
        <f t="shared" si="21"/>
        <v>4</v>
      </c>
      <c r="U125">
        <v>25</v>
      </c>
      <c r="V125">
        <f t="shared" si="22"/>
        <v>1</v>
      </c>
      <c r="W125">
        <f t="shared" si="23"/>
        <v>0</v>
      </c>
      <c r="X125">
        <f t="shared" si="24"/>
        <v>0</v>
      </c>
      <c r="Y125">
        <f t="shared" si="25"/>
        <v>1</v>
      </c>
      <c r="Z125">
        <f t="shared" si="26"/>
        <v>1</v>
      </c>
      <c r="AA125">
        <f t="shared" si="27"/>
        <v>1</v>
      </c>
      <c r="AB125">
        <f t="shared" si="28"/>
        <v>1</v>
      </c>
      <c r="AC125">
        <f t="shared" si="29"/>
        <v>0</v>
      </c>
      <c r="AD125">
        <f t="shared" si="30"/>
        <v>1</v>
      </c>
      <c r="AE125">
        <f t="shared" si="31"/>
        <v>0</v>
      </c>
      <c r="AF125">
        <f t="shared" si="32"/>
        <v>1</v>
      </c>
      <c r="AG125">
        <f t="shared" si="33"/>
        <v>1</v>
      </c>
      <c r="AH125">
        <f t="shared" si="34"/>
        <v>0</v>
      </c>
      <c r="AI125">
        <f t="shared" si="35"/>
        <v>0</v>
      </c>
    </row>
    <row r="126" spans="1:35" x14ac:dyDescent="0.2">
      <c r="A126">
        <v>125</v>
      </c>
      <c r="B126" t="s">
        <v>16</v>
      </c>
      <c r="C126">
        <v>7</v>
      </c>
      <c r="D126" t="s">
        <v>446</v>
      </c>
      <c r="E126" t="s">
        <v>18</v>
      </c>
      <c r="F126" t="s">
        <v>20</v>
      </c>
      <c r="G126" t="s">
        <v>19</v>
      </c>
      <c r="H126" t="s">
        <v>18</v>
      </c>
      <c r="I126">
        <v>7</v>
      </c>
      <c r="J126">
        <v>4</v>
      </c>
      <c r="K126" s="1">
        <v>700</v>
      </c>
      <c r="L126" t="s">
        <v>75</v>
      </c>
      <c r="M126" t="s">
        <v>42</v>
      </c>
      <c r="N126" t="s">
        <v>84</v>
      </c>
      <c r="O126" t="s">
        <v>447</v>
      </c>
      <c r="P126" t="s">
        <v>448</v>
      </c>
      <c r="Q126">
        <f t="shared" si="18"/>
        <v>4</v>
      </c>
      <c r="R126">
        <f t="shared" si="19"/>
        <v>2</v>
      </c>
      <c r="S126">
        <f t="shared" si="20"/>
        <v>3</v>
      </c>
      <c r="T126">
        <f t="shared" si="21"/>
        <v>4</v>
      </c>
      <c r="U126">
        <v>700</v>
      </c>
      <c r="V126">
        <f t="shared" si="22"/>
        <v>0</v>
      </c>
      <c r="W126">
        <f t="shared" si="23"/>
        <v>0</v>
      </c>
      <c r="X126">
        <f t="shared" si="24"/>
        <v>1</v>
      </c>
      <c r="Y126">
        <f t="shared" si="25"/>
        <v>1</v>
      </c>
      <c r="Z126">
        <f t="shared" si="26"/>
        <v>0</v>
      </c>
      <c r="AA126">
        <f t="shared" si="27"/>
        <v>0</v>
      </c>
      <c r="AB126">
        <f t="shared" si="28"/>
        <v>1</v>
      </c>
      <c r="AC126">
        <f t="shared" si="29"/>
        <v>0</v>
      </c>
      <c r="AD126">
        <f t="shared" si="30"/>
        <v>0</v>
      </c>
      <c r="AE126">
        <f t="shared" si="31"/>
        <v>0</v>
      </c>
      <c r="AF126">
        <f t="shared" si="32"/>
        <v>0</v>
      </c>
      <c r="AG126">
        <f t="shared" si="33"/>
        <v>1</v>
      </c>
      <c r="AH126">
        <f t="shared" si="34"/>
        <v>0</v>
      </c>
      <c r="AI126">
        <f t="shared" si="35"/>
        <v>0</v>
      </c>
    </row>
    <row r="127" spans="1:35" x14ac:dyDescent="0.2">
      <c r="A127">
        <v>126</v>
      </c>
      <c r="B127" t="s">
        <v>16</v>
      </c>
      <c r="C127">
        <v>4</v>
      </c>
      <c r="D127" t="s">
        <v>449</v>
      </c>
      <c r="E127" t="s">
        <v>18</v>
      </c>
      <c r="F127" t="s">
        <v>21</v>
      </c>
      <c r="G127" t="s">
        <v>19</v>
      </c>
      <c r="H127" t="s">
        <v>39</v>
      </c>
      <c r="I127">
        <v>4</v>
      </c>
      <c r="J127">
        <v>6</v>
      </c>
      <c r="K127">
        <v>150</v>
      </c>
      <c r="L127" t="s">
        <v>47</v>
      </c>
      <c r="M127" t="s">
        <v>23</v>
      </c>
      <c r="N127" t="s">
        <v>24</v>
      </c>
      <c r="O127" t="s">
        <v>450</v>
      </c>
      <c r="P127" t="s">
        <v>451</v>
      </c>
      <c r="Q127">
        <f t="shared" si="18"/>
        <v>4</v>
      </c>
      <c r="R127">
        <f t="shared" si="19"/>
        <v>1</v>
      </c>
      <c r="S127">
        <f t="shared" si="20"/>
        <v>3</v>
      </c>
      <c r="T127">
        <f t="shared" si="21"/>
        <v>5</v>
      </c>
      <c r="U127">
        <v>150</v>
      </c>
      <c r="V127">
        <f t="shared" si="22"/>
        <v>0</v>
      </c>
      <c r="W127">
        <f t="shared" si="23"/>
        <v>0</v>
      </c>
      <c r="X127">
        <f t="shared" si="24"/>
        <v>1</v>
      </c>
      <c r="Y127">
        <f t="shared" si="25"/>
        <v>0</v>
      </c>
      <c r="Z127">
        <f t="shared" si="26"/>
        <v>1</v>
      </c>
      <c r="AA127">
        <f t="shared" si="27"/>
        <v>1</v>
      </c>
      <c r="AB127">
        <f t="shared" si="28"/>
        <v>0</v>
      </c>
      <c r="AC127">
        <f t="shared" si="29"/>
        <v>0</v>
      </c>
      <c r="AD127">
        <f t="shared" si="30"/>
        <v>0</v>
      </c>
      <c r="AE127">
        <f t="shared" si="31"/>
        <v>0</v>
      </c>
      <c r="AF127">
        <f t="shared" si="32"/>
        <v>0</v>
      </c>
      <c r="AG127">
        <f t="shared" si="33"/>
        <v>0</v>
      </c>
      <c r="AH127">
        <f t="shared" si="34"/>
        <v>1</v>
      </c>
      <c r="AI127">
        <f t="shared" si="35"/>
        <v>0</v>
      </c>
    </row>
    <row r="128" spans="1:35" x14ac:dyDescent="0.2">
      <c r="A128">
        <v>127</v>
      </c>
      <c r="B128" t="s">
        <v>16</v>
      </c>
      <c r="C128">
        <v>5</v>
      </c>
      <c r="D128" t="s">
        <v>452</v>
      </c>
      <c r="E128" t="s">
        <v>18</v>
      </c>
      <c r="F128" t="s">
        <v>20</v>
      </c>
      <c r="G128" t="s">
        <v>19</v>
      </c>
      <c r="H128" t="s">
        <v>39</v>
      </c>
      <c r="I128">
        <v>4</v>
      </c>
      <c r="J128">
        <v>5</v>
      </c>
      <c r="K128">
        <v>20</v>
      </c>
      <c r="L128" t="s">
        <v>53</v>
      </c>
      <c r="M128" t="s">
        <v>23</v>
      </c>
      <c r="N128" t="s">
        <v>24</v>
      </c>
      <c r="O128" t="s">
        <v>220</v>
      </c>
      <c r="P128" t="s">
        <v>453</v>
      </c>
      <c r="Q128">
        <f t="shared" si="18"/>
        <v>4</v>
      </c>
      <c r="R128">
        <f t="shared" si="19"/>
        <v>2</v>
      </c>
      <c r="S128">
        <f t="shared" si="20"/>
        <v>3</v>
      </c>
      <c r="T128">
        <f t="shared" si="21"/>
        <v>5</v>
      </c>
      <c r="U128">
        <v>20</v>
      </c>
      <c r="V128">
        <f t="shared" si="22"/>
        <v>0</v>
      </c>
      <c r="W128">
        <f t="shared" si="23"/>
        <v>0</v>
      </c>
      <c r="X128">
        <f t="shared" si="24"/>
        <v>1</v>
      </c>
      <c r="Y128">
        <f t="shared" si="25"/>
        <v>0</v>
      </c>
      <c r="Z128">
        <f t="shared" si="26"/>
        <v>0</v>
      </c>
      <c r="AA128">
        <f t="shared" si="27"/>
        <v>1</v>
      </c>
      <c r="AB128">
        <f t="shared" si="28"/>
        <v>0</v>
      </c>
      <c r="AC128">
        <f t="shared" si="29"/>
        <v>0</v>
      </c>
      <c r="AD128">
        <f t="shared" si="30"/>
        <v>0</v>
      </c>
      <c r="AE128">
        <f t="shared" si="31"/>
        <v>0</v>
      </c>
      <c r="AF128">
        <f t="shared" si="32"/>
        <v>0</v>
      </c>
      <c r="AG128">
        <f t="shared" si="33"/>
        <v>0</v>
      </c>
      <c r="AH128">
        <f t="shared" si="34"/>
        <v>1</v>
      </c>
      <c r="AI128">
        <f t="shared" si="35"/>
        <v>0</v>
      </c>
    </row>
    <row r="129" spans="1:35" x14ac:dyDescent="0.2">
      <c r="A129">
        <v>128</v>
      </c>
      <c r="B129" t="s">
        <v>16</v>
      </c>
      <c r="C129">
        <v>6</v>
      </c>
      <c r="D129" t="s">
        <v>454</v>
      </c>
      <c r="E129" t="s">
        <v>39</v>
      </c>
      <c r="F129" t="s">
        <v>20</v>
      </c>
      <c r="G129" t="s">
        <v>18</v>
      </c>
      <c r="H129" t="s">
        <v>20</v>
      </c>
      <c r="I129">
        <v>5</v>
      </c>
      <c r="J129">
        <v>7</v>
      </c>
      <c r="K129">
        <v>35</v>
      </c>
      <c r="L129" t="s">
        <v>22</v>
      </c>
      <c r="M129" t="s">
        <v>99</v>
      </c>
      <c r="N129" t="s">
        <v>24</v>
      </c>
      <c r="O129" t="s">
        <v>455</v>
      </c>
      <c r="P129" t="s">
        <v>456</v>
      </c>
      <c r="Q129">
        <f t="shared" si="18"/>
        <v>5</v>
      </c>
      <c r="R129">
        <f t="shared" si="19"/>
        <v>2</v>
      </c>
      <c r="S129">
        <f t="shared" si="20"/>
        <v>4</v>
      </c>
      <c r="T129">
        <f t="shared" si="21"/>
        <v>2</v>
      </c>
      <c r="U129">
        <v>35</v>
      </c>
      <c r="V129">
        <f t="shared" si="22"/>
        <v>1</v>
      </c>
      <c r="W129">
        <f t="shared" si="23"/>
        <v>0</v>
      </c>
      <c r="X129">
        <f t="shared" si="24"/>
        <v>0</v>
      </c>
      <c r="Y129">
        <f t="shared" si="25"/>
        <v>0</v>
      </c>
      <c r="Z129">
        <f t="shared" si="26"/>
        <v>0</v>
      </c>
      <c r="AA129">
        <f t="shared" si="27"/>
        <v>1</v>
      </c>
      <c r="AB129">
        <f t="shared" si="28"/>
        <v>0</v>
      </c>
      <c r="AC129">
        <f t="shared" si="29"/>
        <v>0</v>
      </c>
      <c r="AD129">
        <f t="shared" si="30"/>
        <v>0</v>
      </c>
      <c r="AE129">
        <f t="shared" si="31"/>
        <v>1</v>
      </c>
      <c r="AF129">
        <f t="shared" si="32"/>
        <v>0</v>
      </c>
      <c r="AG129">
        <f t="shared" si="33"/>
        <v>0</v>
      </c>
      <c r="AH129">
        <f t="shared" si="34"/>
        <v>1</v>
      </c>
      <c r="AI129">
        <f t="shared" si="35"/>
        <v>0</v>
      </c>
    </row>
    <row r="130" spans="1:35" x14ac:dyDescent="0.2">
      <c r="A130">
        <v>129</v>
      </c>
      <c r="B130" t="s">
        <v>16</v>
      </c>
      <c r="C130">
        <v>8</v>
      </c>
      <c r="D130" t="s">
        <v>457</v>
      </c>
      <c r="E130" t="s">
        <v>18</v>
      </c>
      <c r="F130" t="s">
        <v>20</v>
      </c>
      <c r="G130" t="s">
        <v>20</v>
      </c>
      <c r="H130" t="s">
        <v>18</v>
      </c>
      <c r="I130">
        <v>6</v>
      </c>
      <c r="J130">
        <v>7</v>
      </c>
      <c r="K130">
        <v>20</v>
      </c>
      <c r="L130" t="s">
        <v>22</v>
      </c>
      <c r="M130" t="s">
        <v>23</v>
      </c>
      <c r="N130" t="s">
        <v>24</v>
      </c>
      <c r="O130" t="s">
        <v>458</v>
      </c>
      <c r="P130" t="s">
        <v>459</v>
      </c>
      <c r="Q130">
        <f t="shared" si="18"/>
        <v>4</v>
      </c>
      <c r="R130">
        <f t="shared" si="19"/>
        <v>2</v>
      </c>
      <c r="S130">
        <f t="shared" si="20"/>
        <v>2</v>
      </c>
      <c r="T130">
        <f t="shared" si="21"/>
        <v>4</v>
      </c>
      <c r="U130">
        <v>20</v>
      </c>
      <c r="V130">
        <f t="shared" si="22"/>
        <v>1</v>
      </c>
      <c r="W130">
        <f t="shared" si="23"/>
        <v>0</v>
      </c>
      <c r="X130">
        <f t="shared" si="24"/>
        <v>0</v>
      </c>
      <c r="Y130">
        <f t="shared" si="25"/>
        <v>0</v>
      </c>
      <c r="Z130">
        <f t="shared" si="26"/>
        <v>0</v>
      </c>
      <c r="AA130">
        <f t="shared" si="27"/>
        <v>1</v>
      </c>
      <c r="AB130">
        <f t="shared" si="28"/>
        <v>0</v>
      </c>
      <c r="AC130">
        <f t="shared" si="29"/>
        <v>0</v>
      </c>
      <c r="AD130">
        <f t="shared" si="30"/>
        <v>0</v>
      </c>
      <c r="AE130">
        <f t="shared" si="31"/>
        <v>0</v>
      </c>
      <c r="AF130">
        <f t="shared" si="32"/>
        <v>0</v>
      </c>
      <c r="AG130">
        <f t="shared" si="33"/>
        <v>0</v>
      </c>
      <c r="AH130">
        <f t="shared" si="34"/>
        <v>1</v>
      </c>
      <c r="AI130">
        <f t="shared" si="35"/>
        <v>0</v>
      </c>
    </row>
    <row r="131" spans="1:35" x14ac:dyDescent="0.2">
      <c r="A131">
        <v>130</v>
      </c>
      <c r="B131" t="s">
        <v>16</v>
      </c>
      <c r="C131">
        <v>8</v>
      </c>
      <c r="D131" t="s">
        <v>460</v>
      </c>
      <c r="E131" t="s">
        <v>18</v>
      </c>
      <c r="F131" t="s">
        <v>20</v>
      </c>
      <c r="G131" t="s">
        <v>21</v>
      </c>
      <c r="H131" t="s">
        <v>39</v>
      </c>
      <c r="I131">
        <v>6</v>
      </c>
      <c r="J131">
        <v>3</v>
      </c>
      <c r="K131">
        <v>30</v>
      </c>
      <c r="L131" t="s">
        <v>22</v>
      </c>
      <c r="M131" t="s">
        <v>23</v>
      </c>
      <c r="N131" t="s">
        <v>215</v>
      </c>
      <c r="O131" t="s">
        <v>461</v>
      </c>
      <c r="P131" t="s">
        <v>462</v>
      </c>
      <c r="Q131">
        <f t="shared" ref="Q131:Q194" si="36">IF(E131="", "", LEFT(E131, 1) * 1)</f>
        <v>4</v>
      </c>
      <c r="R131">
        <f t="shared" ref="R131:R194" si="37">IF(F131="","",VALUE(LEFT(F131,FIND(" ",F131)-1)))</f>
        <v>2</v>
      </c>
      <c r="S131">
        <f t="shared" ref="S131:S194" si="38">IF(G131="","",VALUE(LEFT(G131,FIND(" ",G131)-1)))</f>
        <v>1</v>
      </c>
      <c r="T131">
        <f t="shared" ref="T131:T194" si="39">IF(H131="","",VALUE(LEFT(H131,FIND(" ",H131)-1)))</f>
        <v>5</v>
      </c>
      <c r="U131">
        <v>30</v>
      </c>
      <c r="V131">
        <f t="shared" ref="V131:V194" si="40">IF(L131="",0,IF(ISNUMBER(SEARCH("Bathroom",L131)),1,0))</f>
        <v>1</v>
      </c>
      <c r="W131">
        <f t="shared" ref="W131:W194" si="41">IF(L131="",0,IF(ISNUMBER(SEARCH("Dining room",L131)),1,0))</f>
        <v>0</v>
      </c>
      <c r="X131">
        <f t="shared" ref="X131:X194" si="42">IF(L131="",0,IF(ISNUMBER(SEARCH("Office",L131)),1,0))</f>
        <v>0</v>
      </c>
      <c r="Y131">
        <f t="shared" ref="Y131:Y194" si="43">IF(L131="",0,IF(ISNUMBER(SEARCH("Bedroom",L131)),1,0))</f>
        <v>0</v>
      </c>
      <c r="Z131">
        <f t="shared" ref="Z131:Z194" si="44">IF(L131="",0,IF(ISNUMBER(SEARCH("Living room",L131)),1,0))</f>
        <v>0</v>
      </c>
      <c r="AA131">
        <f t="shared" ref="AA131:AA194" si="45">IF(M131="",0, IF(ISNUMBER(SEARCH("By yourself",M131)), 1, 0))</f>
        <v>1</v>
      </c>
      <c r="AB131">
        <f t="shared" ref="AB131:AB194" si="46">IF(M131="", 0, IF(ISNUMBER(SEARCH("Friends", M131)), 1, 0))</f>
        <v>0</v>
      </c>
      <c r="AC131">
        <f t="shared" ref="AC131:AC194" si="47">IF(M131="",0,IF(ISNUMBER(SEARCH("Family members", M131)), 1, 0))</f>
        <v>0</v>
      </c>
      <c r="AD131">
        <f t="shared" ref="AD131:AD194" si="48">IF(M131="", 0, IF(ISNUMBER(SEARCH("Coworkers/Classmates", M131)), 1, 0))</f>
        <v>0</v>
      </c>
      <c r="AE131">
        <f t="shared" ref="AE131:AE194" si="49">IF(M131="", 0, IF(ISNUMBER(SEARCH("Strangers", M131)), 1, 0))</f>
        <v>0</v>
      </c>
      <c r="AF131">
        <f t="shared" ref="AF131:AF194" si="50">IF(N131="", 0, IF(ISNUMBER(SEARCH("Spring", N131)), 1, 0))</f>
        <v>1</v>
      </c>
      <c r="AG131">
        <f t="shared" ref="AG131:AG194" si="51">IF(N131="", 0, IF(ISNUMBER(SEARCH("Summer", N131)), 1, 0))</f>
        <v>0</v>
      </c>
      <c r="AH131">
        <f t="shared" ref="AH131:AH194" si="52">IF(N131="", 0, IF(ISNUMBER(SEARCH("Fall", N131)), 1, 0))</f>
        <v>0</v>
      </c>
      <c r="AI131">
        <f t="shared" ref="AI131:AI194" si="53">IF(N131="", 0, IF(ISNUMBER(SEARCH("Winter", N131)), 1, 0))</f>
        <v>0</v>
      </c>
    </row>
    <row r="132" spans="1:35" x14ac:dyDescent="0.2">
      <c r="A132">
        <v>131</v>
      </c>
      <c r="B132" t="s">
        <v>16</v>
      </c>
      <c r="C132">
        <v>8</v>
      </c>
      <c r="D132" t="s">
        <v>463</v>
      </c>
      <c r="E132" t="s">
        <v>18</v>
      </c>
      <c r="F132" t="s">
        <v>21</v>
      </c>
      <c r="G132" t="s">
        <v>21</v>
      </c>
      <c r="H132" t="s">
        <v>39</v>
      </c>
      <c r="I132">
        <v>3</v>
      </c>
      <c r="J132">
        <v>5</v>
      </c>
      <c r="K132">
        <v>0</v>
      </c>
      <c r="L132" t="s">
        <v>53</v>
      </c>
      <c r="M132" t="s">
        <v>115</v>
      </c>
      <c r="N132" t="s">
        <v>24</v>
      </c>
      <c r="O132" t="s">
        <v>464</v>
      </c>
      <c r="P132" t="s">
        <v>465</v>
      </c>
      <c r="Q132">
        <f t="shared" si="36"/>
        <v>4</v>
      </c>
      <c r="R132">
        <f t="shared" si="37"/>
        <v>1</v>
      </c>
      <c r="S132">
        <f t="shared" si="38"/>
        <v>1</v>
      </c>
      <c r="T132">
        <f t="shared" si="39"/>
        <v>5</v>
      </c>
      <c r="U132">
        <v>0</v>
      </c>
      <c r="V132">
        <f t="shared" si="40"/>
        <v>0</v>
      </c>
      <c r="W132">
        <f t="shared" si="41"/>
        <v>0</v>
      </c>
      <c r="X132">
        <f t="shared" si="42"/>
        <v>1</v>
      </c>
      <c r="Y132">
        <f t="shared" si="43"/>
        <v>0</v>
      </c>
      <c r="Z132">
        <f t="shared" si="44"/>
        <v>0</v>
      </c>
      <c r="AA132">
        <f t="shared" si="45"/>
        <v>0</v>
      </c>
      <c r="AB132">
        <f t="shared" si="46"/>
        <v>0</v>
      </c>
      <c r="AC132">
        <f t="shared" si="47"/>
        <v>1</v>
      </c>
      <c r="AD132">
        <f t="shared" si="48"/>
        <v>0</v>
      </c>
      <c r="AE132">
        <f t="shared" si="49"/>
        <v>0</v>
      </c>
      <c r="AF132">
        <f t="shared" si="50"/>
        <v>0</v>
      </c>
      <c r="AG132">
        <f t="shared" si="51"/>
        <v>0</v>
      </c>
      <c r="AH132">
        <f t="shared" si="52"/>
        <v>1</v>
      </c>
      <c r="AI132">
        <f t="shared" si="53"/>
        <v>0</v>
      </c>
    </row>
    <row r="133" spans="1:35" x14ac:dyDescent="0.2">
      <c r="A133">
        <v>132</v>
      </c>
      <c r="B133" t="s">
        <v>16</v>
      </c>
      <c r="C133">
        <v>7</v>
      </c>
      <c r="D133" t="s">
        <v>466</v>
      </c>
      <c r="E133" t="s">
        <v>18</v>
      </c>
      <c r="F133" t="s">
        <v>20</v>
      </c>
      <c r="G133" t="s">
        <v>39</v>
      </c>
      <c r="H133" t="s">
        <v>20</v>
      </c>
      <c r="I133">
        <v>3</v>
      </c>
      <c r="J133">
        <v>4</v>
      </c>
      <c r="K133" t="s">
        <v>467</v>
      </c>
      <c r="L133" t="s">
        <v>70</v>
      </c>
      <c r="M133" t="s">
        <v>468</v>
      </c>
      <c r="N133" t="s">
        <v>147</v>
      </c>
      <c r="O133" t="s">
        <v>469</v>
      </c>
      <c r="P133" t="s">
        <v>470</v>
      </c>
      <c r="Q133">
        <f t="shared" si="36"/>
        <v>4</v>
      </c>
      <c r="R133">
        <f t="shared" si="37"/>
        <v>2</v>
      </c>
      <c r="S133">
        <f t="shared" si="38"/>
        <v>5</v>
      </c>
      <c r="T133">
        <f t="shared" si="39"/>
        <v>2</v>
      </c>
      <c r="U133">
        <v>800</v>
      </c>
      <c r="V133">
        <f t="shared" si="40"/>
        <v>0</v>
      </c>
      <c r="W133">
        <f t="shared" si="41"/>
        <v>0</v>
      </c>
      <c r="X133">
        <f t="shared" si="42"/>
        <v>0</v>
      </c>
      <c r="Y133">
        <f t="shared" si="43"/>
        <v>1</v>
      </c>
      <c r="Z133">
        <f t="shared" si="44"/>
        <v>0</v>
      </c>
      <c r="AA133">
        <f t="shared" si="45"/>
        <v>1</v>
      </c>
      <c r="AB133">
        <f t="shared" si="46"/>
        <v>1</v>
      </c>
      <c r="AC133">
        <f t="shared" si="47"/>
        <v>1</v>
      </c>
      <c r="AD133">
        <f t="shared" si="48"/>
        <v>1</v>
      </c>
      <c r="AE133">
        <f t="shared" si="49"/>
        <v>1</v>
      </c>
      <c r="AF133">
        <f t="shared" si="50"/>
        <v>0</v>
      </c>
      <c r="AG133">
        <f t="shared" si="51"/>
        <v>0</v>
      </c>
      <c r="AH133">
        <f t="shared" si="52"/>
        <v>1</v>
      </c>
      <c r="AI133">
        <f t="shared" si="53"/>
        <v>1</v>
      </c>
    </row>
    <row r="134" spans="1:35" ht="34" x14ac:dyDescent="0.2">
      <c r="A134">
        <v>133</v>
      </c>
      <c r="B134" t="s">
        <v>16</v>
      </c>
      <c r="C134">
        <v>6</v>
      </c>
      <c r="D134" t="s">
        <v>471</v>
      </c>
      <c r="E134" t="s">
        <v>18</v>
      </c>
      <c r="F134" t="s">
        <v>20</v>
      </c>
      <c r="G134" t="s">
        <v>19</v>
      </c>
      <c r="H134" t="s">
        <v>20</v>
      </c>
      <c r="I134">
        <v>4</v>
      </c>
      <c r="J134">
        <v>5</v>
      </c>
      <c r="K134" s="3" t="s">
        <v>472</v>
      </c>
      <c r="L134" t="s">
        <v>75</v>
      </c>
      <c r="M134" t="s">
        <v>99</v>
      </c>
      <c r="N134" t="s">
        <v>147</v>
      </c>
      <c r="O134" t="s">
        <v>473</v>
      </c>
      <c r="P134" t="s">
        <v>474</v>
      </c>
      <c r="Q134">
        <f t="shared" si="36"/>
        <v>4</v>
      </c>
      <c r="R134">
        <f t="shared" si="37"/>
        <v>2</v>
      </c>
      <c r="S134">
        <f t="shared" si="38"/>
        <v>3</v>
      </c>
      <c r="T134">
        <f t="shared" si="39"/>
        <v>2</v>
      </c>
      <c r="U134">
        <v>0</v>
      </c>
      <c r="V134">
        <f t="shared" si="40"/>
        <v>0</v>
      </c>
      <c r="W134">
        <f t="shared" si="41"/>
        <v>0</v>
      </c>
      <c r="X134">
        <f t="shared" si="42"/>
        <v>1</v>
      </c>
      <c r="Y134">
        <f t="shared" si="43"/>
        <v>1</v>
      </c>
      <c r="Z134">
        <f t="shared" si="44"/>
        <v>0</v>
      </c>
      <c r="AA134">
        <f t="shared" si="45"/>
        <v>1</v>
      </c>
      <c r="AB134">
        <f t="shared" si="46"/>
        <v>0</v>
      </c>
      <c r="AC134">
        <f t="shared" si="47"/>
        <v>0</v>
      </c>
      <c r="AD134">
        <f t="shared" si="48"/>
        <v>0</v>
      </c>
      <c r="AE134">
        <f t="shared" si="49"/>
        <v>1</v>
      </c>
      <c r="AF134">
        <f t="shared" si="50"/>
        <v>0</v>
      </c>
      <c r="AG134">
        <f t="shared" si="51"/>
        <v>0</v>
      </c>
      <c r="AH134">
        <f t="shared" si="52"/>
        <v>1</v>
      </c>
      <c r="AI134">
        <f t="shared" si="53"/>
        <v>1</v>
      </c>
    </row>
    <row r="135" spans="1:35" x14ac:dyDescent="0.2">
      <c r="A135">
        <v>134</v>
      </c>
      <c r="B135" t="s">
        <v>16</v>
      </c>
      <c r="C135">
        <v>3</v>
      </c>
      <c r="D135" t="s">
        <v>475</v>
      </c>
      <c r="E135" t="s">
        <v>18</v>
      </c>
      <c r="F135" t="s">
        <v>20</v>
      </c>
      <c r="G135" t="s">
        <v>19</v>
      </c>
      <c r="H135" t="s">
        <v>18</v>
      </c>
      <c r="I135">
        <v>5</v>
      </c>
      <c r="J135">
        <v>5</v>
      </c>
      <c r="K135">
        <v>50</v>
      </c>
      <c r="L135" t="s">
        <v>41</v>
      </c>
      <c r="M135" t="s">
        <v>42</v>
      </c>
      <c r="N135" t="s">
        <v>84</v>
      </c>
      <c r="O135" t="s">
        <v>116</v>
      </c>
      <c r="P135" t="s">
        <v>476</v>
      </c>
      <c r="Q135">
        <f t="shared" si="36"/>
        <v>4</v>
      </c>
      <c r="R135">
        <f t="shared" si="37"/>
        <v>2</v>
      </c>
      <c r="S135">
        <f t="shared" si="38"/>
        <v>3</v>
      </c>
      <c r="T135">
        <f t="shared" si="39"/>
        <v>4</v>
      </c>
      <c r="U135">
        <v>50</v>
      </c>
      <c r="V135">
        <f t="shared" si="40"/>
        <v>0</v>
      </c>
      <c r="W135">
        <f t="shared" si="41"/>
        <v>0</v>
      </c>
      <c r="X135">
        <f t="shared" si="42"/>
        <v>0</v>
      </c>
      <c r="Y135">
        <f t="shared" si="43"/>
        <v>0</v>
      </c>
      <c r="Z135">
        <f t="shared" si="44"/>
        <v>1</v>
      </c>
      <c r="AA135">
        <f t="shared" si="45"/>
        <v>0</v>
      </c>
      <c r="AB135">
        <f t="shared" si="46"/>
        <v>1</v>
      </c>
      <c r="AC135">
        <f t="shared" si="47"/>
        <v>0</v>
      </c>
      <c r="AD135">
        <f t="shared" si="48"/>
        <v>0</v>
      </c>
      <c r="AE135">
        <f t="shared" si="49"/>
        <v>0</v>
      </c>
      <c r="AF135">
        <f t="shared" si="50"/>
        <v>0</v>
      </c>
      <c r="AG135">
        <f t="shared" si="51"/>
        <v>1</v>
      </c>
      <c r="AH135">
        <f t="shared" si="52"/>
        <v>0</v>
      </c>
      <c r="AI135">
        <f t="shared" si="53"/>
        <v>0</v>
      </c>
    </row>
    <row r="136" spans="1:35" x14ac:dyDescent="0.2">
      <c r="A136">
        <v>135</v>
      </c>
      <c r="B136" t="s">
        <v>16</v>
      </c>
      <c r="C136">
        <v>7</v>
      </c>
      <c r="D136" t="s">
        <v>477</v>
      </c>
      <c r="E136" t="s">
        <v>18</v>
      </c>
      <c r="F136" t="s">
        <v>20</v>
      </c>
      <c r="G136" t="s">
        <v>19</v>
      </c>
      <c r="H136" t="s">
        <v>39</v>
      </c>
      <c r="I136">
        <v>5</v>
      </c>
      <c r="J136">
        <v>6</v>
      </c>
      <c r="K136">
        <v>50</v>
      </c>
      <c r="L136" t="s">
        <v>22</v>
      </c>
      <c r="M136" t="s">
        <v>123</v>
      </c>
      <c r="N136" t="s">
        <v>147</v>
      </c>
      <c r="O136" t="s">
        <v>478</v>
      </c>
      <c r="P136" t="s">
        <v>479</v>
      </c>
      <c r="Q136">
        <f t="shared" si="36"/>
        <v>4</v>
      </c>
      <c r="R136">
        <f t="shared" si="37"/>
        <v>2</v>
      </c>
      <c r="S136">
        <f t="shared" si="38"/>
        <v>3</v>
      </c>
      <c r="T136">
        <f t="shared" si="39"/>
        <v>5</v>
      </c>
      <c r="U136">
        <v>50</v>
      </c>
      <c r="V136">
        <f t="shared" si="40"/>
        <v>1</v>
      </c>
      <c r="W136">
        <f t="shared" si="41"/>
        <v>0</v>
      </c>
      <c r="X136">
        <f t="shared" si="42"/>
        <v>0</v>
      </c>
      <c r="Y136">
        <f t="shared" si="43"/>
        <v>0</v>
      </c>
      <c r="Z136">
        <f t="shared" si="44"/>
        <v>0</v>
      </c>
      <c r="AA136">
        <f t="shared" si="45"/>
        <v>0</v>
      </c>
      <c r="AB136">
        <f t="shared" si="46"/>
        <v>1</v>
      </c>
      <c r="AC136">
        <f t="shared" si="47"/>
        <v>1</v>
      </c>
      <c r="AD136">
        <f t="shared" si="48"/>
        <v>0</v>
      </c>
      <c r="AE136">
        <f t="shared" si="49"/>
        <v>0</v>
      </c>
      <c r="AF136">
        <f t="shared" si="50"/>
        <v>0</v>
      </c>
      <c r="AG136">
        <f t="shared" si="51"/>
        <v>0</v>
      </c>
      <c r="AH136">
        <f t="shared" si="52"/>
        <v>1</v>
      </c>
      <c r="AI136">
        <f t="shared" si="53"/>
        <v>1</v>
      </c>
    </row>
    <row r="137" spans="1:35" x14ac:dyDescent="0.2">
      <c r="A137">
        <v>136</v>
      </c>
      <c r="B137" t="s">
        <v>16</v>
      </c>
      <c r="C137">
        <v>6</v>
      </c>
      <c r="D137" t="s">
        <v>480</v>
      </c>
      <c r="E137" t="s">
        <v>19</v>
      </c>
      <c r="F137" t="s">
        <v>18</v>
      </c>
      <c r="G137" t="s">
        <v>20</v>
      </c>
      <c r="H137" t="s">
        <v>39</v>
      </c>
      <c r="I137">
        <v>4</v>
      </c>
      <c r="J137">
        <v>7</v>
      </c>
      <c r="K137" t="s">
        <v>481</v>
      </c>
      <c r="L137" t="s">
        <v>53</v>
      </c>
      <c r="M137" t="s">
        <v>23</v>
      </c>
      <c r="N137" t="s">
        <v>36</v>
      </c>
      <c r="O137" t="s">
        <v>482</v>
      </c>
      <c r="P137" t="s">
        <v>483</v>
      </c>
      <c r="Q137">
        <f t="shared" si="36"/>
        <v>3</v>
      </c>
      <c r="R137">
        <f t="shared" si="37"/>
        <v>4</v>
      </c>
      <c r="S137">
        <f t="shared" si="38"/>
        <v>2</v>
      </c>
      <c r="T137">
        <f t="shared" si="39"/>
        <v>5</v>
      </c>
      <c r="U137">
        <v>100</v>
      </c>
      <c r="V137">
        <f t="shared" si="40"/>
        <v>0</v>
      </c>
      <c r="W137">
        <f t="shared" si="41"/>
        <v>0</v>
      </c>
      <c r="X137">
        <f t="shared" si="42"/>
        <v>1</v>
      </c>
      <c r="Y137">
        <f t="shared" si="43"/>
        <v>0</v>
      </c>
      <c r="Z137">
        <f t="shared" si="44"/>
        <v>0</v>
      </c>
      <c r="AA137">
        <f t="shared" si="45"/>
        <v>1</v>
      </c>
      <c r="AB137">
        <f t="shared" si="46"/>
        <v>0</v>
      </c>
      <c r="AC137">
        <f t="shared" si="47"/>
        <v>0</v>
      </c>
      <c r="AD137">
        <f t="shared" si="48"/>
        <v>0</v>
      </c>
      <c r="AE137">
        <f t="shared" si="49"/>
        <v>0</v>
      </c>
      <c r="AF137">
        <f t="shared" si="50"/>
        <v>0</v>
      </c>
      <c r="AG137">
        <f t="shared" si="51"/>
        <v>0</v>
      </c>
      <c r="AH137">
        <f t="shared" si="52"/>
        <v>0</v>
      </c>
      <c r="AI137">
        <f t="shared" si="53"/>
        <v>1</v>
      </c>
    </row>
    <row r="138" spans="1:35" x14ac:dyDescent="0.2">
      <c r="A138">
        <v>137</v>
      </c>
      <c r="B138" t="s">
        <v>16</v>
      </c>
      <c r="C138">
        <v>6</v>
      </c>
      <c r="D138" t="s">
        <v>484</v>
      </c>
      <c r="E138" t="s">
        <v>18</v>
      </c>
      <c r="F138" t="s">
        <v>18</v>
      </c>
      <c r="G138" t="s">
        <v>18</v>
      </c>
      <c r="H138" t="s">
        <v>20</v>
      </c>
      <c r="I138">
        <v>3</v>
      </c>
      <c r="J138">
        <v>6</v>
      </c>
      <c r="K138" s="2">
        <v>10000</v>
      </c>
      <c r="L138" t="s">
        <v>66</v>
      </c>
      <c r="M138" t="s">
        <v>23</v>
      </c>
      <c r="N138" t="s">
        <v>84</v>
      </c>
      <c r="O138" t="s">
        <v>485</v>
      </c>
      <c r="P138" t="s">
        <v>486</v>
      </c>
      <c r="Q138">
        <f t="shared" si="36"/>
        <v>4</v>
      </c>
      <c r="R138">
        <f t="shared" si="37"/>
        <v>4</v>
      </c>
      <c r="S138">
        <f t="shared" si="38"/>
        <v>4</v>
      </c>
      <c r="T138">
        <f t="shared" si="39"/>
        <v>2</v>
      </c>
      <c r="U138">
        <v>10000</v>
      </c>
      <c r="V138">
        <f t="shared" si="40"/>
        <v>0</v>
      </c>
      <c r="W138">
        <f t="shared" si="41"/>
        <v>1</v>
      </c>
      <c r="X138">
        <f t="shared" si="42"/>
        <v>1</v>
      </c>
      <c r="Y138">
        <f t="shared" si="43"/>
        <v>0</v>
      </c>
      <c r="Z138">
        <f t="shared" si="44"/>
        <v>0</v>
      </c>
      <c r="AA138">
        <f t="shared" si="45"/>
        <v>1</v>
      </c>
      <c r="AB138">
        <f t="shared" si="46"/>
        <v>0</v>
      </c>
      <c r="AC138">
        <f t="shared" si="47"/>
        <v>0</v>
      </c>
      <c r="AD138">
        <f t="shared" si="48"/>
        <v>0</v>
      </c>
      <c r="AE138">
        <f t="shared" si="49"/>
        <v>0</v>
      </c>
      <c r="AF138">
        <f t="shared" si="50"/>
        <v>0</v>
      </c>
      <c r="AG138">
        <f t="shared" si="51"/>
        <v>1</v>
      </c>
      <c r="AH138">
        <f t="shared" si="52"/>
        <v>0</v>
      </c>
      <c r="AI138">
        <f t="shared" si="53"/>
        <v>0</v>
      </c>
    </row>
    <row r="139" spans="1:35" x14ac:dyDescent="0.2">
      <c r="A139">
        <v>138</v>
      </c>
      <c r="B139" t="s">
        <v>16</v>
      </c>
      <c r="C139">
        <v>8</v>
      </c>
      <c r="D139" t="s">
        <v>487</v>
      </c>
      <c r="E139" t="s">
        <v>18</v>
      </c>
      <c r="F139" t="s">
        <v>20</v>
      </c>
      <c r="G139" t="s">
        <v>19</v>
      </c>
      <c r="H139" t="s">
        <v>18</v>
      </c>
      <c r="I139">
        <v>4</v>
      </c>
      <c r="J139">
        <v>5</v>
      </c>
      <c r="K139">
        <v>100</v>
      </c>
      <c r="L139" t="s">
        <v>22</v>
      </c>
      <c r="M139" t="s">
        <v>42</v>
      </c>
      <c r="N139" t="s">
        <v>36</v>
      </c>
      <c r="O139" t="s">
        <v>488</v>
      </c>
      <c r="P139" t="s">
        <v>489</v>
      </c>
      <c r="Q139">
        <f t="shared" si="36"/>
        <v>4</v>
      </c>
      <c r="R139">
        <f t="shared" si="37"/>
        <v>2</v>
      </c>
      <c r="S139">
        <f t="shared" si="38"/>
        <v>3</v>
      </c>
      <c r="T139">
        <f t="shared" si="39"/>
        <v>4</v>
      </c>
      <c r="U139">
        <v>100</v>
      </c>
      <c r="V139">
        <f t="shared" si="40"/>
        <v>1</v>
      </c>
      <c r="W139">
        <f t="shared" si="41"/>
        <v>0</v>
      </c>
      <c r="X139">
        <f t="shared" si="42"/>
        <v>0</v>
      </c>
      <c r="Y139">
        <f t="shared" si="43"/>
        <v>0</v>
      </c>
      <c r="Z139">
        <f t="shared" si="44"/>
        <v>0</v>
      </c>
      <c r="AA139">
        <f t="shared" si="45"/>
        <v>0</v>
      </c>
      <c r="AB139">
        <f t="shared" si="46"/>
        <v>1</v>
      </c>
      <c r="AC139">
        <f t="shared" si="47"/>
        <v>0</v>
      </c>
      <c r="AD139">
        <f t="shared" si="48"/>
        <v>0</v>
      </c>
      <c r="AE139">
        <f t="shared" si="49"/>
        <v>0</v>
      </c>
      <c r="AF139">
        <f t="shared" si="50"/>
        <v>0</v>
      </c>
      <c r="AG139">
        <f t="shared" si="51"/>
        <v>0</v>
      </c>
      <c r="AH139">
        <f t="shared" si="52"/>
        <v>0</v>
      </c>
      <c r="AI139">
        <f t="shared" si="53"/>
        <v>1</v>
      </c>
    </row>
    <row r="140" spans="1:35" x14ac:dyDescent="0.2">
      <c r="A140">
        <v>139</v>
      </c>
      <c r="B140" t="s">
        <v>16</v>
      </c>
      <c r="C140">
        <v>6</v>
      </c>
      <c r="D140" t="s">
        <v>490</v>
      </c>
      <c r="E140" t="s">
        <v>18</v>
      </c>
      <c r="F140" t="s">
        <v>20</v>
      </c>
      <c r="G140" t="s">
        <v>19</v>
      </c>
      <c r="H140" t="s">
        <v>20</v>
      </c>
      <c r="I140">
        <v>5</v>
      </c>
      <c r="J140">
        <v>5</v>
      </c>
      <c r="K140">
        <v>10</v>
      </c>
      <c r="L140" t="s">
        <v>53</v>
      </c>
      <c r="M140" t="s">
        <v>99</v>
      </c>
      <c r="N140" t="s">
        <v>24</v>
      </c>
      <c r="O140" t="s">
        <v>491</v>
      </c>
      <c r="P140" t="s">
        <v>492</v>
      </c>
      <c r="Q140">
        <f t="shared" si="36"/>
        <v>4</v>
      </c>
      <c r="R140">
        <f t="shared" si="37"/>
        <v>2</v>
      </c>
      <c r="S140">
        <f t="shared" si="38"/>
        <v>3</v>
      </c>
      <c r="T140">
        <f t="shared" si="39"/>
        <v>2</v>
      </c>
      <c r="U140">
        <v>10</v>
      </c>
      <c r="V140">
        <f t="shared" si="40"/>
        <v>0</v>
      </c>
      <c r="W140">
        <f t="shared" si="41"/>
        <v>0</v>
      </c>
      <c r="X140">
        <f t="shared" si="42"/>
        <v>1</v>
      </c>
      <c r="Y140">
        <f t="shared" si="43"/>
        <v>0</v>
      </c>
      <c r="Z140">
        <f t="shared" si="44"/>
        <v>0</v>
      </c>
      <c r="AA140">
        <f t="shared" si="45"/>
        <v>1</v>
      </c>
      <c r="AB140">
        <f t="shared" si="46"/>
        <v>0</v>
      </c>
      <c r="AC140">
        <f t="shared" si="47"/>
        <v>0</v>
      </c>
      <c r="AD140">
        <f t="shared" si="48"/>
        <v>0</v>
      </c>
      <c r="AE140">
        <f t="shared" si="49"/>
        <v>1</v>
      </c>
      <c r="AF140">
        <f t="shared" si="50"/>
        <v>0</v>
      </c>
      <c r="AG140">
        <f t="shared" si="51"/>
        <v>0</v>
      </c>
      <c r="AH140">
        <f t="shared" si="52"/>
        <v>1</v>
      </c>
      <c r="AI140">
        <f t="shared" si="53"/>
        <v>0</v>
      </c>
    </row>
    <row r="141" spans="1:35" x14ac:dyDescent="0.2">
      <c r="A141">
        <v>140</v>
      </c>
      <c r="B141" t="s">
        <v>16</v>
      </c>
      <c r="C141">
        <v>8</v>
      </c>
      <c r="D141" t="s">
        <v>493</v>
      </c>
      <c r="E141" t="s">
        <v>39</v>
      </c>
      <c r="F141" t="s">
        <v>20</v>
      </c>
      <c r="G141" t="s">
        <v>19</v>
      </c>
      <c r="H141" t="s">
        <v>19</v>
      </c>
      <c r="I141">
        <v>9</v>
      </c>
      <c r="J141">
        <v>9</v>
      </c>
      <c r="K141" s="1">
        <v>200</v>
      </c>
      <c r="L141" t="s">
        <v>494</v>
      </c>
      <c r="M141" t="s">
        <v>161</v>
      </c>
      <c r="N141" t="s">
        <v>147</v>
      </c>
      <c r="O141" t="s">
        <v>495</v>
      </c>
      <c r="P141" t="s">
        <v>496</v>
      </c>
      <c r="Q141">
        <f t="shared" si="36"/>
        <v>5</v>
      </c>
      <c r="R141">
        <f t="shared" si="37"/>
        <v>2</v>
      </c>
      <c r="S141">
        <f t="shared" si="38"/>
        <v>3</v>
      </c>
      <c r="T141">
        <f t="shared" si="39"/>
        <v>3</v>
      </c>
      <c r="U141">
        <v>200</v>
      </c>
      <c r="V141">
        <f t="shared" si="40"/>
        <v>0</v>
      </c>
      <c r="W141">
        <f t="shared" si="41"/>
        <v>1</v>
      </c>
      <c r="X141">
        <f t="shared" si="42"/>
        <v>1</v>
      </c>
      <c r="Y141">
        <f t="shared" si="43"/>
        <v>1</v>
      </c>
      <c r="Z141">
        <f t="shared" si="44"/>
        <v>1</v>
      </c>
      <c r="AA141">
        <f t="shared" si="45"/>
        <v>1</v>
      </c>
      <c r="AB141">
        <f t="shared" si="46"/>
        <v>1</v>
      </c>
      <c r="AC141">
        <f t="shared" si="47"/>
        <v>1</v>
      </c>
      <c r="AD141">
        <f t="shared" si="48"/>
        <v>1</v>
      </c>
      <c r="AE141">
        <f t="shared" si="49"/>
        <v>0</v>
      </c>
      <c r="AF141">
        <f t="shared" si="50"/>
        <v>0</v>
      </c>
      <c r="AG141">
        <f t="shared" si="51"/>
        <v>0</v>
      </c>
      <c r="AH141">
        <f t="shared" si="52"/>
        <v>1</v>
      </c>
      <c r="AI141">
        <f t="shared" si="53"/>
        <v>1</v>
      </c>
    </row>
    <row r="142" spans="1:35" x14ac:dyDescent="0.2">
      <c r="A142">
        <v>141</v>
      </c>
      <c r="B142" t="s">
        <v>16</v>
      </c>
      <c r="C142">
        <v>8</v>
      </c>
      <c r="D142" t="s">
        <v>497</v>
      </c>
      <c r="E142" t="s">
        <v>39</v>
      </c>
      <c r="F142" t="s">
        <v>21</v>
      </c>
      <c r="G142" t="s">
        <v>20</v>
      </c>
      <c r="H142" t="s">
        <v>39</v>
      </c>
      <c r="I142">
        <v>8</v>
      </c>
      <c r="J142">
        <v>9</v>
      </c>
      <c r="K142" s="2">
        <v>10000000</v>
      </c>
      <c r="L142" t="s">
        <v>34</v>
      </c>
      <c r="M142" t="s">
        <v>115</v>
      </c>
      <c r="N142" t="s">
        <v>147</v>
      </c>
      <c r="O142" t="s">
        <v>498</v>
      </c>
      <c r="P142" t="s">
        <v>499</v>
      </c>
      <c r="Q142">
        <f t="shared" si="36"/>
        <v>5</v>
      </c>
      <c r="R142">
        <f t="shared" si="37"/>
        <v>1</v>
      </c>
      <c r="S142">
        <f t="shared" si="38"/>
        <v>2</v>
      </c>
      <c r="T142">
        <f t="shared" si="39"/>
        <v>5</v>
      </c>
      <c r="U142">
        <v>10000000</v>
      </c>
      <c r="V142">
        <f t="shared" si="40"/>
        <v>1</v>
      </c>
      <c r="W142">
        <f t="shared" si="41"/>
        <v>0</v>
      </c>
      <c r="X142">
        <f t="shared" si="42"/>
        <v>0</v>
      </c>
      <c r="Y142">
        <f t="shared" si="43"/>
        <v>1</v>
      </c>
      <c r="Z142">
        <f t="shared" si="44"/>
        <v>0</v>
      </c>
      <c r="AA142">
        <f t="shared" si="45"/>
        <v>0</v>
      </c>
      <c r="AB142">
        <f t="shared" si="46"/>
        <v>0</v>
      </c>
      <c r="AC142">
        <f t="shared" si="47"/>
        <v>1</v>
      </c>
      <c r="AD142">
        <f t="shared" si="48"/>
        <v>0</v>
      </c>
      <c r="AE142">
        <f t="shared" si="49"/>
        <v>0</v>
      </c>
      <c r="AF142">
        <f t="shared" si="50"/>
        <v>0</v>
      </c>
      <c r="AG142">
        <f t="shared" si="51"/>
        <v>0</v>
      </c>
      <c r="AH142">
        <f t="shared" si="52"/>
        <v>1</v>
      </c>
      <c r="AI142">
        <f t="shared" si="53"/>
        <v>1</v>
      </c>
    </row>
    <row r="143" spans="1:35" x14ac:dyDescent="0.2">
      <c r="A143">
        <v>142</v>
      </c>
      <c r="B143" t="s">
        <v>16</v>
      </c>
      <c r="C143">
        <v>8</v>
      </c>
      <c r="D143" t="s">
        <v>500</v>
      </c>
      <c r="E143" t="s">
        <v>18</v>
      </c>
      <c r="F143" t="s">
        <v>19</v>
      </c>
      <c r="G143" t="s">
        <v>19</v>
      </c>
      <c r="H143" t="s">
        <v>20</v>
      </c>
      <c r="I143">
        <v>5</v>
      </c>
      <c r="J143">
        <v>5</v>
      </c>
      <c r="K143">
        <v>7000</v>
      </c>
      <c r="L143" t="s">
        <v>41</v>
      </c>
      <c r="M143" t="s">
        <v>154</v>
      </c>
      <c r="N143" t="s">
        <v>36</v>
      </c>
      <c r="O143" t="s">
        <v>501</v>
      </c>
      <c r="P143" t="s">
        <v>502</v>
      </c>
      <c r="Q143">
        <f t="shared" si="36"/>
        <v>4</v>
      </c>
      <c r="R143">
        <f t="shared" si="37"/>
        <v>3</v>
      </c>
      <c r="S143">
        <f t="shared" si="38"/>
        <v>3</v>
      </c>
      <c r="T143">
        <f t="shared" si="39"/>
        <v>2</v>
      </c>
      <c r="U143">
        <v>7000</v>
      </c>
      <c r="V143">
        <f t="shared" si="40"/>
        <v>0</v>
      </c>
      <c r="W143">
        <f t="shared" si="41"/>
        <v>0</v>
      </c>
      <c r="X143">
        <f t="shared" si="42"/>
        <v>0</v>
      </c>
      <c r="Y143">
        <f t="shared" si="43"/>
        <v>0</v>
      </c>
      <c r="Z143">
        <f t="shared" si="44"/>
        <v>1</v>
      </c>
      <c r="AA143">
        <f t="shared" si="45"/>
        <v>1</v>
      </c>
      <c r="AB143">
        <f t="shared" si="46"/>
        <v>0</v>
      </c>
      <c r="AC143">
        <f t="shared" si="47"/>
        <v>1</v>
      </c>
      <c r="AD143">
        <f t="shared" si="48"/>
        <v>0</v>
      </c>
      <c r="AE143">
        <f t="shared" si="49"/>
        <v>0</v>
      </c>
      <c r="AF143">
        <f t="shared" si="50"/>
        <v>0</v>
      </c>
      <c r="AG143">
        <f t="shared" si="51"/>
        <v>0</v>
      </c>
      <c r="AH143">
        <f t="shared" si="52"/>
        <v>0</v>
      </c>
      <c r="AI143">
        <f t="shared" si="53"/>
        <v>1</v>
      </c>
    </row>
    <row r="144" spans="1:35" x14ac:dyDescent="0.2">
      <c r="A144">
        <v>143</v>
      </c>
      <c r="B144" t="s">
        <v>16</v>
      </c>
      <c r="C144">
        <v>8</v>
      </c>
      <c r="D144" t="s">
        <v>503</v>
      </c>
      <c r="E144" t="s">
        <v>18</v>
      </c>
      <c r="F144" t="s">
        <v>20</v>
      </c>
      <c r="G144" t="s">
        <v>20</v>
      </c>
      <c r="H144" t="s">
        <v>18</v>
      </c>
      <c r="I144">
        <v>5</v>
      </c>
      <c r="J144">
        <v>7</v>
      </c>
      <c r="K144">
        <v>20</v>
      </c>
      <c r="L144" t="s">
        <v>53</v>
      </c>
      <c r="M144" t="s">
        <v>135</v>
      </c>
      <c r="N144" t="s">
        <v>36</v>
      </c>
      <c r="O144" t="s">
        <v>504</v>
      </c>
      <c r="P144" t="s">
        <v>505</v>
      </c>
      <c r="Q144">
        <f t="shared" si="36"/>
        <v>4</v>
      </c>
      <c r="R144">
        <f t="shared" si="37"/>
        <v>2</v>
      </c>
      <c r="S144">
        <f t="shared" si="38"/>
        <v>2</v>
      </c>
      <c r="T144">
        <f t="shared" si="39"/>
        <v>4</v>
      </c>
      <c r="U144">
        <v>20</v>
      </c>
      <c r="V144">
        <f t="shared" si="40"/>
        <v>0</v>
      </c>
      <c r="W144">
        <f t="shared" si="41"/>
        <v>0</v>
      </c>
      <c r="X144">
        <f t="shared" si="42"/>
        <v>1</v>
      </c>
      <c r="Y144">
        <f t="shared" si="43"/>
        <v>0</v>
      </c>
      <c r="Z144">
        <f t="shared" si="44"/>
        <v>0</v>
      </c>
      <c r="AA144">
        <f t="shared" si="45"/>
        <v>1</v>
      </c>
      <c r="AB144">
        <f t="shared" si="46"/>
        <v>1</v>
      </c>
      <c r="AC144">
        <f t="shared" si="47"/>
        <v>0</v>
      </c>
      <c r="AD144">
        <f t="shared" si="48"/>
        <v>0</v>
      </c>
      <c r="AE144">
        <f t="shared" si="49"/>
        <v>0</v>
      </c>
      <c r="AF144">
        <f t="shared" si="50"/>
        <v>0</v>
      </c>
      <c r="AG144">
        <f t="shared" si="51"/>
        <v>0</v>
      </c>
      <c r="AH144">
        <f t="shared" si="52"/>
        <v>0</v>
      </c>
      <c r="AI144">
        <f t="shared" si="53"/>
        <v>1</v>
      </c>
    </row>
    <row r="145" spans="1:35" ht="51" x14ac:dyDescent="0.2">
      <c r="A145">
        <v>144</v>
      </c>
      <c r="B145" t="s">
        <v>16</v>
      </c>
      <c r="C145">
        <v>8</v>
      </c>
      <c r="D145" s="3" t="s">
        <v>506</v>
      </c>
      <c r="E145" t="s">
        <v>18</v>
      </c>
      <c r="F145" t="s">
        <v>20</v>
      </c>
      <c r="G145" t="s">
        <v>19</v>
      </c>
      <c r="H145" t="s">
        <v>19</v>
      </c>
      <c r="I145">
        <v>2</v>
      </c>
      <c r="J145">
        <v>3</v>
      </c>
      <c r="K145" t="s">
        <v>507</v>
      </c>
      <c r="L145" t="s">
        <v>22</v>
      </c>
      <c r="M145" t="s">
        <v>23</v>
      </c>
      <c r="N145" t="s">
        <v>84</v>
      </c>
      <c r="O145" t="s">
        <v>508</v>
      </c>
      <c r="P145" t="s">
        <v>509</v>
      </c>
      <c r="Q145">
        <f t="shared" si="36"/>
        <v>4</v>
      </c>
      <c r="R145">
        <f t="shared" si="37"/>
        <v>2</v>
      </c>
      <c r="S145">
        <f t="shared" si="38"/>
        <v>3</v>
      </c>
      <c r="T145">
        <f t="shared" si="39"/>
        <v>3</v>
      </c>
      <c r="U145">
        <v>100</v>
      </c>
      <c r="V145">
        <f t="shared" si="40"/>
        <v>1</v>
      </c>
      <c r="W145">
        <f t="shared" si="41"/>
        <v>0</v>
      </c>
      <c r="X145">
        <f t="shared" si="42"/>
        <v>0</v>
      </c>
      <c r="Y145">
        <f t="shared" si="43"/>
        <v>0</v>
      </c>
      <c r="Z145">
        <f t="shared" si="44"/>
        <v>0</v>
      </c>
      <c r="AA145">
        <f t="shared" si="45"/>
        <v>1</v>
      </c>
      <c r="AB145">
        <f t="shared" si="46"/>
        <v>0</v>
      </c>
      <c r="AC145">
        <f t="shared" si="47"/>
        <v>0</v>
      </c>
      <c r="AD145">
        <f t="shared" si="48"/>
        <v>0</v>
      </c>
      <c r="AE145">
        <f t="shared" si="49"/>
        <v>0</v>
      </c>
      <c r="AF145">
        <f t="shared" si="50"/>
        <v>0</v>
      </c>
      <c r="AG145">
        <f t="shared" si="51"/>
        <v>1</v>
      </c>
      <c r="AH145">
        <f t="shared" si="52"/>
        <v>0</v>
      </c>
      <c r="AI145">
        <f t="shared" si="53"/>
        <v>0</v>
      </c>
    </row>
    <row r="146" spans="1:35" x14ac:dyDescent="0.2">
      <c r="A146">
        <v>145</v>
      </c>
      <c r="B146" t="s">
        <v>16</v>
      </c>
      <c r="C146">
        <v>5</v>
      </c>
      <c r="D146" t="s">
        <v>510</v>
      </c>
      <c r="E146" t="s">
        <v>18</v>
      </c>
      <c r="F146" t="s">
        <v>18</v>
      </c>
      <c r="G146" t="s">
        <v>39</v>
      </c>
      <c r="H146" t="s">
        <v>21</v>
      </c>
      <c r="I146">
        <v>8</v>
      </c>
      <c r="J146">
        <v>3</v>
      </c>
      <c r="K146">
        <v>50</v>
      </c>
      <c r="L146" t="s">
        <v>53</v>
      </c>
      <c r="M146" t="s">
        <v>23</v>
      </c>
      <c r="N146" t="s">
        <v>24</v>
      </c>
      <c r="O146" t="s">
        <v>511</v>
      </c>
      <c r="P146" t="s">
        <v>512</v>
      </c>
      <c r="Q146">
        <f t="shared" si="36"/>
        <v>4</v>
      </c>
      <c r="R146">
        <f t="shared" si="37"/>
        <v>4</v>
      </c>
      <c r="S146">
        <f t="shared" si="38"/>
        <v>5</v>
      </c>
      <c r="T146">
        <f t="shared" si="39"/>
        <v>1</v>
      </c>
      <c r="U146">
        <v>50</v>
      </c>
      <c r="V146">
        <f t="shared" si="40"/>
        <v>0</v>
      </c>
      <c r="W146">
        <f t="shared" si="41"/>
        <v>0</v>
      </c>
      <c r="X146">
        <f t="shared" si="42"/>
        <v>1</v>
      </c>
      <c r="Y146">
        <f t="shared" si="43"/>
        <v>0</v>
      </c>
      <c r="Z146">
        <f t="shared" si="44"/>
        <v>0</v>
      </c>
      <c r="AA146">
        <f t="shared" si="45"/>
        <v>1</v>
      </c>
      <c r="AB146">
        <f t="shared" si="46"/>
        <v>0</v>
      </c>
      <c r="AC146">
        <f t="shared" si="47"/>
        <v>0</v>
      </c>
      <c r="AD146">
        <f t="shared" si="48"/>
        <v>0</v>
      </c>
      <c r="AE146">
        <f t="shared" si="49"/>
        <v>0</v>
      </c>
      <c r="AF146">
        <f t="shared" si="50"/>
        <v>0</v>
      </c>
      <c r="AG146">
        <f t="shared" si="51"/>
        <v>0</v>
      </c>
      <c r="AH146">
        <f t="shared" si="52"/>
        <v>1</v>
      </c>
      <c r="AI146">
        <f t="shared" si="53"/>
        <v>0</v>
      </c>
    </row>
    <row r="147" spans="1:35" x14ac:dyDescent="0.2">
      <c r="A147">
        <v>146</v>
      </c>
      <c r="B147" t="s">
        <v>16</v>
      </c>
      <c r="C147">
        <v>3</v>
      </c>
      <c r="D147" t="s">
        <v>513</v>
      </c>
      <c r="E147" t="s">
        <v>19</v>
      </c>
      <c r="F147" t="s">
        <v>18</v>
      </c>
      <c r="G147" t="s">
        <v>39</v>
      </c>
      <c r="H147" t="s">
        <v>18</v>
      </c>
      <c r="I147">
        <v>6</v>
      </c>
      <c r="J147">
        <v>6</v>
      </c>
      <c r="K147">
        <v>5</v>
      </c>
      <c r="L147" t="s">
        <v>514</v>
      </c>
      <c r="M147" t="s">
        <v>80</v>
      </c>
      <c r="N147" t="s">
        <v>24</v>
      </c>
      <c r="O147" t="s">
        <v>515</v>
      </c>
      <c r="P147" t="s">
        <v>516</v>
      </c>
      <c r="Q147">
        <f t="shared" si="36"/>
        <v>3</v>
      </c>
      <c r="R147">
        <f t="shared" si="37"/>
        <v>4</v>
      </c>
      <c r="S147">
        <f t="shared" si="38"/>
        <v>5</v>
      </c>
      <c r="T147">
        <f t="shared" si="39"/>
        <v>4</v>
      </c>
      <c r="U147">
        <v>5</v>
      </c>
      <c r="V147">
        <f t="shared" si="40"/>
        <v>1</v>
      </c>
      <c r="W147">
        <f t="shared" si="41"/>
        <v>1</v>
      </c>
      <c r="X147">
        <f t="shared" si="42"/>
        <v>0</v>
      </c>
      <c r="Y147">
        <f t="shared" si="43"/>
        <v>0</v>
      </c>
      <c r="Z147">
        <f t="shared" si="44"/>
        <v>1</v>
      </c>
      <c r="AA147">
        <f t="shared" si="45"/>
        <v>1</v>
      </c>
      <c r="AB147">
        <f t="shared" si="46"/>
        <v>1</v>
      </c>
      <c r="AC147">
        <f t="shared" si="47"/>
        <v>0</v>
      </c>
      <c r="AD147">
        <f t="shared" si="48"/>
        <v>0</v>
      </c>
      <c r="AE147">
        <f t="shared" si="49"/>
        <v>1</v>
      </c>
      <c r="AF147">
        <f t="shared" si="50"/>
        <v>0</v>
      </c>
      <c r="AG147">
        <f t="shared" si="51"/>
        <v>0</v>
      </c>
      <c r="AH147">
        <f t="shared" si="52"/>
        <v>1</v>
      </c>
      <c r="AI147">
        <f t="shared" si="53"/>
        <v>0</v>
      </c>
    </row>
    <row r="148" spans="1:35" x14ac:dyDescent="0.2">
      <c r="A148">
        <v>147</v>
      </c>
      <c r="B148" t="s">
        <v>16</v>
      </c>
      <c r="C148">
        <v>8</v>
      </c>
      <c r="D148" t="s">
        <v>517</v>
      </c>
      <c r="E148" t="s">
        <v>39</v>
      </c>
      <c r="F148" t="s">
        <v>18</v>
      </c>
      <c r="G148" t="s">
        <v>21</v>
      </c>
      <c r="H148" t="s">
        <v>39</v>
      </c>
      <c r="I148">
        <v>4</v>
      </c>
      <c r="J148">
        <v>5</v>
      </c>
      <c r="K148">
        <v>1500</v>
      </c>
      <c r="L148" t="s">
        <v>47</v>
      </c>
      <c r="M148" t="s">
        <v>23</v>
      </c>
      <c r="N148" t="s">
        <v>24</v>
      </c>
      <c r="O148" t="s">
        <v>518</v>
      </c>
      <c r="P148" t="s">
        <v>519</v>
      </c>
      <c r="Q148">
        <f t="shared" si="36"/>
        <v>5</v>
      </c>
      <c r="R148">
        <f t="shared" si="37"/>
        <v>4</v>
      </c>
      <c r="S148">
        <f t="shared" si="38"/>
        <v>1</v>
      </c>
      <c r="T148">
        <f t="shared" si="39"/>
        <v>5</v>
      </c>
      <c r="U148">
        <v>1500</v>
      </c>
      <c r="V148">
        <f t="shared" si="40"/>
        <v>0</v>
      </c>
      <c r="W148">
        <f t="shared" si="41"/>
        <v>0</v>
      </c>
      <c r="X148">
        <f t="shared" si="42"/>
        <v>1</v>
      </c>
      <c r="Y148">
        <f t="shared" si="43"/>
        <v>0</v>
      </c>
      <c r="Z148">
        <f t="shared" si="44"/>
        <v>1</v>
      </c>
      <c r="AA148">
        <f t="shared" si="45"/>
        <v>1</v>
      </c>
      <c r="AB148">
        <f t="shared" si="46"/>
        <v>0</v>
      </c>
      <c r="AC148">
        <f t="shared" si="47"/>
        <v>0</v>
      </c>
      <c r="AD148">
        <f t="shared" si="48"/>
        <v>0</v>
      </c>
      <c r="AE148">
        <f t="shared" si="49"/>
        <v>0</v>
      </c>
      <c r="AF148">
        <f t="shared" si="50"/>
        <v>0</v>
      </c>
      <c r="AG148">
        <f t="shared" si="51"/>
        <v>0</v>
      </c>
      <c r="AH148">
        <f t="shared" si="52"/>
        <v>1</v>
      </c>
      <c r="AI148">
        <f t="shared" si="53"/>
        <v>0</v>
      </c>
    </row>
    <row r="149" spans="1:35" x14ac:dyDescent="0.2">
      <c r="A149">
        <v>148</v>
      </c>
      <c r="B149" t="s">
        <v>16</v>
      </c>
      <c r="C149">
        <v>5</v>
      </c>
      <c r="D149" t="s">
        <v>520</v>
      </c>
      <c r="E149" t="s">
        <v>18</v>
      </c>
      <c r="F149" t="s">
        <v>20</v>
      </c>
      <c r="G149" t="s">
        <v>39</v>
      </c>
      <c r="H149" t="s">
        <v>18</v>
      </c>
      <c r="I149">
        <v>4</v>
      </c>
      <c r="J149">
        <v>4</v>
      </c>
      <c r="K149">
        <v>10000</v>
      </c>
      <c r="L149" t="s">
        <v>53</v>
      </c>
      <c r="M149" t="s">
        <v>23</v>
      </c>
      <c r="N149" t="s">
        <v>36</v>
      </c>
      <c r="O149" t="s">
        <v>322</v>
      </c>
      <c r="P149" t="s">
        <v>521</v>
      </c>
      <c r="Q149">
        <f t="shared" si="36"/>
        <v>4</v>
      </c>
      <c r="R149">
        <f t="shared" si="37"/>
        <v>2</v>
      </c>
      <c r="S149">
        <f t="shared" si="38"/>
        <v>5</v>
      </c>
      <c r="T149">
        <f t="shared" si="39"/>
        <v>4</v>
      </c>
      <c r="U149">
        <v>10000</v>
      </c>
      <c r="V149">
        <f t="shared" si="40"/>
        <v>0</v>
      </c>
      <c r="W149">
        <f t="shared" si="41"/>
        <v>0</v>
      </c>
      <c r="X149">
        <f t="shared" si="42"/>
        <v>1</v>
      </c>
      <c r="Y149">
        <f t="shared" si="43"/>
        <v>0</v>
      </c>
      <c r="Z149">
        <f t="shared" si="44"/>
        <v>0</v>
      </c>
      <c r="AA149">
        <f t="shared" si="45"/>
        <v>1</v>
      </c>
      <c r="AB149">
        <f t="shared" si="46"/>
        <v>0</v>
      </c>
      <c r="AC149">
        <f t="shared" si="47"/>
        <v>0</v>
      </c>
      <c r="AD149">
        <f t="shared" si="48"/>
        <v>0</v>
      </c>
      <c r="AE149">
        <f t="shared" si="49"/>
        <v>0</v>
      </c>
      <c r="AF149">
        <f t="shared" si="50"/>
        <v>0</v>
      </c>
      <c r="AG149">
        <f t="shared" si="51"/>
        <v>0</v>
      </c>
      <c r="AH149">
        <f t="shared" si="52"/>
        <v>0</v>
      </c>
      <c r="AI149">
        <f t="shared" si="53"/>
        <v>1</v>
      </c>
    </row>
    <row r="150" spans="1:35" x14ac:dyDescent="0.2">
      <c r="A150">
        <v>149</v>
      </c>
      <c r="B150" t="s">
        <v>16</v>
      </c>
      <c r="C150">
        <v>6</v>
      </c>
      <c r="D150" t="s">
        <v>522</v>
      </c>
      <c r="E150" t="s">
        <v>18</v>
      </c>
      <c r="F150" t="s">
        <v>20</v>
      </c>
      <c r="G150" t="s">
        <v>20</v>
      </c>
      <c r="H150" t="s">
        <v>19</v>
      </c>
      <c r="I150">
        <v>4</v>
      </c>
      <c r="J150">
        <v>3</v>
      </c>
      <c r="K150">
        <v>30</v>
      </c>
      <c r="L150" t="s">
        <v>66</v>
      </c>
      <c r="M150" t="s">
        <v>135</v>
      </c>
      <c r="N150" t="s">
        <v>49</v>
      </c>
      <c r="O150" t="s">
        <v>409</v>
      </c>
      <c r="P150" t="s">
        <v>523</v>
      </c>
      <c r="Q150">
        <f t="shared" si="36"/>
        <v>4</v>
      </c>
      <c r="R150">
        <f t="shared" si="37"/>
        <v>2</v>
      </c>
      <c r="S150">
        <f t="shared" si="38"/>
        <v>2</v>
      </c>
      <c r="T150">
        <f t="shared" si="39"/>
        <v>3</v>
      </c>
      <c r="U150">
        <v>30</v>
      </c>
      <c r="V150">
        <f t="shared" si="40"/>
        <v>0</v>
      </c>
      <c r="W150">
        <f t="shared" si="41"/>
        <v>1</v>
      </c>
      <c r="X150">
        <f t="shared" si="42"/>
        <v>1</v>
      </c>
      <c r="Y150">
        <f t="shared" si="43"/>
        <v>0</v>
      </c>
      <c r="Z150">
        <f t="shared" si="44"/>
        <v>0</v>
      </c>
      <c r="AA150">
        <f t="shared" si="45"/>
        <v>1</v>
      </c>
      <c r="AB150">
        <f t="shared" si="46"/>
        <v>1</v>
      </c>
      <c r="AC150">
        <f t="shared" si="47"/>
        <v>0</v>
      </c>
      <c r="AD150">
        <f t="shared" si="48"/>
        <v>0</v>
      </c>
      <c r="AE150">
        <f t="shared" si="49"/>
        <v>0</v>
      </c>
      <c r="AF150">
        <f t="shared" si="50"/>
        <v>0</v>
      </c>
      <c r="AG150">
        <f t="shared" si="51"/>
        <v>1</v>
      </c>
      <c r="AH150">
        <f t="shared" si="52"/>
        <v>1</v>
      </c>
      <c r="AI150">
        <f t="shared" si="53"/>
        <v>0</v>
      </c>
    </row>
    <row r="151" spans="1:35" x14ac:dyDescent="0.2">
      <c r="A151">
        <v>150</v>
      </c>
      <c r="B151" t="s">
        <v>16</v>
      </c>
      <c r="C151">
        <v>8</v>
      </c>
      <c r="D151" t="s">
        <v>524</v>
      </c>
      <c r="E151" t="s">
        <v>20</v>
      </c>
      <c r="F151" t="s">
        <v>20</v>
      </c>
      <c r="G151" t="s">
        <v>20</v>
      </c>
      <c r="H151" t="s">
        <v>18</v>
      </c>
      <c r="I151">
        <v>4</v>
      </c>
      <c r="J151">
        <v>5</v>
      </c>
      <c r="K151">
        <v>10000</v>
      </c>
      <c r="L151" t="s">
        <v>41</v>
      </c>
      <c r="M151" t="s">
        <v>80</v>
      </c>
      <c r="N151" t="s">
        <v>84</v>
      </c>
      <c r="O151" t="s">
        <v>525</v>
      </c>
      <c r="P151" t="s">
        <v>526</v>
      </c>
      <c r="Q151">
        <f t="shared" si="36"/>
        <v>2</v>
      </c>
      <c r="R151">
        <f t="shared" si="37"/>
        <v>2</v>
      </c>
      <c r="S151">
        <f t="shared" si="38"/>
        <v>2</v>
      </c>
      <c r="T151">
        <f t="shared" si="39"/>
        <v>4</v>
      </c>
      <c r="U151">
        <v>10000</v>
      </c>
      <c r="V151">
        <f t="shared" si="40"/>
        <v>0</v>
      </c>
      <c r="W151">
        <f t="shared" si="41"/>
        <v>0</v>
      </c>
      <c r="X151">
        <f t="shared" si="42"/>
        <v>0</v>
      </c>
      <c r="Y151">
        <f t="shared" si="43"/>
        <v>0</v>
      </c>
      <c r="Z151">
        <f t="shared" si="44"/>
        <v>1</v>
      </c>
      <c r="AA151">
        <f t="shared" si="45"/>
        <v>1</v>
      </c>
      <c r="AB151">
        <f t="shared" si="46"/>
        <v>1</v>
      </c>
      <c r="AC151">
        <f t="shared" si="47"/>
        <v>0</v>
      </c>
      <c r="AD151">
        <f t="shared" si="48"/>
        <v>0</v>
      </c>
      <c r="AE151">
        <f t="shared" si="49"/>
        <v>1</v>
      </c>
      <c r="AF151">
        <f t="shared" si="50"/>
        <v>0</v>
      </c>
      <c r="AG151">
        <f t="shared" si="51"/>
        <v>1</v>
      </c>
      <c r="AH151">
        <f t="shared" si="52"/>
        <v>0</v>
      </c>
      <c r="AI151">
        <f t="shared" si="53"/>
        <v>0</v>
      </c>
    </row>
    <row r="152" spans="1:35" x14ac:dyDescent="0.2">
      <c r="A152">
        <v>151</v>
      </c>
      <c r="B152" t="s">
        <v>16</v>
      </c>
      <c r="C152">
        <v>8</v>
      </c>
      <c r="D152" t="s">
        <v>527</v>
      </c>
      <c r="E152" t="s">
        <v>18</v>
      </c>
      <c r="F152" t="s">
        <v>20</v>
      </c>
      <c r="G152" t="s">
        <v>20</v>
      </c>
      <c r="H152" t="s">
        <v>18</v>
      </c>
      <c r="I152">
        <v>4</v>
      </c>
      <c r="J152">
        <v>4</v>
      </c>
      <c r="K152" s="1">
        <v>35</v>
      </c>
      <c r="L152" t="s">
        <v>98</v>
      </c>
      <c r="M152" t="s">
        <v>35</v>
      </c>
      <c r="N152" t="s">
        <v>36</v>
      </c>
      <c r="O152" t="s">
        <v>528</v>
      </c>
      <c r="P152" t="s">
        <v>529</v>
      </c>
      <c r="Q152">
        <f t="shared" si="36"/>
        <v>4</v>
      </c>
      <c r="R152">
        <f t="shared" si="37"/>
        <v>2</v>
      </c>
      <c r="S152">
        <f t="shared" si="38"/>
        <v>2</v>
      </c>
      <c r="T152">
        <f t="shared" si="39"/>
        <v>4</v>
      </c>
      <c r="U152">
        <v>35</v>
      </c>
      <c r="V152">
        <f t="shared" si="40"/>
        <v>0</v>
      </c>
      <c r="W152">
        <f t="shared" si="41"/>
        <v>1</v>
      </c>
      <c r="X152">
        <f t="shared" si="42"/>
        <v>0</v>
      </c>
      <c r="Y152">
        <f t="shared" si="43"/>
        <v>0</v>
      </c>
      <c r="Z152">
        <f t="shared" si="44"/>
        <v>0</v>
      </c>
      <c r="AA152">
        <f t="shared" si="45"/>
        <v>0</v>
      </c>
      <c r="AB152">
        <f t="shared" si="46"/>
        <v>0</v>
      </c>
      <c r="AC152">
        <f t="shared" si="47"/>
        <v>0</v>
      </c>
      <c r="AD152">
        <f t="shared" si="48"/>
        <v>1</v>
      </c>
      <c r="AE152">
        <f t="shared" si="49"/>
        <v>0</v>
      </c>
      <c r="AF152">
        <f t="shared" si="50"/>
        <v>0</v>
      </c>
      <c r="AG152">
        <f t="shared" si="51"/>
        <v>0</v>
      </c>
      <c r="AH152">
        <f t="shared" si="52"/>
        <v>0</v>
      </c>
      <c r="AI152">
        <f t="shared" si="53"/>
        <v>1</v>
      </c>
    </row>
    <row r="153" spans="1:35" x14ac:dyDescent="0.2">
      <c r="A153">
        <v>152</v>
      </c>
      <c r="B153" t="s">
        <v>16</v>
      </c>
      <c r="C153">
        <v>2</v>
      </c>
      <c r="D153" t="s">
        <v>530</v>
      </c>
      <c r="E153" t="s">
        <v>21</v>
      </c>
      <c r="F153" t="s">
        <v>21</v>
      </c>
      <c r="G153" t="s">
        <v>21</v>
      </c>
      <c r="H153" t="s">
        <v>39</v>
      </c>
      <c r="I153">
        <v>4</v>
      </c>
      <c r="J153">
        <v>4</v>
      </c>
      <c r="K153">
        <v>5</v>
      </c>
      <c r="L153" t="s">
        <v>22</v>
      </c>
      <c r="M153" t="s">
        <v>23</v>
      </c>
      <c r="N153" t="s">
        <v>84</v>
      </c>
      <c r="O153" t="s">
        <v>531</v>
      </c>
      <c r="P153" t="s">
        <v>532</v>
      </c>
      <c r="Q153">
        <f t="shared" si="36"/>
        <v>1</v>
      </c>
      <c r="R153">
        <f t="shared" si="37"/>
        <v>1</v>
      </c>
      <c r="S153">
        <f t="shared" si="38"/>
        <v>1</v>
      </c>
      <c r="T153">
        <f t="shared" si="39"/>
        <v>5</v>
      </c>
      <c r="U153">
        <v>5</v>
      </c>
      <c r="V153">
        <f t="shared" si="40"/>
        <v>1</v>
      </c>
      <c r="W153">
        <f t="shared" si="41"/>
        <v>0</v>
      </c>
      <c r="X153">
        <f t="shared" si="42"/>
        <v>0</v>
      </c>
      <c r="Y153">
        <f t="shared" si="43"/>
        <v>0</v>
      </c>
      <c r="Z153">
        <f t="shared" si="44"/>
        <v>0</v>
      </c>
      <c r="AA153">
        <f t="shared" si="45"/>
        <v>1</v>
      </c>
      <c r="AB153">
        <f t="shared" si="46"/>
        <v>0</v>
      </c>
      <c r="AC153">
        <f t="shared" si="47"/>
        <v>0</v>
      </c>
      <c r="AD153">
        <f t="shared" si="48"/>
        <v>0</v>
      </c>
      <c r="AE153">
        <f t="shared" si="49"/>
        <v>0</v>
      </c>
      <c r="AF153">
        <f t="shared" si="50"/>
        <v>0</v>
      </c>
      <c r="AG153">
        <f t="shared" si="51"/>
        <v>1</v>
      </c>
      <c r="AH153">
        <f t="shared" si="52"/>
        <v>0</v>
      </c>
      <c r="AI153">
        <f t="shared" si="53"/>
        <v>0</v>
      </c>
    </row>
    <row r="154" spans="1:35" x14ac:dyDescent="0.2">
      <c r="A154">
        <v>153</v>
      </c>
      <c r="B154" t="s">
        <v>16</v>
      </c>
      <c r="C154">
        <v>4</v>
      </c>
      <c r="D154" t="s">
        <v>533</v>
      </c>
      <c r="E154" t="s">
        <v>19</v>
      </c>
      <c r="F154" t="s">
        <v>18</v>
      </c>
      <c r="G154" t="s">
        <v>39</v>
      </c>
      <c r="H154" t="s">
        <v>21</v>
      </c>
      <c r="I154">
        <v>4</v>
      </c>
      <c r="J154">
        <v>6</v>
      </c>
      <c r="K154">
        <v>20</v>
      </c>
      <c r="L154" t="s">
        <v>22</v>
      </c>
      <c r="M154" t="s">
        <v>23</v>
      </c>
      <c r="N154" t="s">
        <v>24</v>
      </c>
      <c r="O154" t="s">
        <v>534</v>
      </c>
      <c r="P154" t="s">
        <v>535</v>
      </c>
      <c r="Q154">
        <f t="shared" si="36"/>
        <v>3</v>
      </c>
      <c r="R154">
        <f t="shared" si="37"/>
        <v>4</v>
      </c>
      <c r="S154">
        <f t="shared" si="38"/>
        <v>5</v>
      </c>
      <c r="T154">
        <f t="shared" si="39"/>
        <v>1</v>
      </c>
      <c r="U154">
        <v>20</v>
      </c>
      <c r="V154">
        <f t="shared" si="40"/>
        <v>1</v>
      </c>
      <c r="W154">
        <f t="shared" si="41"/>
        <v>0</v>
      </c>
      <c r="X154">
        <f t="shared" si="42"/>
        <v>0</v>
      </c>
      <c r="Y154">
        <f t="shared" si="43"/>
        <v>0</v>
      </c>
      <c r="Z154">
        <f t="shared" si="44"/>
        <v>0</v>
      </c>
      <c r="AA154">
        <f t="shared" si="45"/>
        <v>1</v>
      </c>
      <c r="AB154">
        <f t="shared" si="46"/>
        <v>0</v>
      </c>
      <c r="AC154">
        <f t="shared" si="47"/>
        <v>0</v>
      </c>
      <c r="AD154">
        <f t="shared" si="48"/>
        <v>0</v>
      </c>
      <c r="AE154">
        <f t="shared" si="49"/>
        <v>0</v>
      </c>
      <c r="AF154">
        <f t="shared" si="50"/>
        <v>0</v>
      </c>
      <c r="AG154">
        <f t="shared" si="51"/>
        <v>0</v>
      </c>
      <c r="AH154">
        <f t="shared" si="52"/>
        <v>1</v>
      </c>
      <c r="AI154">
        <f t="shared" si="53"/>
        <v>0</v>
      </c>
    </row>
    <row r="155" spans="1:35" x14ac:dyDescent="0.2">
      <c r="A155">
        <v>154</v>
      </c>
      <c r="B155" t="s">
        <v>16</v>
      </c>
      <c r="C155">
        <v>8</v>
      </c>
      <c r="D155" t="s">
        <v>536</v>
      </c>
      <c r="E155" t="s">
        <v>18</v>
      </c>
      <c r="F155" t="s">
        <v>19</v>
      </c>
      <c r="G155" t="s">
        <v>20</v>
      </c>
      <c r="H155" t="s">
        <v>18</v>
      </c>
      <c r="I155">
        <v>3</v>
      </c>
      <c r="J155">
        <v>7</v>
      </c>
      <c r="K155">
        <v>5</v>
      </c>
      <c r="L155" t="s">
        <v>22</v>
      </c>
      <c r="M155" t="s">
        <v>23</v>
      </c>
      <c r="N155" t="s">
        <v>24</v>
      </c>
      <c r="O155" t="s">
        <v>537</v>
      </c>
      <c r="P155" t="s">
        <v>538</v>
      </c>
      <c r="Q155">
        <f t="shared" si="36"/>
        <v>4</v>
      </c>
      <c r="R155">
        <f t="shared" si="37"/>
        <v>3</v>
      </c>
      <c r="S155">
        <f t="shared" si="38"/>
        <v>2</v>
      </c>
      <c r="T155">
        <f t="shared" si="39"/>
        <v>4</v>
      </c>
      <c r="U155">
        <v>5</v>
      </c>
      <c r="V155">
        <f t="shared" si="40"/>
        <v>1</v>
      </c>
      <c r="W155">
        <f t="shared" si="41"/>
        <v>0</v>
      </c>
      <c r="X155">
        <f t="shared" si="42"/>
        <v>0</v>
      </c>
      <c r="Y155">
        <f t="shared" si="43"/>
        <v>0</v>
      </c>
      <c r="Z155">
        <f t="shared" si="44"/>
        <v>0</v>
      </c>
      <c r="AA155">
        <f t="shared" si="45"/>
        <v>1</v>
      </c>
      <c r="AB155">
        <f t="shared" si="46"/>
        <v>0</v>
      </c>
      <c r="AC155">
        <f t="shared" si="47"/>
        <v>0</v>
      </c>
      <c r="AD155">
        <f t="shared" si="48"/>
        <v>0</v>
      </c>
      <c r="AE155">
        <f t="shared" si="49"/>
        <v>0</v>
      </c>
      <c r="AF155">
        <f t="shared" si="50"/>
        <v>0</v>
      </c>
      <c r="AG155">
        <f t="shared" si="51"/>
        <v>0</v>
      </c>
      <c r="AH155">
        <f t="shared" si="52"/>
        <v>1</v>
      </c>
      <c r="AI155">
        <f t="shared" si="53"/>
        <v>0</v>
      </c>
    </row>
    <row r="156" spans="1:35" x14ac:dyDescent="0.2">
      <c r="A156">
        <v>155</v>
      </c>
      <c r="B156" t="s">
        <v>16</v>
      </c>
      <c r="C156">
        <v>6</v>
      </c>
      <c r="D156" t="s">
        <v>539</v>
      </c>
      <c r="E156" t="s">
        <v>20</v>
      </c>
      <c r="F156" t="s">
        <v>19</v>
      </c>
      <c r="G156" t="s">
        <v>18</v>
      </c>
      <c r="H156" t="s">
        <v>20</v>
      </c>
      <c r="I156">
        <v>5</v>
      </c>
      <c r="J156">
        <v>5</v>
      </c>
      <c r="K156">
        <v>10000</v>
      </c>
      <c r="L156" t="s">
        <v>53</v>
      </c>
      <c r="M156" t="s">
        <v>179</v>
      </c>
      <c r="N156" t="s">
        <v>84</v>
      </c>
      <c r="O156" t="s">
        <v>540</v>
      </c>
      <c r="P156" t="s">
        <v>541</v>
      </c>
      <c r="Q156">
        <f t="shared" si="36"/>
        <v>2</v>
      </c>
      <c r="R156">
        <f t="shared" si="37"/>
        <v>3</v>
      </c>
      <c r="S156">
        <f t="shared" si="38"/>
        <v>4</v>
      </c>
      <c r="T156">
        <f t="shared" si="39"/>
        <v>2</v>
      </c>
      <c r="U156">
        <v>10000</v>
      </c>
      <c r="V156">
        <f t="shared" si="40"/>
        <v>0</v>
      </c>
      <c r="W156">
        <f t="shared" si="41"/>
        <v>0</v>
      </c>
      <c r="X156">
        <f t="shared" si="42"/>
        <v>1</v>
      </c>
      <c r="Y156">
        <f t="shared" si="43"/>
        <v>0</v>
      </c>
      <c r="Z156">
        <f t="shared" si="44"/>
        <v>0</v>
      </c>
      <c r="AA156">
        <f t="shared" si="45"/>
        <v>0</v>
      </c>
      <c r="AB156">
        <f t="shared" si="46"/>
        <v>0</v>
      </c>
      <c r="AC156">
        <f t="shared" si="47"/>
        <v>0</v>
      </c>
      <c r="AD156">
        <f t="shared" si="48"/>
        <v>1</v>
      </c>
      <c r="AE156">
        <f t="shared" si="49"/>
        <v>1</v>
      </c>
      <c r="AF156">
        <f t="shared" si="50"/>
        <v>0</v>
      </c>
      <c r="AG156">
        <f t="shared" si="51"/>
        <v>1</v>
      </c>
      <c r="AH156">
        <f t="shared" si="52"/>
        <v>0</v>
      </c>
      <c r="AI156">
        <f t="shared" si="53"/>
        <v>0</v>
      </c>
    </row>
    <row r="157" spans="1:35" x14ac:dyDescent="0.2">
      <c r="A157">
        <v>156</v>
      </c>
      <c r="B157" t="s">
        <v>16</v>
      </c>
      <c r="C157">
        <v>7.5</v>
      </c>
      <c r="D157" t="s">
        <v>542</v>
      </c>
      <c r="E157" t="s">
        <v>18</v>
      </c>
      <c r="F157" t="s">
        <v>20</v>
      </c>
      <c r="G157" t="s">
        <v>20</v>
      </c>
      <c r="H157" t="s">
        <v>18</v>
      </c>
      <c r="I157">
        <v>4</v>
      </c>
      <c r="J157">
        <v>7</v>
      </c>
      <c r="K157">
        <v>25000</v>
      </c>
      <c r="L157" t="s">
        <v>53</v>
      </c>
      <c r="M157" t="s">
        <v>23</v>
      </c>
      <c r="N157" t="s">
        <v>36</v>
      </c>
      <c r="O157" t="s">
        <v>543</v>
      </c>
      <c r="P157" t="s">
        <v>544</v>
      </c>
      <c r="Q157">
        <f t="shared" si="36"/>
        <v>4</v>
      </c>
      <c r="R157">
        <f t="shared" si="37"/>
        <v>2</v>
      </c>
      <c r="S157">
        <f t="shared" si="38"/>
        <v>2</v>
      </c>
      <c r="T157">
        <f t="shared" si="39"/>
        <v>4</v>
      </c>
      <c r="U157">
        <v>25000</v>
      </c>
      <c r="V157">
        <f t="shared" si="40"/>
        <v>0</v>
      </c>
      <c r="W157">
        <f t="shared" si="41"/>
        <v>0</v>
      </c>
      <c r="X157">
        <f t="shared" si="42"/>
        <v>1</v>
      </c>
      <c r="Y157">
        <f t="shared" si="43"/>
        <v>0</v>
      </c>
      <c r="Z157">
        <f t="shared" si="44"/>
        <v>0</v>
      </c>
      <c r="AA157">
        <f t="shared" si="45"/>
        <v>1</v>
      </c>
      <c r="AB157">
        <f t="shared" si="46"/>
        <v>0</v>
      </c>
      <c r="AC157">
        <f t="shared" si="47"/>
        <v>0</v>
      </c>
      <c r="AD157">
        <f t="shared" si="48"/>
        <v>0</v>
      </c>
      <c r="AE157">
        <f t="shared" si="49"/>
        <v>0</v>
      </c>
      <c r="AF157">
        <f t="shared" si="50"/>
        <v>0</v>
      </c>
      <c r="AG157">
        <f t="shared" si="51"/>
        <v>0</v>
      </c>
      <c r="AH157">
        <f t="shared" si="52"/>
        <v>0</v>
      </c>
      <c r="AI157">
        <f t="shared" si="53"/>
        <v>1</v>
      </c>
    </row>
    <row r="158" spans="1:35" x14ac:dyDescent="0.2">
      <c r="A158">
        <v>157</v>
      </c>
      <c r="B158" t="s">
        <v>16</v>
      </c>
      <c r="C158">
        <v>7</v>
      </c>
      <c r="D158" t="s">
        <v>545</v>
      </c>
      <c r="E158" t="s">
        <v>18</v>
      </c>
      <c r="F158" t="s">
        <v>20</v>
      </c>
      <c r="G158" t="s">
        <v>20</v>
      </c>
      <c r="H158" t="s">
        <v>18</v>
      </c>
      <c r="I158">
        <v>4</v>
      </c>
      <c r="J158">
        <v>7</v>
      </c>
      <c r="K158">
        <v>50</v>
      </c>
      <c r="L158" t="s">
        <v>53</v>
      </c>
      <c r="M158" t="s">
        <v>23</v>
      </c>
      <c r="N158" t="s">
        <v>36</v>
      </c>
      <c r="O158" t="s">
        <v>546</v>
      </c>
      <c r="P158" t="s">
        <v>547</v>
      </c>
      <c r="Q158">
        <f t="shared" si="36"/>
        <v>4</v>
      </c>
      <c r="R158">
        <f t="shared" si="37"/>
        <v>2</v>
      </c>
      <c r="S158">
        <f t="shared" si="38"/>
        <v>2</v>
      </c>
      <c r="T158">
        <f t="shared" si="39"/>
        <v>4</v>
      </c>
      <c r="U158">
        <v>50</v>
      </c>
      <c r="V158">
        <f t="shared" si="40"/>
        <v>0</v>
      </c>
      <c r="W158">
        <f t="shared" si="41"/>
        <v>0</v>
      </c>
      <c r="X158">
        <f t="shared" si="42"/>
        <v>1</v>
      </c>
      <c r="Y158">
        <f t="shared" si="43"/>
        <v>0</v>
      </c>
      <c r="Z158">
        <f t="shared" si="44"/>
        <v>0</v>
      </c>
      <c r="AA158">
        <f t="shared" si="45"/>
        <v>1</v>
      </c>
      <c r="AB158">
        <f t="shared" si="46"/>
        <v>0</v>
      </c>
      <c r="AC158">
        <f t="shared" si="47"/>
        <v>0</v>
      </c>
      <c r="AD158">
        <f t="shared" si="48"/>
        <v>0</v>
      </c>
      <c r="AE158">
        <f t="shared" si="49"/>
        <v>0</v>
      </c>
      <c r="AF158">
        <f t="shared" si="50"/>
        <v>0</v>
      </c>
      <c r="AG158">
        <f t="shared" si="51"/>
        <v>0</v>
      </c>
      <c r="AH158">
        <f t="shared" si="52"/>
        <v>0</v>
      </c>
      <c r="AI158">
        <f t="shared" si="53"/>
        <v>1</v>
      </c>
    </row>
    <row r="159" spans="1:35" x14ac:dyDescent="0.2">
      <c r="A159">
        <v>158</v>
      </c>
      <c r="B159" t="s">
        <v>16</v>
      </c>
      <c r="C159">
        <v>7</v>
      </c>
      <c r="D159" t="s">
        <v>548</v>
      </c>
      <c r="E159" t="s">
        <v>18</v>
      </c>
      <c r="F159" t="s">
        <v>19</v>
      </c>
      <c r="G159" t="s">
        <v>20</v>
      </c>
      <c r="H159" t="s">
        <v>18</v>
      </c>
      <c r="I159">
        <v>4</v>
      </c>
      <c r="J159">
        <v>4</v>
      </c>
      <c r="K159">
        <v>300</v>
      </c>
      <c r="L159" t="s">
        <v>53</v>
      </c>
      <c r="M159" t="s">
        <v>135</v>
      </c>
      <c r="N159" t="s">
        <v>24</v>
      </c>
      <c r="O159" t="s">
        <v>549</v>
      </c>
      <c r="P159" t="s">
        <v>550</v>
      </c>
      <c r="Q159">
        <f t="shared" si="36"/>
        <v>4</v>
      </c>
      <c r="R159">
        <f t="shared" si="37"/>
        <v>3</v>
      </c>
      <c r="S159">
        <f t="shared" si="38"/>
        <v>2</v>
      </c>
      <c r="T159">
        <f t="shared" si="39"/>
        <v>4</v>
      </c>
      <c r="U159">
        <v>300</v>
      </c>
      <c r="V159">
        <f t="shared" si="40"/>
        <v>0</v>
      </c>
      <c r="W159">
        <f t="shared" si="41"/>
        <v>0</v>
      </c>
      <c r="X159">
        <f t="shared" si="42"/>
        <v>1</v>
      </c>
      <c r="Y159">
        <f t="shared" si="43"/>
        <v>0</v>
      </c>
      <c r="Z159">
        <f t="shared" si="44"/>
        <v>0</v>
      </c>
      <c r="AA159">
        <f t="shared" si="45"/>
        <v>1</v>
      </c>
      <c r="AB159">
        <f t="shared" si="46"/>
        <v>1</v>
      </c>
      <c r="AC159">
        <f t="shared" si="47"/>
        <v>0</v>
      </c>
      <c r="AD159">
        <f t="shared" si="48"/>
        <v>0</v>
      </c>
      <c r="AE159">
        <f t="shared" si="49"/>
        <v>0</v>
      </c>
      <c r="AF159">
        <f t="shared" si="50"/>
        <v>0</v>
      </c>
      <c r="AG159">
        <f t="shared" si="51"/>
        <v>0</v>
      </c>
      <c r="AH159">
        <f t="shared" si="52"/>
        <v>1</v>
      </c>
      <c r="AI159">
        <f t="shared" si="53"/>
        <v>0</v>
      </c>
    </row>
    <row r="160" spans="1:35" x14ac:dyDescent="0.2">
      <c r="A160">
        <v>159</v>
      </c>
      <c r="B160" t="s">
        <v>16</v>
      </c>
      <c r="C160">
        <v>6</v>
      </c>
      <c r="D160" t="s">
        <v>551</v>
      </c>
      <c r="E160" t="s">
        <v>18</v>
      </c>
      <c r="F160" t="s">
        <v>20</v>
      </c>
      <c r="G160" t="s">
        <v>19</v>
      </c>
      <c r="H160" t="s">
        <v>18</v>
      </c>
      <c r="I160">
        <v>3</v>
      </c>
      <c r="J160">
        <v>4</v>
      </c>
      <c r="K160" t="s">
        <v>552</v>
      </c>
      <c r="L160" t="s">
        <v>53</v>
      </c>
      <c r="M160" t="s">
        <v>23</v>
      </c>
      <c r="N160" t="s">
        <v>215</v>
      </c>
      <c r="O160" t="s">
        <v>553</v>
      </c>
      <c r="P160" t="s">
        <v>554</v>
      </c>
      <c r="Q160">
        <f t="shared" si="36"/>
        <v>4</v>
      </c>
      <c r="R160">
        <f t="shared" si="37"/>
        <v>2</v>
      </c>
      <c r="S160">
        <f t="shared" si="38"/>
        <v>3</v>
      </c>
      <c r="T160">
        <f t="shared" si="39"/>
        <v>4</v>
      </c>
      <c r="U160">
        <v>5</v>
      </c>
      <c r="V160">
        <f t="shared" si="40"/>
        <v>0</v>
      </c>
      <c r="W160">
        <f t="shared" si="41"/>
        <v>0</v>
      </c>
      <c r="X160">
        <f t="shared" si="42"/>
        <v>1</v>
      </c>
      <c r="Y160">
        <f t="shared" si="43"/>
        <v>0</v>
      </c>
      <c r="Z160">
        <f t="shared" si="44"/>
        <v>0</v>
      </c>
      <c r="AA160">
        <f t="shared" si="45"/>
        <v>1</v>
      </c>
      <c r="AB160">
        <f t="shared" si="46"/>
        <v>0</v>
      </c>
      <c r="AC160">
        <f t="shared" si="47"/>
        <v>0</v>
      </c>
      <c r="AD160">
        <f t="shared" si="48"/>
        <v>0</v>
      </c>
      <c r="AE160">
        <f t="shared" si="49"/>
        <v>0</v>
      </c>
      <c r="AF160">
        <f t="shared" si="50"/>
        <v>1</v>
      </c>
      <c r="AG160">
        <f t="shared" si="51"/>
        <v>0</v>
      </c>
      <c r="AH160">
        <f t="shared" si="52"/>
        <v>0</v>
      </c>
      <c r="AI160">
        <f t="shared" si="53"/>
        <v>0</v>
      </c>
    </row>
    <row r="161" spans="1:35" x14ac:dyDescent="0.2">
      <c r="A161">
        <v>160</v>
      </c>
      <c r="B161" t="s">
        <v>16</v>
      </c>
      <c r="C161">
        <v>7</v>
      </c>
      <c r="D161" t="s">
        <v>555</v>
      </c>
      <c r="E161" t="s">
        <v>39</v>
      </c>
      <c r="F161" t="s">
        <v>21</v>
      </c>
      <c r="G161" t="s">
        <v>20</v>
      </c>
      <c r="H161" t="s">
        <v>39</v>
      </c>
      <c r="I161">
        <v>4</v>
      </c>
      <c r="J161">
        <v>5</v>
      </c>
      <c r="K161">
        <v>100</v>
      </c>
      <c r="L161" t="s">
        <v>41</v>
      </c>
      <c r="M161" t="s">
        <v>135</v>
      </c>
      <c r="N161" t="s">
        <v>24</v>
      </c>
      <c r="O161" t="s">
        <v>556</v>
      </c>
      <c r="P161" t="s">
        <v>557</v>
      </c>
      <c r="Q161">
        <f t="shared" si="36"/>
        <v>5</v>
      </c>
      <c r="R161">
        <f t="shared" si="37"/>
        <v>1</v>
      </c>
      <c r="S161">
        <f t="shared" si="38"/>
        <v>2</v>
      </c>
      <c r="T161">
        <f t="shared" si="39"/>
        <v>5</v>
      </c>
      <c r="U161">
        <v>100</v>
      </c>
      <c r="V161">
        <f t="shared" si="40"/>
        <v>0</v>
      </c>
      <c r="W161">
        <f t="shared" si="41"/>
        <v>0</v>
      </c>
      <c r="X161">
        <f t="shared" si="42"/>
        <v>0</v>
      </c>
      <c r="Y161">
        <f t="shared" si="43"/>
        <v>0</v>
      </c>
      <c r="Z161">
        <f t="shared" si="44"/>
        <v>1</v>
      </c>
      <c r="AA161">
        <f t="shared" si="45"/>
        <v>1</v>
      </c>
      <c r="AB161">
        <f t="shared" si="46"/>
        <v>1</v>
      </c>
      <c r="AC161">
        <f t="shared" si="47"/>
        <v>0</v>
      </c>
      <c r="AD161">
        <f t="shared" si="48"/>
        <v>0</v>
      </c>
      <c r="AE161">
        <f t="shared" si="49"/>
        <v>0</v>
      </c>
      <c r="AF161">
        <f t="shared" si="50"/>
        <v>0</v>
      </c>
      <c r="AG161">
        <f t="shared" si="51"/>
        <v>0</v>
      </c>
      <c r="AH161">
        <f t="shared" si="52"/>
        <v>1</v>
      </c>
      <c r="AI161">
        <f t="shared" si="53"/>
        <v>0</v>
      </c>
    </row>
    <row r="162" spans="1:35" x14ac:dyDescent="0.2">
      <c r="A162">
        <v>161</v>
      </c>
      <c r="B162" t="s">
        <v>16</v>
      </c>
      <c r="C162">
        <v>4</v>
      </c>
      <c r="D162" t="s">
        <v>558</v>
      </c>
      <c r="E162" t="s">
        <v>18</v>
      </c>
      <c r="F162" t="s">
        <v>18</v>
      </c>
      <c r="G162" t="s">
        <v>19</v>
      </c>
      <c r="H162" t="s">
        <v>39</v>
      </c>
      <c r="I162">
        <v>5</v>
      </c>
      <c r="J162">
        <v>6</v>
      </c>
      <c r="K162">
        <v>100</v>
      </c>
      <c r="L162" t="s">
        <v>128</v>
      </c>
      <c r="M162" t="s">
        <v>268</v>
      </c>
      <c r="N162" t="s">
        <v>147</v>
      </c>
      <c r="O162" t="s">
        <v>559</v>
      </c>
      <c r="P162" t="s">
        <v>560</v>
      </c>
      <c r="Q162">
        <f t="shared" si="36"/>
        <v>4</v>
      </c>
      <c r="R162">
        <f t="shared" si="37"/>
        <v>4</v>
      </c>
      <c r="S162">
        <f t="shared" si="38"/>
        <v>3</v>
      </c>
      <c r="T162">
        <f t="shared" si="39"/>
        <v>5</v>
      </c>
      <c r="U162">
        <v>100</v>
      </c>
      <c r="V162">
        <f t="shared" si="40"/>
        <v>1</v>
      </c>
      <c r="W162">
        <f t="shared" si="41"/>
        <v>0</v>
      </c>
      <c r="X162">
        <f t="shared" si="42"/>
        <v>1</v>
      </c>
      <c r="Y162">
        <f t="shared" si="43"/>
        <v>0</v>
      </c>
      <c r="Z162">
        <f t="shared" si="44"/>
        <v>0</v>
      </c>
      <c r="AA162">
        <f t="shared" si="45"/>
        <v>1</v>
      </c>
      <c r="AB162">
        <f t="shared" si="46"/>
        <v>1</v>
      </c>
      <c r="AC162">
        <f t="shared" si="47"/>
        <v>0</v>
      </c>
      <c r="AD162">
        <f t="shared" si="48"/>
        <v>1</v>
      </c>
      <c r="AE162">
        <f t="shared" si="49"/>
        <v>0</v>
      </c>
      <c r="AF162">
        <f t="shared" si="50"/>
        <v>0</v>
      </c>
      <c r="AG162">
        <f t="shared" si="51"/>
        <v>0</v>
      </c>
      <c r="AH162">
        <f t="shared" si="52"/>
        <v>1</v>
      </c>
      <c r="AI162">
        <f t="shared" si="53"/>
        <v>1</v>
      </c>
    </row>
    <row r="163" spans="1:35" x14ac:dyDescent="0.2">
      <c r="A163">
        <v>162</v>
      </c>
      <c r="B163" t="s">
        <v>16</v>
      </c>
      <c r="C163">
        <v>8</v>
      </c>
      <c r="D163" t="s">
        <v>561</v>
      </c>
      <c r="E163" t="s">
        <v>19</v>
      </c>
      <c r="F163" t="s">
        <v>20</v>
      </c>
      <c r="G163" t="s">
        <v>20</v>
      </c>
      <c r="H163" t="s">
        <v>18</v>
      </c>
      <c r="I163">
        <v>6</v>
      </c>
      <c r="J163">
        <v>6</v>
      </c>
      <c r="K163">
        <v>50</v>
      </c>
      <c r="L163" t="s">
        <v>562</v>
      </c>
      <c r="M163" t="s">
        <v>280</v>
      </c>
      <c r="N163" t="s">
        <v>49</v>
      </c>
      <c r="O163" t="s">
        <v>60</v>
      </c>
      <c r="P163" t="s">
        <v>563</v>
      </c>
      <c r="Q163">
        <f t="shared" si="36"/>
        <v>3</v>
      </c>
      <c r="R163">
        <f t="shared" si="37"/>
        <v>2</v>
      </c>
      <c r="S163">
        <f t="shared" si="38"/>
        <v>2</v>
      </c>
      <c r="T163">
        <f t="shared" si="39"/>
        <v>4</v>
      </c>
      <c r="U163">
        <v>50</v>
      </c>
      <c r="V163">
        <f t="shared" si="40"/>
        <v>0</v>
      </c>
      <c r="W163">
        <f t="shared" si="41"/>
        <v>1</v>
      </c>
      <c r="X163">
        <f t="shared" si="42"/>
        <v>1</v>
      </c>
      <c r="Y163">
        <f t="shared" si="43"/>
        <v>0</v>
      </c>
      <c r="Z163">
        <f t="shared" si="44"/>
        <v>1</v>
      </c>
      <c r="AA163">
        <f t="shared" si="45"/>
        <v>0</v>
      </c>
      <c r="AB163">
        <f t="shared" si="46"/>
        <v>1</v>
      </c>
      <c r="AC163">
        <f t="shared" si="47"/>
        <v>1</v>
      </c>
      <c r="AD163">
        <f t="shared" si="48"/>
        <v>1</v>
      </c>
      <c r="AE163">
        <f t="shared" si="49"/>
        <v>0</v>
      </c>
      <c r="AF163">
        <f t="shared" si="50"/>
        <v>0</v>
      </c>
      <c r="AG163">
        <f t="shared" si="51"/>
        <v>1</v>
      </c>
      <c r="AH163">
        <f t="shared" si="52"/>
        <v>1</v>
      </c>
      <c r="AI163">
        <f t="shared" si="53"/>
        <v>0</v>
      </c>
    </row>
    <row r="164" spans="1:35" x14ac:dyDescent="0.2">
      <c r="A164">
        <v>163</v>
      </c>
      <c r="B164" t="s">
        <v>16</v>
      </c>
      <c r="C164">
        <v>4</v>
      </c>
      <c r="D164" t="s">
        <v>564</v>
      </c>
      <c r="E164" t="s">
        <v>20</v>
      </c>
      <c r="F164" t="s">
        <v>20</v>
      </c>
      <c r="G164" t="s">
        <v>19</v>
      </c>
      <c r="H164" t="s">
        <v>18</v>
      </c>
      <c r="I164">
        <v>5</v>
      </c>
      <c r="J164">
        <v>4</v>
      </c>
      <c r="K164">
        <v>30</v>
      </c>
      <c r="L164" t="s">
        <v>47</v>
      </c>
      <c r="M164" t="s">
        <v>135</v>
      </c>
      <c r="N164" t="s">
        <v>84</v>
      </c>
      <c r="O164" t="s">
        <v>565</v>
      </c>
      <c r="P164" t="s">
        <v>566</v>
      </c>
      <c r="Q164">
        <f t="shared" si="36"/>
        <v>2</v>
      </c>
      <c r="R164">
        <f t="shared" si="37"/>
        <v>2</v>
      </c>
      <c r="S164">
        <f t="shared" si="38"/>
        <v>3</v>
      </c>
      <c r="T164">
        <f t="shared" si="39"/>
        <v>4</v>
      </c>
      <c r="U164">
        <v>30</v>
      </c>
      <c r="V164">
        <f t="shared" si="40"/>
        <v>0</v>
      </c>
      <c r="W164">
        <f t="shared" si="41"/>
        <v>0</v>
      </c>
      <c r="X164">
        <f t="shared" si="42"/>
        <v>1</v>
      </c>
      <c r="Y164">
        <f t="shared" si="43"/>
        <v>0</v>
      </c>
      <c r="Z164">
        <f t="shared" si="44"/>
        <v>1</v>
      </c>
      <c r="AA164">
        <f t="shared" si="45"/>
        <v>1</v>
      </c>
      <c r="AB164">
        <f t="shared" si="46"/>
        <v>1</v>
      </c>
      <c r="AC164">
        <f t="shared" si="47"/>
        <v>0</v>
      </c>
      <c r="AD164">
        <f t="shared" si="48"/>
        <v>0</v>
      </c>
      <c r="AE164">
        <f t="shared" si="49"/>
        <v>0</v>
      </c>
      <c r="AF164">
        <f t="shared" si="50"/>
        <v>0</v>
      </c>
      <c r="AG164">
        <f t="shared" si="51"/>
        <v>1</v>
      </c>
      <c r="AH164">
        <f t="shared" si="52"/>
        <v>0</v>
      </c>
      <c r="AI164">
        <f t="shared" si="53"/>
        <v>0</v>
      </c>
    </row>
    <row r="165" spans="1:35" x14ac:dyDescent="0.2">
      <c r="A165">
        <v>164</v>
      </c>
      <c r="B165" t="s">
        <v>16</v>
      </c>
      <c r="C165">
        <v>8</v>
      </c>
      <c r="D165" t="s">
        <v>567</v>
      </c>
      <c r="E165" t="s">
        <v>18</v>
      </c>
      <c r="F165" t="s">
        <v>21</v>
      </c>
      <c r="G165" t="s">
        <v>21</v>
      </c>
      <c r="H165" t="s">
        <v>18</v>
      </c>
      <c r="I165">
        <v>3</v>
      </c>
      <c r="J165">
        <v>6</v>
      </c>
      <c r="K165" s="2">
        <v>50000</v>
      </c>
      <c r="L165" t="s">
        <v>22</v>
      </c>
      <c r="M165" t="s">
        <v>135</v>
      </c>
      <c r="N165" t="s">
        <v>36</v>
      </c>
      <c r="O165" t="s">
        <v>568</v>
      </c>
      <c r="P165" t="s">
        <v>569</v>
      </c>
      <c r="Q165">
        <f t="shared" si="36"/>
        <v>4</v>
      </c>
      <c r="R165">
        <f t="shared" si="37"/>
        <v>1</v>
      </c>
      <c r="S165">
        <f t="shared" si="38"/>
        <v>1</v>
      </c>
      <c r="T165">
        <f t="shared" si="39"/>
        <v>4</v>
      </c>
      <c r="U165">
        <v>50000</v>
      </c>
      <c r="V165">
        <f t="shared" si="40"/>
        <v>1</v>
      </c>
      <c r="W165">
        <f t="shared" si="41"/>
        <v>0</v>
      </c>
      <c r="X165">
        <f t="shared" si="42"/>
        <v>0</v>
      </c>
      <c r="Y165">
        <f t="shared" si="43"/>
        <v>0</v>
      </c>
      <c r="Z165">
        <f t="shared" si="44"/>
        <v>0</v>
      </c>
      <c r="AA165">
        <f t="shared" si="45"/>
        <v>1</v>
      </c>
      <c r="AB165">
        <f t="shared" si="46"/>
        <v>1</v>
      </c>
      <c r="AC165">
        <f t="shared" si="47"/>
        <v>0</v>
      </c>
      <c r="AD165">
        <f t="shared" si="48"/>
        <v>0</v>
      </c>
      <c r="AE165">
        <f t="shared" si="49"/>
        <v>0</v>
      </c>
      <c r="AF165">
        <f t="shared" si="50"/>
        <v>0</v>
      </c>
      <c r="AG165">
        <f t="shared" si="51"/>
        <v>0</v>
      </c>
      <c r="AH165">
        <f t="shared" si="52"/>
        <v>0</v>
      </c>
      <c r="AI165">
        <f t="shared" si="53"/>
        <v>1</v>
      </c>
    </row>
    <row r="166" spans="1:35" x14ac:dyDescent="0.2">
      <c r="A166">
        <v>165</v>
      </c>
      <c r="B166" t="s">
        <v>16</v>
      </c>
      <c r="C166">
        <v>7</v>
      </c>
      <c r="D166" t="s">
        <v>570</v>
      </c>
      <c r="E166" t="s">
        <v>18</v>
      </c>
      <c r="F166" t="s">
        <v>20</v>
      </c>
      <c r="G166" t="s">
        <v>20</v>
      </c>
      <c r="H166" t="s">
        <v>39</v>
      </c>
      <c r="I166">
        <v>4</v>
      </c>
      <c r="J166">
        <v>6</v>
      </c>
      <c r="K166" s="2">
        <v>10000</v>
      </c>
      <c r="L166" t="s">
        <v>128</v>
      </c>
      <c r="M166" t="s">
        <v>23</v>
      </c>
      <c r="N166" t="s">
        <v>147</v>
      </c>
      <c r="O166" t="s">
        <v>571</v>
      </c>
      <c r="P166" t="s">
        <v>572</v>
      </c>
      <c r="Q166">
        <f t="shared" si="36"/>
        <v>4</v>
      </c>
      <c r="R166">
        <f t="shared" si="37"/>
        <v>2</v>
      </c>
      <c r="S166">
        <f t="shared" si="38"/>
        <v>2</v>
      </c>
      <c r="T166">
        <f t="shared" si="39"/>
        <v>5</v>
      </c>
      <c r="U166">
        <v>10000</v>
      </c>
      <c r="V166">
        <f t="shared" si="40"/>
        <v>1</v>
      </c>
      <c r="W166">
        <f t="shared" si="41"/>
        <v>0</v>
      </c>
      <c r="X166">
        <f t="shared" si="42"/>
        <v>1</v>
      </c>
      <c r="Y166">
        <f t="shared" si="43"/>
        <v>0</v>
      </c>
      <c r="Z166">
        <f t="shared" si="44"/>
        <v>0</v>
      </c>
      <c r="AA166">
        <f t="shared" si="45"/>
        <v>1</v>
      </c>
      <c r="AB166">
        <f t="shared" si="46"/>
        <v>0</v>
      </c>
      <c r="AC166">
        <f t="shared" si="47"/>
        <v>0</v>
      </c>
      <c r="AD166">
        <f t="shared" si="48"/>
        <v>0</v>
      </c>
      <c r="AE166">
        <f t="shared" si="49"/>
        <v>0</v>
      </c>
      <c r="AF166">
        <f t="shared" si="50"/>
        <v>0</v>
      </c>
      <c r="AG166">
        <f t="shared" si="51"/>
        <v>0</v>
      </c>
      <c r="AH166">
        <f t="shared" si="52"/>
        <v>1</v>
      </c>
      <c r="AI166">
        <f t="shared" si="53"/>
        <v>1</v>
      </c>
    </row>
    <row r="167" spans="1:35" ht="409.6" x14ac:dyDescent="0.2">
      <c r="A167">
        <v>166</v>
      </c>
      <c r="B167" t="s">
        <v>16</v>
      </c>
      <c r="C167">
        <v>5</v>
      </c>
      <c r="D167" t="s">
        <v>573</v>
      </c>
      <c r="E167" t="s">
        <v>19</v>
      </c>
      <c r="F167" t="s">
        <v>18</v>
      </c>
      <c r="G167" t="s">
        <v>18</v>
      </c>
      <c r="H167" t="s">
        <v>20</v>
      </c>
      <c r="I167">
        <v>4</v>
      </c>
      <c r="J167">
        <v>5</v>
      </c>
      <c r="K167" t="s">
        <v>574</v>
      </c>
      <c r="L167" t="s">
        <v>22</v>
      </c>
      <c r="M167" t="s">
        <v>23</v>
      </c>
      <c r="N167" t="s">
        <v>24</v>
      </c>
      <c r="O167" t="s">
        <v>575</v>
      </c>
      <c r="P167" s="3" t="s">
        <v>576</v>
      </c>
      <c r="Q167">
        <f t="shared" si="36"/>
        <v>3</v>
      </c>
      <c r="R167">
        <f t="shared" si="37"/>
        <v>4</v>
      </c>
      <c r="S167">
        <f t="shared" si="38"/>
        <v>4</v>
      </c>
      <c r="T167">
        <f t="shared" si="39"/>
        <v>2</v>
      </c>
      <c r="U167">
        <v>20</v>
      </c>
      <c r="V167">
        <f t="shared" si="40"/>
        <v>1</v>
      </c>
      <c r="W167">
        <f t="shared" si="41"/>
        <v>0</v>
      </c>
      <c r="X167">
        <f t="shared" si="42"/>
        <v>0</v>
      </c>
      <c r="Y167">
        <f t="shared" si="43"/>
        <v>0</v>
      </c>
      <c r="Z167">
        <f t="shared" si="44"/>
        <v>0</v>
      </c>
      <c r="AA167">
        <f t="shared" si="45"/>
        <v>1</v>
      </c>
      <c r="AB167">
        <f t="shared" si="46"/>
        <v>0</v>
      </c>
      <c r="AC167">
        <f t="shared" si="47"/>
        <v>0</v>
      </c>
      <c r="AD167">
        <f t="shared" si="48"/>
        <v>0</v>
      </c>
      <c r="AE167">
        <f t="shared" si="49"/>
        <v>0</v>
      </c>
      <c r="AF167">
        <f t="shared" si="50"/>
        <v>0</v>
      </c>
      <c r="AG167">
        <f t="shared" si="51"/>
        <v>0</v>
      </c>
      <c r="AH167">
        <f t="shared" si="52"/>
        <v>1</v>
      </c>
      <c r="AI167">
        <f t="shared" si="53"/>
        <v>0</v>
      </c>
    </row>
    <row r="168" spans="1:35" x14ac:dyDescent="0.2">
      <c r="A168">
        <v>167</v>
      </c>
      <c r="B168" t="s">
        <v>16</v>
      </c>
      <c r="C168">
        <v>9</v>
      </c>
      <c r="D168" t="s">
        <v>577</v>
      </c>
      <c r="E168" t="s">
        <v>39</v>
      </c>
      <c r="F168" t="s">
        <v>21</v>
      </c>
      <c r="G168" t="s">
        <v>20</v>
      </c>
      <c r="H168" t="s">
        <v>39</v>
      </c>
      <c r="I168">
        <v>7</v>
      </c>
      <c r="J168">
        <v>6</v>
      </c>
      <c r="K168" s="1">
        <v>0</v>
      </c>
      <c r="L168" t="s">
        <v>53</v>
      </c>
      <c r="M168" t="s">
        <v>99</v>
      </c>
      <c r="N168" t="s">
        <v>36</v>
      </c>
      <c r="O168" t="s">
        <v>578</v>
      </c>
      <c r="P168" t="s">
        <v>579</v>
      </c>
      <c r="Q168">
        <f t="shared" si="36"/>
        <v>5</v>
      </c>
      <c r="R168">
        <f t="shared" si="37"/>
        <v>1</v>
      </c>
      <c r="S168">
        <f t="shared" si="38"/>
        <v>2</v>
      </c>
      <c r="T168">
        <f t="shared" si="39"/>
        <v>5</v>
      </c>
      <c r="U168">
        <v>0</v>
      </c>
      <c r="V168">
        <f t="shared" si="40"/>
        <v>0</v>
      </c>
      <c r="W168">
        <f t="shared" si="41"/>
        <v>0</v>
      </c>
      <c r="X168">
        <f t="shared" si="42"/>
        <v>1</v>
      </c>
      <c r="Y168">
        <f t="shared" si="43"/>
        <v>0</v>
      </c>
      <c r="Z168">
        <f t="shared" si="44"/>
        <v>0</v>
      </c>
      <c r="AA168">
        <f t="shared" si="45"/>
        <v>1</v>
      </c>
      <c r="AB168">
        <f t="shared" si="46"/>
        <v>0</v>
      </c>
      <c r="AC168">
        <f t="shared" si="47"/>
        <v>0</v>
      </c>
      <c r="AD168">
        <f t="shared" si="48"/>
        <v>0</v>
      </c>
      <c r="AE168">
        <f t="shared" si="49"/>
        <v>1</v>
      </c>
      <c r="AF168">
        <f t="shared" si="50"/>
        <v>0</v>
      </c>
      <c r="AG168">
        <f t="shared" si="51"/>
        <v>0</v>
      </c>
      <c r="AH168">
        <f t="shared" si="52"/>
        <v>0</v>
      </c>
      <c r="AI168">
        <f t="shared" si="53"/>
        <v>1</v>
      </c>
    </row>
    <row r="169" spans="1:35" x14ac:dyDescent="0.2">
      <c r="A169">
        <v>168</v>
      </c>
      <c r="B169" t="s">
        <v>16</v>
      </c>
      <c r="C169">
        <v>9</v>
      </c>
      <c r="D169" t="s">
        <v>580</v>
      </c>
      <c r="E169" t="s">
        <v>39</v>
      </c>
      <c r="F169" t="s">
        <v>20</v>
      </c>
      <c r="G169" t="s">
        <v>19</v>
      </c>
      <c r="H169" t="s">
        <v>39</v>
      </c>
      <c r="I169">
        <v>5</v>
      </c>
      <c r="J169">
        <v>5</v>
      </c>
      <c r="K169">
        <v>5000</v>
      </c>
      <c r="L169" t="s">
        <v>53</v>
      </c>
      <c r="M169" t="s">
        <v>80</v>
      </c>
      <c r="N169" t="s">
        <v>36</v>
      </c>
      <c r="O169" t="s">
        <v>208</v>
      </c>
      <c r="P169" t="s">
        <v>581</v>
      </c>
      <c r="Q169">
        <f t="shared" si="36"/>
        <v>5</v>
      </c>
      <c r="R169">
        <f t="shared" si="37"/>
        <v>2</v>
      </c>
      <c r="S169">
        <f t="shared" si="38"/>
        <v>3</v>
      </c>
      <c r="T169">
        <f t="shared" si="39"/>
        <v>5</v>
      </c>
      <c r="U169">
        <v>5000</v>
      </c>
      <c r="V169">
        <f t="shared" si="40"/>
        <v>0</v>
      </c>
      <c r="W169">
        <f t="shared" si="41"/>
        <v>0</v>
      </c>
      <c r="X169">
        <f t="shared" si="42"/>
        <v>1</v>
      </c>
      <c r="Y169">
        <f t="shared" si="43"/>
        <v>0</v>
      </c>
      <c r="Z169">
        <f t="shared" si="44"/>
        <v>0</v>
      </c>
      <c r="AA169">
        <f t="shared" si="45"/>
        <v>1</v>
      </c>
      <c r="AB169">
        <f t="shared" si="46"/>
        <v>1</v>
      </c>
      <c r="AC169">
        <f t="shared" si="47"/>
        <v>0</v>
      </c>
      <c r="AD169">
        <f t="shared" si="48"/>
        <v>0</v>
      </c>
      <c r="AE169">
        <f t="shared" si="49"/>
        <v>1</v>
      </c>
      <c r="AF169">
        <f t="shared" si="50"/>
        <v>0</v>
      </c>
      <c r="AG169">
        <f t="shared" si="51"/>
        <v>0</v>
      </c>
      <c r="AH169">
        <f t="shared" si="52"/>
        <v>0</v>
      </c>
      <c r="AI169">
        <f t="shared" si="53"/>
        <v>1</v>
      </c>
    </row>
    <row r="170" spans="1:35" x14ac:dyDescent="0.2">
      <c r="A170">
        <v>169</v>
      </c>
      <c r="B170" t="s">
        <v>16</v>
      </c>
      <c r="C170">
        <v>8</v>
      </c>
      <c r="D170" t="s">
        <v>582</v>
      </c>
      <c r="E170" t="s">
        <v>39</v>
      </c>
      <c r="F170" t="s">
        <v>20</v>
      </c>
      <c r="G170" t="s">
        <v>20</v>
      </c>
      <c r="H170" t="s">
        <v>18</v>
      </c>
      <c r="I170">
        <v>5</v>
      </c>
      <c r="J170">
        <v>4</v>
      </c>
      <c r="K170" t="s">
        <v>583</v>
      </c>
      <c r="L170" t="s">
        <v>514</v>
      </c>
      <c r="M170" t="s">
        <v>80</v>
      </c>
      <c r="N170" t="s">
        <v>24</v>
      </c>
      <c r="O170" t="s">
        <v>584</v>
      </c>
      <c r="P170" t="s">
        <v>585</v>
      </c>
      <c r="Q170">
        <f t="shared" si="36"/>
        <v>5</v>
      </c>
      <c r="R170">
        <f t="shared" si="37"/>
        <v>2</v>
      </c>
      <c r="S170">
        <f t="shared" si="38"/>
        <v>2</v>
      </c>
      <c r="T170">
        <f t="shared" si="39"/>
        <v>4</v>
      </c>
      <c r="U170">
        <v>200000000</v>
      </c>
      <c r="V170">
        <f t="shared" si="40"/>
        <v>1</v>
      </c>
      <c r="W170">
        <f t="shared" si="41"/>
        <v>1</v>
      </c>
      <c r="X170">
        <f t="shared" si="42"/>
        <v>0</v>
      </c>
      <c r="Y170">
        <f t="shared" si="43"/>
        <v>0</v>
      </c>
      <c r="Z170">
        <f t="shared" si="44"/>
        <v>1</v>
      </c>
      <c r="AA170">
        <f t="shared" si="45"/>
        <v>1</v>
      </c>
      <c r="AB170">
        <f t="shared" si="46"/>
        <v>1</v>
      </c>
      <c r="AC170">
        <f t="shared" si="47"/>
        <v>0</v>
      </c>
      <c r="AD170">
        <f t="shared" si="48"/>
        <v>0</v>
      </c>
      <c r="AE170">
        <f t="shared" si="49"/>
        <v>1</v>
      </c>
      <c r="AF170">
        <f t="shared" si="50"/>
        <v>0</v>
      </c>
      <c r="AG170">
        <f t="shared" si="51"/>
        <v>0</v>
      </c>
      <c r="AH170">
        <f t="shared" si="52"/>
        <v>1</v>
      </c>
      <c r="AI170">
        <f t="shared" si="53"/>
        <v>0</v>
      </c>
    </row>
    <row r="171" spans="1:35" x14ac:dyDescent="0.2">
      <c r="A171">
        <v>170</v>
      </c>
      <c r="B171" t="s">
        <v>16</v>
      </c>
      <c r="C171">
        <v>6</v>
      </c>
      <c r="D171" t="s">
        <v>586</v>
      </c>
      <c r="E171" t="s">
        <v>18</v>
      </c>
      <c r="F171" t="s">
        <v>21</v>
      </c>
      <c r="G171" t="s">
        <v>20</v>
      </c>
      <c r="H171" t="s">
        <v>18</v>
      </c>
      <c r="I171">
        <v>8</v>
      </c>
      <c r="J171">
        <v>7</v>
      </c>
      <c r="K171">
        <v>300</v>
      </c>
      <c r="L171" t="s">
        <v>70</v>
      </c>
      <c r="M171" t="s">
        <v>587</v>
      </c>
      <c r="N171" t="s">
        <v>24</v>
      </c>
      <c r="O171" t="s">
        <v>409</v>
      </c>
      <c r="P171" t="s">
        <v>588</v>
      </c>
      <c r="Q171">
        <f t="shared" si="36"/>
        <v>4</v>
      </c>
      <c r="R171">
        <f t="shared" si="37"/>
        <v>1</v>
      </c>
      <c r="S171">
        <f t="shared" si="38"/>
        <v>2</v>
      </c>
      <c r="T171">
        <f t="shared" si="39"/>
        <v>4</v>
      </c>
      <c r="U171">
        <v>300</v>
      </c>
      <c r="V171">
        <f t="shared" si="40"/>
        <v>0</v>
      </c>
      <c r="W171">
        <f t="shared" si="41"/>
        <v>0</v>
      </c>
      <c r="X171">
        <f t="shared" si="42"/>
        <v>0</v>
      </c>
      <c r="Y171">
        <f t="shared" si="43"/>
        <v>1</v>
      </c>
      <c r="Z171">
        <f t="shared" si="44"/>
        <v>0</v>
      </c>
      <c r="AA171">
        <f t="shared" si="45"/>
        <v>0</v>
      </c>
      <c r="AB171">
        <f t="shared" si="46"/>
        <v>1</v>
      </c>
      <c r="AC171">
        <f t="shared" si="47"/>
        <v>0</v>
      </c>
      <c r="AD171">
        <f t="shared" si="48"/>
        <v>1</v>
      </c>
      <c r="AE171">
        <f t="shared" si="49"/>
        <v>1</v>
      </c>
      <c r="AF171">
        <f t="shared" si="50"/>
        <v>0</v>
      </c>
      <c r="AG171">
        <f t="shared" si="51"/>
        <v>0</v>
      </c>
      <c r="AH171">
        <f t="shared" si="52"/>
        <v>1</v>
      </c>
      <c r="AI171">
        <f t="shared" si="53"/>
        <v>0</v>
      </c>
    </row>
    <row r="172" spans="1:35" x14ac:dyDescent="0.2">
      <c r="A172">
        <v>171</v>
      </c>
      <c r="B172" t="s">
        <v>16</v>
      </c>
      <c r="C172">
        <v>8</v>
      </c>
      <c r="D172" t="s">
        <v>589</v>
      </c>
      <c r="E172" t="s">
        <v>18</v>
      </c>
      <c r="F172" t="s">
        <v>20</v>
      </c>
      <c r="G172" t="s">
        <v>20</v>
      </c>
      <c r="H172" t="s">
        <v>39</v>
      </c>
      <c r="I172">
        <v>3</v>
      </c>
      <c r="J172">
        <v>4</v>
      </c>
      <c r="K172">
        <v>15</v>
      </c>
      <c r="L172" t="s">
        <v>41</v>
      </c>
      <c r="M172" t="s">
        <v>154</v>
      </c>
      <c r="N172" t="s">
        <v>24</v>
      </c>
      <c r="O172" t="s">
        <v>590</v>
      </c>
      <c r="P172" t="s">
        <v>591</v>
      </c>
      <c r="Q172">
        <f t="shared" si="36"/>
        <v>4</v>
      </c>
      <c r="R172">
        <f t="shared" si="37"/>
        <v>2</v>
      </c>
      <c r="S172">
        <f t="shared" si="38"/>
        <v>2</v>
      </c>
      <c r="T172">
        <f t="shared" si="39"/>
        <v>5</v>
      </c>
      <c r="U172">
        <v>15</v>
      </c>
      <c r="V172">
        <f t="shared" si="40"/>
        <v>0</v>
      </c>
      <c r="W172">
        <f t="shared" si="41"/>
        <v>0</v>
      </c>
      <c r="X172">
        <f t="shared" si="42"/>
        <v>0</v>
      </c>
      <c r="Y172">
        <f t="shared" si="43"/>
        <v>0</v>
      </c>
      <c r="Z172">
        <f t="shared" si="44"/>
        <v>1</v>
      </c>
      <c r="AA172">
        <f t="shared" si="45"/>
        <v>1</v>
      </c>
      <c r="AB172">
        <f t="shared" si="46"/>
        <v>0</v>
      </c>
      <c r="AC172">
        <f t="shared" si="47"/>
        <v>1</v>
      </c>
      <c r="AD172">
        <f t="shared" si="48"/>
        <v>0</v>
      </c>
      <c r="AE172">
        <f t="shared" si="49"/>
        <v>0</v>
      </c>
      <c r="AF172">
        <f t="shared" si="50"/>
        <v>0</v>
      </c>
      <c r="AG172">
        <f t="shared" si="51"/>
        <v>0</v>
      </c>
      <c r="AH172">
        <f t="shared" si="52"/>
        <v>1</v>
      </c>
      <c r="AI172">
        <f t="shared" si="53"/>
        <v>0</v>
      </c>
    </row>
    <row r="173" spans="1:35" x14ac:dyDescent="0.2">
      <c r="A173">
        <v>172</v>
      </c>
      <c r="B173" t="s">
        <v>16</v>
      </c>
      <c r="C173">
        <v>9</v>
      </c>
      <c r="D173" t="s">
        <v>592</v>
      </c>
      <c r="E173" t="s">
        <v>18</v>
      </c>
      <c r="F173" t="s">
        <v>20</v>
      </c>
      <c r="G173" t="s">
        <v>18</v>
      </c>
      <c r="H173" t="s">
        <v>20</v>
      </c>
      <c r="I173">
        <v>4</v>
      </c>
      <c r="J173">
        <v>3</v>
      </c>
      <c r="K173">
        <v>10000</v>
      </c>
      <c r="L173" t="s">
        <v>47</v>
      </c>
      <c r="M173" t="s">
        <v>23</v>
      </c>
      <c r="N173" t="s">
        <v>24</v>
      </c>
      <c r="O173" t="s">
        <v>593</v>
      </c>
      <c r="P173" t="s">
        <v>594</v>
      </c>
      <c r="Q173">
        <f t="shared" si="36"/>
        <v>4</v>
      </c>
      <c r="R173">
        <f t="shared" si="37"/>
        <v>2</v>
      </c>
      <c r="S173">
        <f t="shared" si="38"/>
        <v>4</v>
      </c>
      <c r="T173">
        <f t="shared" si="39"/>
        <v>2</v>
      </c>
      <c r="U173">
        <v>10000</v>
      </c>
      <c r="V173">
        <f t="shared" si="40"/>
        <v>0</v>
      </c>
      <c r="W173">
        <f t="shared" si="41"/>
        <v>0</v>
      </c>
      <c r="X173">
        <f t="shared" si="42"/>
        <v>1</v>
      </c>
      <c r="Y173">
        <f t="shared" si="43"/>
        <v>0</v>
      </c>
      <c r="Z173">
        <f t="shared" si="44"/>
        <v>1</v>
      </c>
      <c r="AA173">
        <f t="shared" si="45"/>
        <v>1</v>
      </c>
      <c r="AB173">
        <f t="shared" si="46"/>
        <v>0</v>
      </c>
      <c r="AC173">
        <f t="shared" si="47"/>
        <v>0</v>
      </c>
      <c r="AD173">
        <f t="shared" si="48"/>
        <v>0</v>
      </c>
      <c r="AE173">
        <f t="shared" si="49"/>
        <v>0</v>
      </c>
      <c r="AF173">
        <f t="shared" si="50"/>
        <v>0</v>
      </c>
      <c r="AG173">
        <f t="shared" si="51"/>
        <v>0</v>
      </c>
      <c r="AH173">
        <f t="shared" si="52"/>
        <v>1</v>
      </c>
      <c r="AI173">
        <f t="shared" si="53"/>
        <v>0</v>
      </c>
    </row>
    <row r="174" spans="1:35" x14ac:dyDescent="0.2">
      <c r="A174">
        <v>173</v>
      </c>
      <c r="B174" t="s">
        <v>16</v>
      </c>
      <c r="C174">
        <v>8</v>
      </c>
      <c r="D174" t="s">
        <v>595</v>
      </c>
      <c r="E174" t="s">
        <v>39</v>
      </c>
      <c r="F174" t="s">
        <v>20</v>
      </c>
      <c r="G174" t="s">
        <v>20</v>
      </c>
      <c r="H174" t="s">
        <v>39</v>
      </c>
      <c r="I174">
        <v>7</v>
      </c>
      <c r="J174">
        <v>3</v>
      </c>
      <c r="K174">
        <v>40</v>
      </c>
      <c r="L174" t="s">
        <v>22</v>
      </c>
      <c r="M174" t="s">
        <v>42</v>
      </c>
      <c r="N174" t="s">
        <v>24</v>
      </c>
      <c r="O174" t="s">
        <v>596</v>
      </c>
      <c r="P174" t="s">
        <v>597</v>
      </c>
      <c r="Q174">
        <f t="shared" si="36"/>
        <v>5</v>
      </c>
      <c r="R174">
        <f t="shared" si="37"/>
        <v>2</v>
      </c>
      <c r="S174">
        <f t="shared" si="38"/>
        <v>2</v>
      </c>
      <c r="T174">
        <f t="shared" si="39"/>
        <v>5</v>
      </c>
      <c r="U174">
        <v>40</v>
      </c>
      <c r="V174">
        <f t="shared" si="40"/>
        <v>1</v>
      </c>
      <c r="W174">
        <f t="shared" si="41"/>
        <v>0</v>
      </c>
      <c r="X174">
        <f t="shared" si="42"/>
        <v>0</v>
      </c>
      <c r="Y174">
        <f t="shared" si="43"/>
        <v>0</v>
      </c>
      <c r="Z174">
        <f t="shared" si="44"/>
        <v>0</v>
      </c>
      <c r="AA174">
        <f t="shared" si="45"/>
        <v>0</v>
      </c>
      <c r="AB174">
        <f t="shared" si="46"/>
        <v>1</v>
      </c>
      <c r="AC174">
        <f t="shared" si="47"/>
        <v>0</v>
      </c>
      <c r="AD174">
        <f t="shared" si="48"/>
        <v>0</v>
      </c>
      <c r="AE174">
        <f t="shared" si="49"/>
        <v>0</v>
      </c>
      <c r="AF174">
        <f t="shared" si="50"/>
        <v>0</v>
      </c>
      <c r="AG174">
        <f t="shared" si="51"/>
        <v>0</v>
      </c>
      <c r="AH174">
        <f t="shared" si="52"/>
        <v>1</v>
      </c>
      <c r="AI174">
        <f t="shared" si="53"/>
        <v>0</v>
      </c>
    </row>
    <row r="175" spans="1:35" x14ac:dyDescent="0.2">
      <c r="A175">
        <v>174</v>
      </c>
      <c r="B175" t="s">
        <v>16</v>
      </c>
      <c r="C175">
        <v>7</v>
      </c>
      <c r="D175" t="s">
        <v>598</v>
      </c>
      <c r="E175" t="s">
        <v>18</v>
      </c>
      <c r="F175" t="s">
        <v>20</v>
      </c>
      <c r="G175" t="s">
        <v>19</v>
      </c>
      <c r="H175" t="s">
        <v>39</v>
      </c>
      <c r="I175">
        <v>4</v>
      </c>
      <c r="J175">
        <v>5</v>
      </c>
      <c r="K175">
        <v>10000</v>
      </c>
      <c r="L175" t="s">
        <v>230</v>
      </c>
      <c r="M175" t="s">
        <v>135</v>
      </c>
      <c r="N175" t="s">
        <v>24</v>
      </c>
      <c r="O175" t="s">
        <v>116</v>
      </c>
      <c r="P175" t="s">
        <v>599</v>
      </c>
      <c r="Q175">
        <f t="shared" si="36"/>
        <v>4</v>
      </c>
      <c r="R175">
        <f t="shared" si="37"/>
        <v>2</v>
      </c>
      <c r="S175">
        <f t="shared" si="38"/>
        <v>3</v>
      </c>
      <c r="T175">
        <f t="shared" si="39"/>
        <v>5</v>
      </c>
      <c r="U175">
        <v>10000</v>
      </c>
      <c r="V175">
        <f t="shared" si="40"/>
        <v>1</v>
      </c>
      <c r="W175">
        <f t="shared" si="41"/>
        <v>1</v>
      </c>
      <c r="X175">
        <f t="shared" si="42"/>
        <v>1</v>
      </c>
      <c r="Y175">
        <f t="shared" si="43"/>
        <v>1</v>
      </c>
      <c r="Z175">
        <f t="shared" si="44"/>
        <v>1</v>
      </c>
      <c r="AA175">
        <f t="shared" si="45"/>
        <v>1</v>
      </c>
      <c r="AB175">
        <f t="shared" si="46"/>
        <v>1</v>
      </c>
      <c r="AC175">
        <f t="shared" si="47"/>
        <v>0</v>
      </c>
      <c r="AD175">
        <f t="shared" si="48"/>
        <v>0</v>
      </c>
      <c r="AE175">
        <f t="shared" si="49"/>
        <v>0</v>
      </c>
      <c r="AF175">
        <f t="shared" si="50"/>
        <v>0</v>
      </c>
      <c r="AG175">
        <f t="shared" si="51"/>
        <v>0</v>
      </c>
      <c r="AH175">
        <f t="shared" si="52"/>
        <v>1</v>
      </c>
      <c r="AI175">
        <f t="shared" si="53"/>
        <v>0</v>
      </c>
    </row>
    <row r="176" spans="1:35" x14ac:dyDescent="0.2">
      <c r="A176">
        <v>175</v>
      </c>
      <c r="B176" t="s">
        <v>16</v>
      </c>
      <c r="C176">
        <v>5</v>
      </c>
      <c r="D176" t="s">
        <v>600</v>
      </c>
      <c r="E176" t="s">
        <v>39</v>
      </c>
      <c r="F176" t="s">
        <v>20</v>
      </c>
      <c r="G176" t="s">
        <v>18</v>
      </c>
      <c r="H176" t="s">
        <v>39</v>
      </c>
      <c r="I176">
        <v>8</v>
      </c>
      <c r="J176">
        <v>5</v>
      </c>
      <c r="K176">
        <v>30</v>
      </c>
      <c r="L176" t="s">
        <v>601</v>
      </c>
      <c r="M176" t="s">
        <v>436</v>
      </c>
      <c r="N176" t="s">
        <v>147</v>
      </c>
      <c r="O176" t="s">
        <v>602</v>
      </c>
      <c r="P176" t="s">
        <v>603</v>
      </c>
      <c r="Q176">
        <f t="shared" si="36"/>
        <v>5</v>
      </c>
      <c r="R176">
        <f t="shared" si="37"/>
        <v>2</v>
      </c>
      <c r="S176">
        <f t="shared" si="38"/>
        <v>4</v>
      </c>
      <c r="T176">
        <f t="shared" si="39"/>
        <v>5</v>
      </c>
      <c r="U176">
        <v>30</v>
      </c>
      <c r="V176">
        <f t="shared" si="40"/>
        <v>0</v>
      </c>
      <c r="W176">
        <f t="shared" si="41"/>
        <v>1</v>
      </c>
      <c r="X176">
        <f t="shared" si="42"/>
        <v>0</v>
      </c>
      <c r="Y176">
        <f t="shared" si="43"/>
        <v>1</v>
      </c>
      <c r="Z176">
        <f t="shared" si="44"/>
        <v>1</v>
      </c>
      <c r="AA176">
        <f t="shared" si="45"/>
        <v>1</v>
      </c>
      <c r="AB176">
        <f t="shared" si="46"/>
        <v>0</v>
      </c>
      <c r="AC176">
        <f t="shared" si="47"/>
        <v>0</v>
      </c>
      <c r="AD176">
        <f t="shared" si="48"/>
        <v>1</v>
      </c>
      <c r="AE176">
        <f t="shared" si="49"/>
        <v>1</v>
      </c>
      <c r="AF176">
        <f t="shared" si="50"/>
        <v>0</v>
      </c>
      <c r="AG176">
        <f t="shared" si="51"/>
        <v>0</v>
      </c>
      <c r="AH176">
        <f t="shared" si="52"/>
        <v>1</v>
      </c>
      <c r="AI176">
        <f t="shared" si="53"/>
        <v>1</v>
      </c>
    </row>
    <row r="177" spans="1:35" x14ac:dyDescent="0.2">
      <c r="A177">
        <v>176</v>
      </c>
      <c r="B177" t="s">
        <v>16</v>
      </c>
      <c r="C177">
        <v>4</v>
      </c>
      <c r="D177" t="s">
        <v>604</v>
      </c>
      <c r="E177" t="s">
        <v>19</v>
      </c>
      <c r="F177" t="s">
        <v>20</v>
      </c>
      <c r="G177" t="s">
        <v>20</v>
      </c>
      <c r="H177" t="s">
        <v>39</v>
      </c>
      <c r="I177">
        <v>4</v>
      </c>
      <c r="J177">
        <v>3</v>
      </c>
      <c r="K177" t="s">
        <v>605</v>
      </c>
      <c r="L177" t="s">
        <v>98</v>
      </c>
      <c r="M177" t="s">
        <v>42</v>
      </c>
      <c r="N177" t="s">
        <v>84</v>
      </c>
      <c r="O177" t="s">
        <v>606</v>
      </c>
      <c r="P177" t="s">
        <v>607</v>
      </c>
      <c r="Q177">
        <f t="shared" si="36"/>
        <v>3</v>
      </c>
      <c r="R177">
        <f t="shared" si="37"/>
        <v>2</v>
      </c>
      <c r="S177">
        <f t="shared" si="38"/>
        <v>2</v>
      </c>
      <c r="T177">
        <f t="shared" si="39"/>
        <v>5</v>
      </c>
      <c r="U177">
        <v>25</v>
      </c>
      <c r="V177">
        <f t="shared" si="40"/>
        <v>0</v>
      </c>
      <c r="W177">
        <f t="shared" si="41"/>
        <v>1</v>
      </c>
      <c r="X177">
        <f t="shared" si="42"/>
        <v>0</v>
      </c>
      <c r="Y177">
        <f t="shared" si="43"/>
        <v>0</v>
      </c>
      <c r="Z177">
        <f t="shared" si="44"/>
        <v>0</v>
      </c>
      <c r="AA177">
        <f t="shared" si="45"/>
        <v>0</v>
      </c>
      <c r="AB177">
        <f t="shared" si="46"/>
        <v>1</v>
      </c>
      <c r="AC177">
        <f t="shared" si="47"/>
        <v>0</v>
      </c>
      <c r="AD177">
        <f t="shared" si="48"/>
        <v>0</v>
      </c>
      <c r="AE177">
        <f t="shared" si="49"/>
        <v>0</v>
      </c>
      <c r="AF177">
        <f t="shared" si="50"/>
        <v>0</v>
      </c>
      <c r="AG177">
        <f t="shared" si="51"/>
        <v>1</v>
      </c>
      <c r="AH177">
        <f t="shared" si="52"/>
        <v>0</v>
      </c>
      <c r="AI177">
        <f t="shared" si="53"/>
        <v>0</v>
      </c>
    </row>
    <row r="178" spans="1:35" x14ac:dyDescent="0.2">
      <c r="A178">
        <v>177</v>
      </c>
      <c r="B178" t="s">
        <v>16</v>
      </c>
      <c r="C178">
        <v>6</v>
      </c>
      <c r="D178" t="s">
        <v>608</v>
      </c>
      <c r="E178" t="s">
        <v>18</v>
      </c>
      <c r="F178" t="s">
        <v>20</v>
      </c>
      <c r="G178" t="s">
        <v>19</v>
      </c>
      <c r="H178" t="s">
        <v>18</v>
      </c>
      <c r="I178">
        <v>27</v>
      </c>
      <c r="J178">
        <v>12</v>
      </c>
      <c r="K178">
        <v>100</v>
      </c>
      <c r="L178" t="s">
        <v>128</v>
      </c>
      <c r="M178" t="s">
        <v>48</v>
      </c>
      <c r="N178" t="s">
        <v>24</v>
      </c>
      <c r="O178" t="s">
        <v>609</v>
      </c>
      <c r="P178" t="s">
        <v>610</v>
      </c>
      <c r="Q178">
        <f t="shared" si="36"/>
        <v>4</v>
      </c>
      <c r="R178">
        <f t="shared" si="37"/>
        <v>2</v>
      </c>
      <c r="S178">
        <f t="shared" si="38"/>
        <v>3</v>
      </c>
      <c r="T178">
        <f t="shared" si="39"/>
        <v>4</v>
      </c>
      <c r="U178">
        <v>100</v>
      </c>
      <c r="V178">
        <f t="shared" si="40"/>
        <v>1</v>
      </c>
      <c r="W178">
        <f t="shared" si="41"/>
        <v>0</v>
      </c>
      <c r="X178">
        <f t="shared" si="42"/>
        <v>1</v>
      </c>
      <c r="Y178">
        <f t="shared" si="43"/>
        <v>0</v>
      </c>
      <c r="Z178">
        <f t="shared" si="44"/>
        <v>0</v>
      </c>
      <c r="AA178">
        <f t="shared" si="45"/>
        <v>1</v>
      </c>
      <c r="AB178">
        <f t="shared" si="46"/>
        <v>1</v>
      </c>
      <c r="AC178">
        <f t="shared" si="47"/>
        <v>1</v>
      </c>
      <c r="AD178">
        <f t="shared" si="48"/>
        <v>0</v>
      </c>
      <c r="AE178">
        <f t="shared" si="49"/>
        <v>0</v>
      </c>
      <c r="AF178">
        <f t="shared" si="50"/>
        <v>0</v>
      </c>
      <c r="AG178">
        <f t="shared" si="51"/>
        <v>0</v>
      </c>
      <c r="AH178">
        <f t="shared" si="52"/>
        <v>1</v>
      </c>
      <c r="AI178">
        <f t="shared" si="53"/>
        <v>0</v>
      </c>
    </row>
    <row r="179" spans="1:35" x14ac:dyDescent="0.2">
      <c r="A179">
        <v>178</v>
      </c>
      <c r="B179" t="s">
        <v>16</v>
      </c>
      <c r="C179">
        <v>7</v>
      </c>
      <c r="D179" t="s">
        <v>611</v>
      </c>
      <c r="E179" t="s">
        <v>18</v>
      </c>
      <c r="F179" t="s">
        <v>21</v>
      </c>
      <c r="G179" t="s">
        <v>20</v>
      </c>
      <c r="H179" t="s">
        <v>18</v>
      </c>
      <c r="I179">
        <v>4</v>
      </c>
      <c r="J179">
        <v>5</v>
      </c>
      <c r="K179" s="2">
        <v>10000</v>
      </c>
      <c r="L179" t="s">
        <v>53</v>
      </c>
      <c r="M179" t="s">
        <v>23</v>
      </c>
      <c r="N179" t="s">
        <v>24</v>
      </c>
      <c r="O179" t="s">
        <v>546</v>
      </c>
      <c r="P179" t="s">
        <v>612</v>
      </c>
      <c r="Q179">
        <f t="shared" si="36"/>
        <v>4</v>
      </c>
      <c r="R179">
        <f t="shared" si="37"/>
        <v>1</v>
      </c>
      <c r="S179">
        <f t="shared" si="38"/>
        <v>2</v>
      </c>
      <c r="T179">
        <f t="shared" si="39"/>
        <v>4</v>
      </c>
      <c r="U179">
        <v>10000</v>
      </c>
      <c r="V179">
        <f t="shared" si="40"/>
        <v>0</v>
      </c>
      <c r="W179">
        <f t="shared" si="41"/>
        <v>0</v>
      </c>
      <c r="X179">
        <f t="shared" si="42"/>
        <v>1</v>
      </c>
      <c r="Y179">
        <f t="shared" si="43"/>
        <v>0</v>
      </c>
      <c r="Z179">
        <f t="shared" si="44"/>
        <v>0</v>
      </c>
      <c r="AA179">
        <f t="shared" si="45"/>
        <v>1</v>
      </c>
      <c r="AB179">
        <f t="shared" si="46"/>
        <v>0</v>
      </c>
      <c r="AC179">
        <f t="shared" si="47"/>
        <v>0</v>
      </c>
      <c r="AD179">
        <f t="shared" si="48"/>
        <v>0</v>
      </c>
      <c r="AE179">
        <f t="shared" si="49"/>
        <v>0</v>
      </c>
      <c r="AF179">
        <f t="shared" si="50"/>
        <v>0</v>
      </c>
      <c r="AG179">
        <f t="shared" si="51"/>
        <v>0</v>
      </c>
      <c r="AH179">
        <f t="shared" si="52"/>
        <v>1</v>
      </c>
      <c r="AI179">
        <f t="shared" si="53"/>
        <v>0</v>
      </c>
    </row>
    <row r="180" spans="1:35" x14ac:dyDescent="0.2">
      <c r="A180">
        <v>179</v>
      </c>
      <c r="B180" t="s">
        <v>16</v>
      </c>
      <c r="C180">
        <v>7</v>
      </c>
      <c r="D180" t="s">
        <v>613</v>
      </c>
      <c r="E180" t="s">
        <v>18</v>
      </c>
      <c r="F180" t="s">
        <v>20</v>
      </c>
      <c r="G180" t="s">
        <v>20</v>
      </c>
      <c r="H180" t="s">
        <v>18</v>
      </c>
      <c r="I180">
        <v>4</v>
      </c>
      <c r="J180">
        <v>5</v>
      </c>
      <c r="K180">
        <v>20</v>
      </c>
      <c r="L180" t="s">
        <v>70</v>
      </c>
      <c r="M180" t="s">
        <v>219</v>
      </c>
      <c r="N180" t="s">
        <v>24</v>
      </c>
      <c r="O180" t="s">
        <v>614</v>
      </c>
      <c r="P180" t="s">
        <v>615</v>
      </c>
      <c r="Q180">
        <f t="shared" si="36"/>
        <v>4</v>
      </c>
      <c r="R180">
        <f t="shared" si="37"/>
        <v>2</v>
      </c>
      <c r="S180">
        <f t="shared" si="38"/>
        <v>2</v>
      </c>
      <c r="T180">
        <f t="shared" si="39"/>
        <v>4</v>
      </c>
      <c r="U180">
        <v>20</v>
      </c>
      <c r="V180">
        <f t="shared" si="40"/>
        <v>0</v>
      </c>
      <c r="W180">
        <f t="shared" si="41"/>
        <v>0</v>
      </c>
      <c r="X180">
        <f t="shared" si="42"/>
        <v>0</v>
      </c>
      <c r="Y180">
        <f t="shared" si="43"/>
        <v>1</v>
      </c>
      <c r="Z180">
        <f t="shared" si="44"/>
        <v>0</v>
      </c>
      <c r="AA180">
        <f t="shared" si="45"/>
        <v>0</v>
      </c>
      <c r="AB180">
        <f t="shared" si="46"/>
        <v>0</v>
      </c>
      <c r="AC180">
        <f t="shared" si="47"/>
        <v>0</v>
      </c>
      <c r="AD180">
        <f t="shared" si="48"/>
        <v>0</v>
      </c>
      <c r="AE180">
        <f t="shared" si="49"/>
        <v>1</v>
      </c>
      <c r="AF180">
        <f t="shared" si="50"/>
        <v>0</v>
      </c>
      <c r="AG180">
        <f t="shared" si="51"/>
        <v>0</v>
      </c>
      <c r="AH180">
        <f t="shared" si="52"/>
        <v>1</v>
      </c>
      <c r="AI180">
        <f t="shared" si="53"/>
        <v>0</v>
      </c>
    </row>
    <row r="181" spans="1:35" x14ac:dyDescent="0.2">
      <c r="A181">
        <v>180</v>
      </c>
      <c r="B181" t="s">
        <v>16</v>
      </c>
      <c r="C181">
        <v>8</v>
      </c>
      <c r="D181" t="s">
        <v>616</v>
      </c>
      <c r="E181" t="s">
        <v>18</v>
      </c>
      <c r="F181" t="s">
        <v>21</v>
      </c>
      <c r="G181" t="s">
        <v>21</v>
      </c>
      <c r="H181" t="s">
        <v>18</v>
      </c>
      <c r="I181">
        <v>3</v>
      </c>
      <c r="J181">
        <v>4</v>
      </c>
      <c r="K181" t="s">
        <v>617</v>
      </c>
      <c r="L181" t="s">
        <v>66</v>
      </c>
      <c r="M181" t="s">
        <v>179</v>
      </c>
      <c r="N181" t="s">
        <v>49</v>
      </c>
      <c r="O181" t="s">
        <v>618</v>
      </c>
      <c r="P181" t="s">
        <v>619</v>
      </c>
      <c r="Q181">
        <f t="shared" si="36"/>
        <v>4</v>
      </c>
      <c r="R181">
        <f t="shared" si="37"/>
        <v>1</v>
      </c>
      <c r="S181">
        <f t="shared" si="38"/>
        <v>1</v>
      </c>
      <c r="T181">
        <f t="shared" si="39"/>
        <v>4</v>
      </c>
      <c r="U181">
        <v>12</v>
      </c>
      <c r="V181">
        <f t="shared" si="40"/>
        <v>0</v>
      </c>
      <c r="W181">
        <f t="shared" si="41"/>
        <v>1</v>
      </c>
      <c r="X181">
        <f t="shared" si="42"/>
        <v>1</v>
      </c>
      <c r="Y181">
        <f t="shared" si="43"/>
        <v>0</v>
      </c>
      <c r="Z181">
        <f t="shared" si="44"/>
        <v>0</v>
      </c>
      <c r="AA181">
        <f t="shared" si="45"/>
        <v>0</v>
      </c>
      <c r="AB181">
        <f t="shared" si="46"/>
        <v>0</v>
      </c>
      <c r="AC181">
        <f t="shared" si="47"/>
        <v>0</v>
      </c>
      <c r="AD181">
        <f t="shared" si="48"/>
        <v>1</v>
      </c>
      <c r="AE181">
        <f t="shared" si="49"/>
        <v>1</v>
      </c>
      <c r="AF181">
        <f t="shared" si="50"/>
        <v>0</v>
      </c>
      <c r="AG181">
        <f t="shared" si="51"/>
        <v>1</v>
      </c>
      <c r="AH181">
        <f t="shared" si="52"/>
        <v>1</v>
      </c>
      <c r="AI181">
        <f t="shared" si="53"/>
        <v>0</v>
      </c>
    </row>
    <row r="182" spans="1:35" x14ac:dyDescent="0.2">
      <c r="A182">
        <v>181</v>
      </c>
      <c r="B182" t="s">
        <v>16</v>
      </c>
      <c r="C182">
        <v>7</v>
      </c>
      <c r="D182" t="s">
        <v>620</v>
      </c>
      <c r="E182" t="s">
        <v>18</v>
      </c>
      <c r="F182" t="s">
        <v>21</v>
      </c>
      <c r="G182" t="s">
        <v>20</v>
      </c>
      <c r="H182" t="s">
        <v>18</v>
      </c>
      <c r="I182">
        <v>4</v>
      </c>
      <c r="J182">
        <v>4</v>
      </c>
      <c r="K182" t="s">
        <v>621</v>
      </c>
      <c r="L182" t="s">
        <v>53</v>
      </c>
      <c r="M182" t="s">
        <v>99</v>
      </c>
      <c r="N182" t="s">
        <v>622</v>
      </c>
      <c r="O182" t="s">
        <v>623</v>
      </c>
      <c r="P182" t="s">
        <v>624</v>
      </c>
      <c r="Q182">
        <f t="shared" si="36"/>
        <v>4</v>
      </c>
      <c r="R182">
        <f t="shared" si="37"/>
        <v>1</v>
      </c>
      <c r="S182">
        <f t="shared" si="38"/>
        <v>2</v>
      </c>
      <c r="T182">
        <f t="shared" si="39"/>
        <v>4</v>
      </c>
      <c r="U182">
        <v>5</v>
      </c>
      <c r="V182">
        <f t="shared" si="40"/>
        <v>0</v>
      </c>
      <c r="W182">
        <f t="shared" si="41"/>
        <v>0</v>
      </c>
      <c r="X182">
        <f t="shared" si="42"/>
        <v>1</v>
      </c>
      <c r="Y182">
        <f t="shared" si="43"/>
        <v>0</v>
      </c>
      <c r="Z182">
        <f t="shared" si="44"/>
        <v>0</v>
      </c>
      <c r="AA182">
        <f t="shared" si="45"/>
        <v>1</v>
      </c>
      <c r="AB182">
        <f t="shared" si="46"/>
        <v>0</v>
      </c>
      <c r="AC182">
        <f t="shared" si="47"/>
        <v>0</v>
      </c>
      <c r="AD182">
        <f t="shared" si="48"/>
        <v>0</v>
      </c>
      <c r="AE182">
        <f t="shared" si="49"/>
        <v>1</v>
      </c>
      <c r="AF182">
        <f t="shared" si="50"/>
        <v>0</v>
      </c>
      <c r="AG182">
        <f t="shared" si="51"/>
        <v>1</v>
      </c>
      <c r="AH182">
        <f t="shared" si="52"/>
        <v>0</v>
      </c>
      <c r="AI182">
        <f t="shared" si="53"/>
        <v>1</v>
      </c>
    </row>
    <row r="183" spans="1:35" x14ac:dyDescent="0.2">
      <c r="A183">
        <v>182</v>
      </c>
      <c r="B183" t="s">
        <v>16</v>
      </c>
      <c r="C183">
        <v>4</v>
      </c>
      <c r="D183" t="s">
        <v>625</v>
      </c>
      <c r="E183" t="s">
        <v>20</v>
      </c>
      <c r="F183" t="s">
        <v>20</v>
      </c>
      <c r="G183" t="s">
        <v>21</v>
      </c>
      <c r="H183" t="s">
        <v>19</v>
      </c>
      <c r="I183">
        <v>3</v>
      </c>
      <c r="J183">
        <v>4</v>
      </c>
      <c r="K183" t="s">
        <v>626</v>
      </c>
      <c r="L183" t="s">
        <v>22</v>
      </c>
      <c r="M183" t="s">
        <v>23</v>
      </c>
      <c r="N183" t="s">
        <v>24</v>
      </c>
      <c r="O183" t="s">
        <v>627</v>
      </c>
      <c r="P183" t="s">
        <v>628</v>
      </c>
      <c r="Q183">
        <f t="shared" si="36"/>
        <v>2</v>
      </c>
      <c r="R183">
        <f t="shared" si="37"/>
        <v>2</v>
      </c>
      <c r="S183">
        <f t="shared" si="38"/>
        <v>1</v>
      </c>
      <c r="T183">
        <f t="shared" si="39"/>
        <v>3</v>
      </c>
      <c r="U183">
        <v>50</v>
      </c>
      <c r="V183">
        <f t="shared" si="40"/>
        <v>1</v>
      </c>
      <c r="W183">
        <f t="shared" si="41"/>
        <v>0</v>
      </c>
      <c r="X183">
        <f t="shared" si="42"/>
        <v>0</v>
      </c>
      <c r="Y183">
        <f t="shared" si="43"/>
        <v>0</v>
      </c>
      <c r="Z183">
        <f t="shared" si="44"/>
        <v>0</v>
      </c>
      <c r="AA183">
        <f t="shared" si="45"/>
        <v>1</v>
      </c>
      <c r="AB183">
        <f t="shared" si="46"/>
        <v>0</v>
      </c>
      <c r="AC183">
        <f t="shared" si="47"/>
        <v>0</v>
      </c>
      <c r="AD183">
        <f t="shared" si="48"/>
        <v>0</v>
      </c>
      <c r="AE183">
        <f t="shared" si="49"/>
        <v>0</v>
      </c>
      <c r="AF183">
        <f t="shared" si="50"/>
        <v>0</v>
      </c>
      <c r="AG183">
        <f t="shared" si="51"/>
        <v>0</v>
      </c>
      <c r="AH183">
        <f t="shared" si="52"/>
        <v>1</v>
      </c>
      <c r="AI183">
        <f t="shared" si="53"/>
        <v>0</v>
      </c>
    </row>
    <row r="184" spans="1:35" x14ac:dyDescent="0.2">
      <c r="A184">
        <v>183</v>
      </c>
      <c r="B184" t="s">
        <v>16</v>
      </c>
      <c r="C184">
        <v>9</v>
      </c>
      <c r="D184" t="s">
        <v>629</v>
      </c>
      <c r="E184" t="s">
        <v>39</v>
      </c>
      <c r="F184" t="s">
        <v>20</v>
      </c>
      <c r="G184" t="s">
        <v>20</v>
      </c>
      <c r="H184" t="s">
        <v>39</v>
      </c>
      <c r="I184">
        <v>2</v>
      </c>
      <c r="J184">
        <v>5</v>
      </c>
      <c r="K184">
        <v>10</v>
      </c>
      <c r="L184" t="s">
        <v>53</v>
      </c>
      <c r="M184" t="s">
        <v>99</v>
      </c>
      <c r="N184" t="s">
        <v>24</v>
      </c>
      <c r="O184" t="s">
        <v>322</v>
      </c>
      <c r="P184" t="s">
        <v>630</v>
      </c>
      <c r="Q184">
        <f t="shared" si="36"/>
        <v>5</v>
      </c>
      <c r="R184">
        <f t="shared" si="37"/>
        <v>2</v>
      </c>
      <c r="S184">
        <f t="shared" si="38"/>
        <v>2</v>
      </c>
      <c r="T184">
        <f t="shared" si="39"/>
        <v>5</v>
      </c>
      <c r="U184">
        <v>10</v>
      </c>
      <c r="V184">
        <f t="shared" si="40"/>
        <v>0</v>
      </c>
      <c r="W184">
        <f t="shared" si="41"/>
        <v>0</v>
      </c>
      <c r="X184">
        <f t="shared" si="42"/>
        <v>1</v>
      </c>
      <c r="Y184">
        <f t="shared" si="43"/>
        <v>0</v>
      </c>
      <c r="Z184">
        <f t="shared" si="44"/>
        <v>0</v>
      </c>
      <c r="AA184">
        <f t="shared" si="45"/>
        <v>1</v>
      </c>
      <c r="AB184">
        <f t="shared" si="46"/>
        <v>0</v>
      </c>
      <c r="AC184">
        <f t="shared" si="47"/>
        <v>0</v>
      </c>
      <c r="AD184">
        <f t="shared" si="48"/>
        <v>0</v>
      </c>
      <c r="AE184">
        <f t="shared" si="49"/>
        <v>1</v>
      </c>
      <c r="AF184">
        <f t="shared" si="50"/>
        <v>0</v>
      </c>
      <c r="AG184">
        <f t="shared" si="51"/>
        <v>0</v>
      </c>
      <c r="AH184">
        <f t="shared" si="52"/>
        <v>1</v>
      </c>
      <c r="AI184">
        <f t="shared" si="53"/>
        <v>0</v>
      </c>
    </row>
    <row r="185" spans="1:35" x14ac:dyDescent="0.2">
      <c r="A185">
        <v>184</v>
      </c>
      <c r="B185" t="s">
        <v>16</v>
      </c>
      <c r="C185">
        <v>8</v>
      </c>
      <c r="D185" t="s">
        <v>631</v>
      </c>
      <c r="E185" t="s">
        <v>19</v>
      </c>
      <c r="F185" t="s">
        <v>21</v>
      </c>
      <c r="G185" t="s">
        <v>18</v>
      </c>
      <c r="H185" t="s">
        <v>20</v>
      </c>
      <c r="I185">
        <v>5</v>
      </c>
      <c r="J185">
        <v>7</v>
      </c>
      <c r="K185" t="s">
        <v>632</v>
      </c>
      <c r="L185" t="s">
        <v>75</v>
      </c>
      <c r="M185" t="s">
        <v>23</v>
      </c>
      <c r="N185" t="s">
        <v>24</v>
      </c>
      <c r="O185" t="s">
        <v>633</v>
      </c>
      <c r="P185" t="s">
        <v>634</v>
      </c>
      <c r="Q185">
        <f t="shared" si="36"/>
        <v>3</v>
      </c>
      <c r="R185">
        <f t="shared" si="37"/>
        <v>1</v>
      </c>
      <c r="S185">
        <f t="shared" si="38"/>
        <v>4</v>
      </c>
      <c r="T185">
        <f t="shared" si="39"/>
        <v>2</v>
      </c>
      <c r="U185">
        <v>100000000</v>
      </c>
      <c r="V185">
        <f t="shared" si="40"/>
        <v>0</v>
      </c>
      <c r="W185">
        <f t="shared" si="41"/>
        <v>0</v>
      </c>
      <c r="X185">
        <f t="shared" si="42"/>
        <v>1</v>
      </c>
      <c r="Y185">
        <f t="shared" si="43"/>
        <v>1</v>
      </c>
      <c r="Z185">
        <f t="shared" si="44"/>
        <v>0</v>
      </c>
      <c r="AA185">
        <f t="shared" si="45"/>
        <v>1</v>
      </c>
      <c r="AB185">
        <f t="shared" si="46"/>
        <v>0</v>
      </c>
      <c r="AC185">
        <f t="shared" si="47"/>
        <v>0</v>
      </c>
      <c r="AD185">
        <f t="shared" si="48"/>
        <v>0</v>
      </c>
      <c r="AE185">
        <f t="shared" si="49"/>
        <v>0</v>
      </c>
      <c r="AF185">
        <f t="shared" si="50"/>
        <v>0</v>
      </c>
      <c r="AG185">
        <f t="shared" si="51"/>
        <v>0</v>
      </c>
      <c r="AH185">
        <f t="shared" si="52"/>
        <v>1</v>
      </c>
      <c r="AI185">
        <f t="shared" si="53"/>
        <v>0</v>
      </c>
    </row>
    <row r="186" spans="1:35" x14ac:dyDescent="0.2">
      <c r="A186">
        <v>185</v>
      </c>
      <c r="B186" t="s">
        <v>16</v>
      </c>
      <c r="C186">
        <v>6</v>
      </c>
      <c r="D186" t="s">
        <v>635</v>
      </c>
      <c r="E186" t="s">
        <v>18</v>
      </c>
      <c r="F186" t="s">
        <v>21</v>
      </c>
      <c r="G186" t="s">
        <v>19</v>
      </c>
      <c r="H186" t="s">
        <v>18</v>
      </c>
      <c r="I186">
        <v>4</v>
      </c>
      <c r="J186">
        <v>3</v>
      </c>
      <c r="K186">
        <v>100</v>
      </c>
      <c r="L186" t="s">
        <v>98</v>
      </c>
      <c r="M186" t="s">
        <v>219</v>
      </c>
      <c r="N186" t="s">
        <v>215</v>
      </c>
      <c r="O186" t="s">
        <v>636</v>
      </c>
      <c r="P186" t="s">
        <v>637</v>
      </c>
      <c r="Q186">
        <f t="shared" si="36"/>
        <v>4</v>
      </c>
      <c r="R186">
        <f t="shared" si="37"/>
        <v>1</v>
      </c>
      <c r="S186">
        <f t="shared" si="38"/>
        <v>3</v>
      </c>
      <c r="T186">
        <f t="shared" si="39"/>
        <v>4</v>
      </c>
      <c r="U186">
        <v>100</v>
      </c>
      <c r="V186">
        <f t="shared" si="40"/>
        <v>0</v>
      </c>
      <c r="W186">
        <f t="shared" si="41"/>
        <v>1</v>
      </c>
      <c r="X186">
        <f t="shared" si="42"/>
        <v>0</v>
      </c>
      <c r="Y186">
        <f t="shared" si="43"/>
        <v>0</v>
      </c>
      <c r="Z186">
        <f t="shared" si="44"/>
        <v>0</v>
      </c>
      <c r="AA186">
        <f t="shared" si="45"/>
        <v>0</v>
      </c>
      <c r="AB186">
        <f t="shared" si="46"/>
        <v>0</v>
      </c>
      <c r="AC186">
        <f t="shared" si="47"/>
        <v>0</v>
      </c>
      <c r="AD186">
        <f t="shared" si="48"/>
        <v>0</v>
      </c>
      <c r="AE186">
        <f t="shared" si="49"/>
        <v>1</v>
      </c>
      <c r="AF186">
        <f t="shared" si="50"/>
        <v>1</v>
      </c>
      <c r="AG186">
        <f t="shared" si="51"/>
        <v>0</v>
      </c>
      <c r="AH186">
        <f t="shared" si="52"/>
        <v>0</v>
      </c>
      <c r="AI186">
        <f t="shared" si="53"/>
        <v>0</v>
      </c>
    </row>
    <row r="187" spans="1:35" x14ac:dyDescent="0.2">
      <c r="A187">
        <v>186</v>
      </c>
      <c r="B187" t="s">
        <v>16</v>
      </c>
      <c r="C187">
        <v>6</v>
      </c>
      <c r="D187" t="s">
        <v>638</v>
      </c>
      <c r="E187" t="s">
        <v>18</v>
      </c>
      <c r="F187" t="s">
        <v>21</v>
      </c>
      <c r="G187" t="s">
        <v>20</v>
      </c>
      <c r="H187" t="s">
        <v>18</v>
      </c>
      <c r="I187">
        <v>3</v>
      </c>
      <c r="J187">
        <v>4</v>
      </c>
      <c r="K187">
        <v>0</v>
      </c>
      <c r="L187" t="s">
        <v>41</v>
      </c>
      <c r="M187" t="s">
        <v>42</v>
      </c>
      <c r="N187" t="s">
        <v>84</v>
      </c>
      <c r="O187" t="s">
        <v>639</v>
      </c>
      <c r="P187" t="s">
        <v>640</v>
      </c>
      <c r="Q187">
        <f t="shared" si="36"/>
        <v>4</v>
      </c>
      <c r="R187">
        <f t="shared" si="37"/>
        <v>1</v>
      </c>
      <c r="S187">
        <f t="shared" si="38"/>
        <v>2</v>
      </c>
      <c r="T187">
        <f t="shared" si="39"/>
        <v>4</v>
      </c>
      <c r="U187">
        <v>0</v>
      </c>
      <c r="V187">
        <f t="shared" si="40"/>
        <v>0</v>
      </c>
      <c r="W187">
        <f t="shared" si="41"/>
        <v>0</v>
      </c>
      <c r="X187">
        <f t="shared" si="42"/>
        <v>0</v>
      </c>
      <c r="Y187">
        <f t="shared" si="43"/>
        <v>0</v>
      </c>
      <c r="Z187">
        <f t="shared" si="44"/>
        <v>1</v>
      </c>
      <c r="AA187">
        <f t="shared" si="45"/>
        <v>0</v>
      </c>
      <c r="AB187">
        <f t="shared" si="46"/>
        <v>1</v>
      </c>
      <c r="AC187">
        <f t="shared" si="47"/>
        <v>0</v>
      </c>
      <c r="AD187">
        <f t="shared" si="48"/>
        <v>0</v>
      </c>
      <c r="AE187">
        <f t="shared" si="49"/>
        <v>0</v>
      </c>
      <c r="AF187">
        <f t="shared" si="50"/>
        <v>0</v>
      </c>
      <c r="AG187">
        <f t="shared" si="51"/>
        <v>1</v>
      </c>
      <c r="AH187">
        <f t="shared" si="52"/>
        <v>0</v>
      </c>
      <c r="AI187">
        <f t="shared" si="53"/>
        <v>0</v>
      </c>
    </row>
    <row r="188" spans="1:35" x14ac:dyDescent="0.2">
      <c r="A188">
        <v>187</v>
      </c>
      <c r="B188" t="s">
        <v>16</v>
      </c>
      <c r="C188">
        <v>7</v>
      </c>
      <c r="D188" t="s">
        <v>641</v>
      </c>
      <c r="E188" t="s">
        <v>18</v>
      </c>
      <c r="F188" t="s">
        <v>20</v>
      </c>
      <c r="G188" t="s">
        <v>18</v>
      </c>
      <c r="H188" t="s">
        <v>18</v>
      </c>
      <c r="I188">
        <v>3</v>
      </c>
      <c r="J188">
        <v>5</v>
      </c>
      <c r="K188" s="1">
        <v>0</v>
      </c>
      <c r="L188" t="s">
        <v>47</v>
      </c>
      <c r="M188" t="s">
        <v>291</v>
      </c>
      <c r="N188" t="s">
        <v>24</v>
      </c>
      <c r="O188" t="s">
        <v>642</v>
      </c>
      <c r="P188" t="s">
        <v>643</v>
      </c>
      <c r="Q188">
        <f t="shared" si="36"/>
        <v>4</v>
      </c>
      <c r="R188">
        <f t="shared" si="37"/>
        <v>2</v>
      </c>
      <c r="S188">
        <f t="shared" si="38"/>
        <v>4</v>
      </c>
      <c r="T188">
        <f t="shared" si="39"/>
        <v>4</v>
      </c>
      <c r="U188">
        <v>0</v>
      </c>
      <c r="V188">
        <f t="shared" si="40"/>
        <v>0</v>
      </c>
      <c r="W188">
        <f t="shared" si="41"/>
        <v>0</v>
      </c>
      <c r="X188">
        <f t="shared" si="42"/>
        <v>1</v>
      </c>
      <c r="Y188">
        <f t="shared" si="43"/>
        <v>0</v>
      </c>
      <c r="Z188">
        <f t="shared" si="44"/>
        <v>1</v>
      </c>
      <c r="AA188">
        <f t="shared" si="45"/>
        <v>0</v>
      </c>
      <c r="AB188">
        <f t="shared" si="46"/>
        <v>1</v>
      </c>
      <c r="AC188">
        <f t="shared" si="47"/>
        <v>0</v>
      </c>
      <c r="AD188">
        <f t="shared" si="48"/>
        <v>1</v>
      </c>
      <c r="AE188">
        <f t="shared" si="49"/>
        <v>0</v>
      </c>
      <c r="AF188">
        <f t="shared" si="50"/>
        <v>0</v>
      </c>
      <c r="AG188">
        <f t="shared" si="51"/>
        <v>0</v>
      </c>
      <c r="AH188">
        <f t="shared" si="52"/>
        <v>1</v>
      </c>
      <c r="AI188">
        <f t="shared" si="53"/>
        <v>0</v>
      </c>
    </row>
    <row r="189" spans="1:35" x14ac:dyDescent="0.2">
      <c r="A189">
        <v>188</v>
      </c>
      <c r="B189" t="s">
        <v>16</v>
      </c>
      <c r="C189">
        <v>8</v>
      </c>
      <c r="D189" t="s">
        <v>644</v>
      </c>
      <c r="E189" t="s">
        <v>18</v>
      </c>
      <c r="F189" t="s">
        <v>39</v>
      </c>
      <c r="G189" t="s">
        <v>39</v>
      </c>
      <c r="H189" t="s">
        <v>19</v>
      </c>
      <c r="I189">
        <v>3</v>
      </c>
      <c r="J189">
        <v>1</v>
      </c>
      <c r="K189">
        <v>20</v>
      </c>
      <c r="L189" t="s">
        <v>41</v>
      </c>
      <c r="M189" t="s">
        <v>154</v>
      </c>
      <c r="N189" t="s">
        <v>49</v>
      </c>
      <c r="O189" t="s">
        <v>645</v>
      </c>
      <c r="P189" t="s">
        <v>646</v>
      </c>
      <c r="Q189">
        <f t="shared" si="36"/>
        <v>4</v>
      </c>
      <c r="R189">
        <f t="shared" si="37"/>
        <v>5</v>
      </c>
      <c r="S189">
        <f t="shared" si="38"/>
        <v>5</v>
      </c>
      <c r="T189">
        <f t="shared" si="39"/>
        <v>3</v>
      </c>
      <c r="U189">
        <v>20</v>
      </c>
      <c r="V189">
        <f t="shared" si="40"/>
        <v>0</v>
      </c>
      <c r="W189">
        <f t="shared" si="41"/>
        <v>0</v>
      </c>
      <c r="X189">
        <f t="shared" si="42"/>
        <v>0</v>
      </c>
      <c r="Y189">
        <f t="shared" si="43"/>
        <v>0</v>
      </c>
      <c r="Z189">
        <f t="shared" si="44"/>
        <v>1</v>
      </c>
      <c r="AA189">
        <f t="shared" si="45"/>
        <v>1</v>
      </c>
      <c r="AB189">
        <f t="shared" si="46"/>
        <v>0</v>
      </c>
      <c r="AC189">
        <f t="shared" si="47"/>
        <v>1</v>
      </c>
      <c r="AD189">
        <f t="shared" si="48"/>
        <v>0</v>
      </c>
      <c r="AE189">
        <f t="shared" si="49"/>
        <v>0</v>
      </c>
      <c r="AF189">
        <f t="shared" si="50"/>
        <v>0</v>
      </c>
      <c r="AG189">
        <f t="shared" si="51"/>
        <v>1</v>
      </c>
      <c r="AH189">
        <f t="shared" si="52"/>
        <v>1</v>
      </c>
      <c r="AI189">
        <f t="shared" si="53"/>
        <v>0</v>
      </c>
    </row>
    <row r="190" spans="1:35" x14ac:dyDescent="0.2">
      <c r="A190">
        <v>189</v>
      </c>
      <c r="B190" t="s">
        <v>16</v>
      </c>
      <c r="C190">
        <v>8</v>
      </c>
      <c r="D190" t="s">
        <v>647</v>
      </c>
      <c r="E190" t="s">
        <v>18</v>
      </c>
      <c r="F190" t="s">
        <v>19</v>
      </c>
      <c r="G190" t="s">
        <v>20</v>
      </c>
      <c r="H190" t="s">
        <v>18</v>
      </c>
      <c r="I190">
        <v>9</v>
      </c>
      <c r="J190">
        <v>7</v>
      </c>
      <c r="K190" t="s">
        <v>648</v>
      </c>
      <c r="L190" t="s">
        <v>562</v>
      </c>
      <c r="M190" t="s">
        <v>99</v>
      </c>
      <c r="N190" t="s">
        <v>84</v>
      </c>
      <c r="O190" t="s">
        <v>590</v>
      </c>
      <c r="P190" t="s">
        <v>649</v>
      </c>
      <c r="Q190">
        <f t="shared" si="36"/>
        <v>4</v>
      </c>
      <c r="R190">
        <f t="shared" si="37"/>
        <v>3</v>
      </c>
      <c r="S190">
        <f t="shared" si="38"/>
        <v>2</v>
      </c>
      <c r="T190">
        <f t="shared" si="39"/>
        <v>4</v>
      </c>
      <c r="U190">
        <v>30</v>
      </c>
      <c r="V190">
        <f t="shared" si="40"/>
        <v>0</v>
      </c>
      <c r="W190">
        <f t="shared" si="41"/>
        <v>1</v>
      </c>
      <c r="X190">
        <f t="shared" si="42"/>
        <v>1</v>
      </c>
      <c r="Y190">
        <f t="shared" si="43"/>
        <v>0</v>
      </c>
      <c r="Z190">
        <f t="shared" si="44"/>
        <v>1</v>
      </c>
      <c r="AA190">
        <f t="shared" si="45"/>
        <v>1</v>
      </c>
      <c r="AB190">
        <f t="shared" si="46"/>
        <v>0</v>
      </c>
      <c r="AC190">
        <f t="shared" si="47"/>
        <v>0</v>
      </c>
      <c r="AD190">
        <f t="shared" si="48"/>
        <v>0</v>
      </c>
      <c r="AE190">
        <f t="shared" si="49"/>
        <v>1</v>
      </c>
      <c r="AF190">
        <f t="shared" si="50"/>
        <v>0</v>
      </c>
      <c r="AG190">
        <f t="shared" si="51"/>
        <v>1</v>
      </c>
      <c r="AH190">
        <f t="shared" si="52"/>
        <v>0</v>
      </c>
      <c r="AI190">
        <f t="shared" si="53"/>
        <v>0</v>
      </c>
    </row>
    <row r="191" spans="1:35" x14ac:dyDescent="0.2">
      <c r="A191">
        <v>190</v>
      </c>
      <c r="B191" t="s">
        <v>16</v>
      </c>
      <c r="C191">
        <v>6</v>
      </c>
      <c r="D191" t="s">
        <v>650</v>
      </c>
      <c r="E191" t="s">
        <v>18</v>
      </c>
      <c r="F191" t="s">
        <v>19</v>
      </c>
      <c r="G191" t="s">
        <v>20</v>
      </c>
      <c r="H191" t="s">
        <v>18</v>
      </c>
      <c r="I191">
        <v>4</v>
      </c>
      <c r="J191">
        <v>1</v>
      </c>
      <c r="K191" s="1">
        <v>400000</v>
      </c>
      <c r="L191" t="s">
        <v>53</v>
      </c>
      <c r="M191" t="s">
        <v>135</v>
      </c>
      <c r="N191" t="s">
        <v>651</v>
      </c>
      <c r="O191" t="s">
        <v>652</v>
      </c>
      <c r="P191" t="s">
        <v>653</v>
      </c>
      <c r="Q191">
        <f t="shared" si="36"/>
        <v>4</v>
      </c>
      <c r="R191">
        <f t="shared" si="37"/>
        <v>3</v>
      </c>
      <c r="S191">
        <f t="shared" si="38"/>
        <v>2</v>
      </c>
      <c r="T191">
        <f t="shared" si="39"/>
        <v>4</v>
      </c>
      <c r="U191">
        <v>400000</v>
      </c>
      <c r="V191">
        <f t="shared" si="40"/>
        <v>0</v>
      </c>
      <c r="W191">
        <f t="shared" si="41"/>
        <v>0</v>
      </c>
      <c r="X191">
        <f t="shared" si="42"/>
        <v>1</v>
      </c>
      <c r="Y191">
        <f t="shared" si="43"/>
        <v>0</v>
      </c>
      <c r="Z191">
        <f t="shared" si="44"/>
        <v>0</v>
      </c>
      <c r="AA191">
        <f t="shared" si="45"/>
        <v>1</v>
      </c>
      <c r="AB191">
        <f t="shared" si="46"/>
        <v>1</v>
      </c>
      <c r="AC191">
        <f t="shared" si="47"/>
        <v>0</v>
      </c>
      <c r="AD191">
        <f t="shared" si="48"/>
        <v>0</v>
      </c>
      <c r="AE191">
        <f t="shared" si="49"/>
        <v>0</v>
      </c>
      <c r="AF191">
        <f t="shared" si="50"/>
        <v>1</v>
      </c>
      <c r="AG191">
        <f t="shared" si="51"/>
        <v>0</v>
      </c>
      <c r="AH191">
        <f t="shared" si="52"/>
        <v>1</v>
      </c>
      <c r="AI191">
        <f t="shared" si="53"/>
        <v>0</v>
      </c>
    </row>
    <row r="192" spans="1:35" x14ac:dyDescent="0.2">
      <c r="A192">
        <v>191</v>
      </c>
      <c r="B192" t="s">
        <v>16</v>
      </c>
      <c r="C192">
        <v>8</v>
      </c>
      <c r="D192" t="s">
        <v>654</v>
      </c>
      <c r="E192" t="s">
        <v>18</v>
      </c>
      <c r="F192" t="s">
        <v>21</v>
      </c>
      <c r="G192" t="s">
        <v>20</v>
      </c>
      <c r="H192" t="s">
        <v>18</v>
      </c>
      <c r="I192">
        <v>6</v>
      </c>
      <c r="J192">
        <v>6</v>
      </c>
      <c r="K192" t="s">
        <v>655</v>
      </c>
      <c r="L192" t="s">
        <v>22</v>
      </c>
      <c r="M192" t="s">
        <v>291</v>
      </c>
      <c r="N192" t="s">
        <v>36</v>
      </c>
      <c r="O192" t="s">
        <v>656</v>
      </c>
      <c r="P192" t="s">
        <v>657</v>
      </c>
      <c r="Q192">
        <f t="shared" si="36"/>
        <v>4</v>
      </c>
      <c r="R192">
        <f t="shared" si="37"/>
        <v>1</v>
      </c>
      <c r="S192">
        <f t="shared" si="38"/>
        <v>2</v>
      </c>
      <c r="T192">
        <f t="shared" si="39"/>
        <v>4</v>
      </c>
      <c r="U192">
        <v>5</v>
      </c>
      <c r="V192">
        <f t="shared" si="40"/>
        <v>1</v>
      </c>
      <c r="W192">
        <f t="shared" si="41"/>
        <v>0</v>
      </c>
      <c r="X192">
        <f t="shared" si="42"/>
        <v>0</v>
      </c>
      <c r="Y192">
        <f t="shared" si="43"/>
        <v>0</v>
      </c>
      <c r="Z192">
        <f t="shared" si="44"/>
        <v>0</v>
      </c>
      <c r="AA192">
        <f t="shared" si="45"/>
        <v>0</v>
      </c>
      <c r="AB192">
        <f t="shared" si="46"/>
        <v>1</v>
      </c>
      <c r="AC192">
        <f t="shared" si="47"/>
        <v>0</v>
      </c>
      <c r="AD192">
        <f t="shared" si="48"/>
        <v>1</v>
      </c>
      <c r="AE192">
        <f t="shared" si="49"/>
        <v>0</v>
      </c>
      <c r="AF192">
        <f t="shared" si="50"/>
        <v>0</v>
      </c>
      <c r="AG192">
        <f t="shared" si="51"/>
        <v>0</v>
      </c>
      <c r="AH192">
        <f t="shared" si="52"/>
        <v>0</v>
      </c>
      <c r="AI192">
        <f t="shared" si="53"/>
        <v>1</v>
      </c>
    </row>
    <row r="193" spans="1:35" x14ac:dyDescent="0.2">
      <c r="A193">
        <v>192</v>
      </c>
      <c r="B193" t="s">
        <v>16</v>
      </c>
      <c r="C193">
        <v>5</v>
      </c>
      <c r="D193" t="s">
        <v>658</v>
      </c>
      <c r="E193" t="s">
        <v>18</v>
      </c>
      <c r="F193" t="s">
        <v>21</v>
      </c>
      <c r="G193" t="s">
        <v>21</v>
      </c>
      <c r="H193" t="s">
        <v>39</v>
      </c>
      <c r="I193">
        <v>6</v>
      </c>
      <c r="J193">
        <v>9</v>
      </c>
      <c r="K193" s="1">
        <v>40</v>
      </c>
      <c r="L193" t="s">
        <v>66</v>
      </c>
      <c r="M193" t="s">
        <v>23</v>
      </c>
      <c r="N193" t="s">
        <v>24</v>
      </c>
      <c r="O193" t="s">
        <v>659</v>
      </c>
      <c r="P193" t="s">
        <v>660</v>
      </c>
      <c r="Q193">
        <f t="shared" si="36"/>
        <v>4</v>
      </c>
      <c r="R193">
        <f t="shared" si="37"/>
        <v>1</v>
      </c>
      <c r="S193">
        <f t="shared" si="38"/>
        <v>1</v>
      </c>
      <c r="T193">
        <f t="shared" si="39"/>
        <v>5</v>
      </c>
      <c r="U193">
        <v>40</v>
      </c>
      <c r="V193">
        <f t="shared" si="40"/>
        <v>0</v>
      </c>
      <c r="W193">
        <f t="shared" si="41"/>
        <v>1</v>
      </c>
      <c r="X193">
        <f t="shared" si="42"/>
        <v>1</v>
      </c>
      <c r="Y193">
        <f t="shared" si="43"/>
        <v>0</v>
      </c>
      <c r="Z193">
        <f t="shared" si="44"/>
        <v>0</v>
      </c>
      <c r="AA193">
        <f t="shared" si="45"/>
        <v>1</v>
      </c>
      <c r="AB193">
        <f t="shared" si="46"/>
        <v>0</v>
      </c>
      <c r="AC193">
        <f t="shared" si="47"/>
        <v>0</v>
      </c>
      <c r="AD193">
        <f t="shared" si="48"/>
        <v>0</v>
      </c>
      <c r="AE193">
        <f t="shared" si="49"/>
        <v>0</v>
      </c>
      <c r="AF193">
        <f t="shared" si="50"/>
        <v>0</v>
      </c>
      <c r="AG193">
        <f t="shared" si="51"/>
        <v>0</v>
      </c>
      <c r="AH193">
        <f t="shared" si="52"/>
        <v>1</v>
      </c>
      <c r="AI193">
        <f t="shared" si="53"/>
        <v>0</v>
      </c>
    </row>
    <row r="194" spans="1:35" x14ac:dyDescent="0.2">
      <c r="A194">
        <v>193</v>
      </c>
      <c r="B194" t="s">
        <v>16</v>
      </c>
      <c r="C194">
        <v>5</v>
      </c>
      <c r="D194" t="s">
        <v>661</v>
      </c>
      <c r="E194" t="s">
        <v>20</v>
      </c>
      <c r="F194" t="s">
        <v>19</v>
      </c>
      <c r="G194" t="s">
        <v>18</v>
      </c>
      <c r="H194" t="s">
        <v>19</v>
      </c>
      <c r="I194">
        <v>8</v>
      </c>
      <c r="J194">
        <v>4</v>
      </c>
      <c r="K194" s="1">
        <v>40</v>
      </c>
      <c r="L194" t="s">
        <v>22</v>
      </c>
      <c r="M194" t="s">
        <v>23</v>
      </c>
      <c r="N194" t="s">
        <v>84</v>
      </c>
      <c r="O194" t="s">
        <v>662</v>
      </c>
      <c r="P194" t="s">
        <v>663</v>
      </c>
      <c r="Q194">
        <f t="shared" si="36"/>
        <v>2</v>
      </c>
      <c r="R194">
        <f t="shared" si="37"/>
        <v>3</v>
      </c>
      <c r="S194">
        <f t="shared" si="38"/>
        <v>4</v>
      </c>
      <c r="T194">
        <f t="shared" si="39"/>
        <v>3</v>
      </c>
      <c r="U194">
        <v>40</v>
      </c>
      <c r="V194">
        <f t="shared" si="40"/>
        <v>1</v>
      </c>
      <c r="W194">
        <f t="shared" si="41"/>
        <v>0</v>
      </c>
      <c r="X194">
        <f t="shared" si="42"/>
        <v>0</v>
      </c>
      <c r="Y194">
        <f t="shared" si="43"/>
        <v>0</v>
      </c>
      <c r="Z194">
        <f t="shared" si="44"/>
        <v>0</v>
      </c>
      <c r="AA194">
        <f t="shared" si="45"/>
        <v>1</v>
      </c>
      <c r="AB194">
        <f t="shared" si="46"/>
        <v>0</v>
      </c>
      <c r="AC194">
        <f t="shared" si="47"/>
        <v>0</v>
      </c>
      <c r="AD194">
        <f t="shared" si="48"/>
        <v>0</v>
      </c>
      <c r="AE194">
        <f t="shared" si="49"/>
        <v>0</v>
      </c>
      <c r="AF194">
        <f t="shared" si="50"/>
        <v>0</v>
      </c>
      <c r="AG194">
        <f t="shared" si="51"/>
        <v>1</v>
      </c>
      <c r="AH194">
        <f t="shared" si="52"/>
        <v>0</v>
      </c>
      <c r="AI194">
        <f t="shared" si="53"/>
        <v>0</v>
      </c>
    </row>
    <row r="195" spans="1:35" x14ac:dyDescent="0.2">
      <c r="A195">
        <v>194</v>
      </c>
      <c r="B195" t="s">
        <v>16</v>
      </c>
      <c r="C195">
        <v>8</v>
      </c>
      <c r="D195" t="s">
        <v>664</v>
      </c>
      <c r="E195" t="s">
        <v>39</v>
      </c>
      <c r="F195" t="s">
        <v>19</v>
      </c>
      <c r="G195" t="s">
        <v>21</v>
      </c>
      <c r="H195" t="s">
        <v>19</v>
      </c>
      <c r="I195">
        <v>3</v>
      </c>
      <c r="J195">
        <v>5</v>
      </c>
      <c r="K195" t="s">
        <v>665</v>
      </c>
      <c r="L195" t="s">
        <v>22</v>
      </c>
      <c r="M195" t="s">
        <v>23</v>
      </c>
      <c r="N195" t="s">
        <v>84</v>
      </c>
      <c r="O195" t="s">
        <v>666</v>
      </c>
      <c r="P195" t="s">
        <v>667</v>
      </c>
      <c r="Q195">
        <f t="shared" ref="Q195:Q258" si="54">IF(E195="", "", LEFT(E195, 1) * 1)</f>
        <v>5</v>
      </c>
      <c r="R195">
        <f t="shared" ref="R195:R258" si="55">IF(F195="","",VALUE(LEFT(F195,FIND(" ",F195)-1)))</f>
        <v>3</v>
      </c>
      <c r="S195">
        <f t="shared" ref="S195:S258" si="56">IF(G195="","",VALUE(LEFT(G195,FIND(" ",G195)-1)))</f>
        <v>1</v>
      </c>
      <c r="T195">
        <f t="shared" ref="T195:T258" si="57">IF(H195="","",VALUE(LEFT(H195,FIND(" ",H195)-1)))</f>
        <v>3</v>
      </c>
      <c r="U195">
        <v>100</v>
      </c>
      <c r="V195">
        <f t="shared" ref="V195:V258" si="58">IF(L195="",0,IF(ISNUMBER(SEARCH("Bathroom",L195)),1,0))</f>
        <v>1</v>
      </c>
      <c r="W195">
        <f t="shared" ref="W195:W258" si="59">IF(L195="",0,IF(ISNUMBER(SEARCH("Dining room",L195)),1,0))</f>
        <v>0</v>
      </c>
      <c r="X195">
        <f t="shared" ref="X195:X258" si="60">IF(L195="",0,IF(ISNUMBER(SEARCH("Office",L195)),1,0))</f>
        <v>0</v>
      </c>
      <c r="Y195">
        <f t="shared" ref="Y195:Y258" si="61">IF(L195="",0,IF(ISNUMBER(SEARCH("Bedroom",L195)),1,0))</f>
        <v>0</v>
      </c>
      <c r="Z195">
        <f t="shared" ref="Z195:Z258" si="62">IF(L195="",0,IF(ISNUMBER(SEARCH("Living room",L195)),1,0))</f>
        <v>0</v>
      </c>
      <c r="AA195">
        <f t="shared" ref="AA195:AA258" si="63">IF(M195="",0, IF(ISNUMBER(SEARCH("By yourself",M195)), 1, 0))</f>
        <v>1</v>
      </c>
      <c r="AB195">
        <f t="shared" ref="AB195:AB258" si="64">IF(M195="", 0, IF(ISNUMBER(SEARCH("Friends", M195)), 1, 0))</f>
        <v>0</v>
      </c>
      <c r="AC195">
        <f t="shared" ref="AC195:AC258" si="65">IF(M195="",0,IF(ISNUMBER(SEARCH("Family members", M195)), 1, 0))</f>
        <v>0</v>
      </c>
      <c r="AD195">
        <f t="shared" ref="AD195:AD258" si="66">IF(M195="", 0, IF(ISNUMBER(SEARCH("Coworkers/Classmates", M195)), 1, 0))</f>
        <v>0</v>
      </c>
      <c r="AE195">
        <f t="shared" ref="AE195:AE258" si="67">IF(M195="", 0, IF(ISNUMBER(SEARCH("Strangers", M195)), 1, 0))</f>
        <v>0</v>
      </c>
      <c r="AF195">
        <f t="shared" ref="AF195:AF258" si="68">IF(N195="", 0, IF(ISNUMBER(SEARCH("Spring", N195)), 1, 0))</f>
        <v>0</v>
      </c>
      <c r="AG195">
        <f t="shared" ref="AG195:AG258" si="69">IF(N195="", 0, IF(ISNUMBER(SEARCH("Summer", N195)), 1, 0))</f>
        <v>1</v>
      </c>
      <c r="AH195">
        <f t="shared" ref="AH195:AH258" si="70">IF(N195="", 0, IF(ISNUMBER(SEARCH("Fall", N195)), 1, 0))</f>
        <v>0</v>
      </c>
      <c r="AI195">
        <f t="shared" ref="AI195:AI258" si="71">IF(N195="", 0, IF(ISNUMBER(SEARCH("Winter", N195)), 1, 0))</f>
        <v>0</v>
      </c>
    </row>
    <row r="196" spans="1:35" x14ac:dyDescent="0.2">
      <c r="A196">
        <v>195</v>
      </c>
      <c r="B196" t="s">
        <v>16</v>
      </c>
      <c r="C196">
        <v>8</v>
      </c>
      <c r="D196" t="s">
        <v>668</v>
      </c>
      <c r="E196" t="s">
        <v>19</v>
      </c>
      <c r="F196" t="s">
        <v>20</v>
      </c>
      <c r="G196" t="s">
        <v>20</v>
      </c>
      <c r="H196" t="s">
        <v>18</v>
      </c>
      <c r="I196">
        <v>8</v>
      </c>
      <c r="J196">
        <v>8</v>
      </c>
      <c r="K196">
        <v>100</v>
      </c>
      <c r="L196" t="s">
        <v>98</v>
      </c>
      <c r="M196" t="s">
        <v>23</v>
      </c>
      <c r="N196" t="s">
        <v>36</v>
      </c>
      <c r="O196" t="s">
        <v>669</v>
      </c>
      <c r="P196" t="s">
        <v>670</v>
      </c>
      <c r="Q196">
        <f t="shared" si="54"/>
        <v>3</v>
      </c>
      <c r="R196">
        <f t="shared" si="55"/>
        <v>2</v>
      </c>
      <c r="S196">
        <f t="shared" si="56"/>
        <v>2</v>
      </c>
      <c r="T196">
        <f t="shared" si="57"/>
        <v>4</v>
      </c>
      <c r="U196">
        <v>100</v>
      </c>
      <c r="V196">
        <f t="shared" si="58"/>
        <v>0</v>
      </c>
      <c r="W196">
        <f t="shared" si="59"/>
        <v>1</v>
      </c>
      <c r="X196">
        <f t="shared" si="60"/>
        <v>0</v>
      </c>
      <c r="Y196">
        <f t="shared" si="61"/>
        <v>0</v>
      </c>
      <c r="Z196">
        <f t="shared" si="62"/>
        <v>0</v>
      </c>
      <c r="AA196">
        <f t="shared" si="63"/>
        <v>1</v>
      </c>
      <c r="AB196">
        <f t="shared" si="64"/>
        <v>0</v>
      </c>
      <c r="AC196">
        <f t="shared" si="65"/>
        <v>0</v>
      </c>
      <c r="AD196">
        <f t="shared" si="66"/>
        <v>0</v>
      </c>
      <c r="AE196">
        <f t="shared" si="67"/>
        <v>0</v>
      </c>
      <c r="AF196">
        <f t="shared" si="68"/>
        <v>0</v>
      </c>
      <c r="AG196">
        <f t="shared" si="69"/>
        <v>0</v>
      </c>
      <c r="AH196">
        <f t="shared" si="70"/>
        <v>0</v>
      </c>
      <c r="AI196">
        <f t="shared" si="71"/>
        <v>1</v>
      </c>
    </row>
    <row r="197" spans="1:35" x14ac:dyDescent="0.2">
      <c r="A197">
        <v>196</v>
      </c>
      <c r="B197" t="s">
        <v>16</v>
      </c>
      <c r="C197">
        <v>7</v>
      </c>
      <c r="D197" t="s">
        <v>671</v>
      </c>
      <c r="E197" t="s">
        <v>39</v>
      </c>
      <c r="F197" t="s">
        <v>20</v>
      </c>
      <c r="G197" t="s">
        <v>20</v>
      </c>
      <c r="H197" t="s">
        <v>18</v>
      </c>
      <c r="I197">
        <v>4</v>
      </c>
      <c r="J197">
        <v>4</v>
      </c>
      <c r="K197">
        <v>250</v>
      </c>
      <c r="L197" t="s">
        <v>53</v>
      </c>
      <c r="M197" t="s">
        <v>291</v>
      </c>
      <c r="N197" t="s">
        <v>215</v>
      </c>
      <c r="O197" t="s">
        <v>378</v>
      </c>
      <c r="P197" t="s">
        <v>672</v>
      </c>
      <c r="Q197">
        <f t="shared" si="54"/>
        <v>5</v>
      </c>
      <c r="R197">
        <f t="shared" si="55"/>
        <v>2</v>
      </c>
      <c r="S197">
        <f t="shared" si="56"/>
        <v>2</v>
      </c>
      <c r="T197">
        <f t="shared" si="57"/>
        <v>4</v>
      </c>
      <c r="U197">
        <v>250</v>
      </c>
      <c r="V197">
        <f t="shared" si="58"/>
        <v>0</v>
      </c>
      <c r="W197">
        <f t="shared" si="59"/>
        <v>0</v>
      </c>
      <c r="X197">
        <f t="shared" si="60"/>
        <v>1</v>
      </c>
      <c r="Y197">
        <f t="shared" si="61"/>
        <v>0</v>
      </c>
      <c r="Z197">
        <f t="shared" si="62"/>
        <v>0</v>
      </c>
      <c r="AA197">
        <f t="shared" si="63"/>
        <v>0</v>
      </c>
      <c r="AB197">
        <f t="shared" si="64"/>
        <v>1</v>
      </c>
      <c r="AC197">
        <f t="shared" si="65"/>
        <v>0</v>
      </c>
      <c r="AD197">
        <f t="shared" si="66"/>
        <v>1</v>
      </c>
      <c r="AE197">
        <f t="shared" si="67"/>
        <v>0</v>
      </c>
      <c r="AF197">
        <f t="shared" si="68"/>
        <v>1</v>
      </c>
      <c r="AG197">
        <f t="shared" si="69"/>
        <v>0</v>
      </c>
      <c r="AH197">
        <f t="shared" si="70"/>
        <v>0</v>
      </c>
      <c r="AI197">
        <f t="shared" si="71"/>
        <v>0</v>
      </c>
    </row>
    <row r="198" spans="1:35" x14ac:dyDescent="0.2">
      <c r="A198">
        <v>197</v>
      </c>
      <c r="B198" t="s">
        <v>16</v>
      </c>
      <c r="C198">
        <v>7</v>
      </c>
      <c r="D198" t="s">
        <v>673</v>
      </c>
      <c r="E198" t="s">
        <v>18</v>
      </c>
      <c r="F198" t="s">
        <v>20</v>
      </c>
      <c r="G198" t="s">
        <v>20</v>
      </c>
      <c r="H198" t="s">
        <v>18</v>
      </c>
      <c r="I198">
        <v>4</v>
      </c>
      <c r="J198">
        <v>5</v>
      </c>
      <c r="K198" s="1">
        <v>12000</v>
      </c>
      <c r="L198" t="s">
        <v>53</v>
      </c>
      <c r="M198" t="s">
        <v>23</v>
      </c>
      <c r="N198" t="s">
        <v>24</v>
      </c>
      <c r="O198" t="s">
        <v>674</v>
      </c>
      <c r="P198" t="s">
        <v>675</v>
      </c>
      <c r="Q198">
        <f t="shared" si="54"/>
        <v>4</v>
      </c>
      <c r="R198">
        <f t="shared" si="55"/>
        <v>2</v>
      </c>
      <c r="S198">
        <f t="shared" si="56"/>
        <v>2</v>
      </c>
      <c r="T198">
        <f t="shared" si="57"/>
        <v>4</v>
      </c>
      <c r="U198">
        <v>12000</v>
      </c>
      <c r="V198">
        <f t="shared" si="58"/>
        <v>0</v>
      </c>
      <c r="W198">
        <f t="shared" si="59"/>
        <v>0</v>
      </c>
      <c r="X198">
        <f t="shared" si="60"/>
        <v>1</v>
      </c>
      <c r="Y198">
        <f t="shared" si="61"/>
        <v>0</v>
      </c>
      <c r="Z198">
        <f t="shared" si="62"/>
        <v>0</v>
      </c>
      <c r="AA198">
        <f t="shared" si="63"/>
        <v>1</v>
      </c>
      <c r="AB198">
        <f t="shared" si="64"/>
        <v>0</v>
      </c>
      <c r="AC198">
        <f t="shared" si="65"/>
        <v>0</v>
      </c>
      <c r="AD198">
        <f t="shared" si="66"/>
        <v>0</v>
      </c>
      <c r="AE198">
        <f t="shared" si="67"/>
        <v>0</v>
      </c>
      <c r="AF198">
        <f t="shared" si="68"/>
        <v>0</v>
      </c>
      <c r="AG198">
        <f t="shared" si="69"/>
        <v>0</v>
      </c>
      <c r="AH198">
        <f t="shared" si="70"/>
        <v>1</v>
      </c>
      <c r="AI198">
        <f t="shared" si="71"/>
        <v>0</v>
      </c>
    </row>
    <row r="199" spans="1:35" ht="85" x14ac:dyDescent="0.2">
      <c r="A199">
        <v>198</v>
      </c>
      <c r="B199" t="s">
        <v>16</v>
      </c>
      <c r="C199">
        <v>8</v>
      </c>
      <c r="D199" s="3" t="s">
        <v>676</v>
      </c>
      <c r="E199" t="s">
        <v>18</v>
      </c>
      <c r="F199" t="s">
        <v>18</v>
      </c>
      <c r="G199" t="s">
        <v>39</v>
      </c>
      <c r="H199" t="s">
        <v>18</v>
      </c>
      <c r="I199">
        <v>7</v>
      </c>
      <c r="J199">
        <v>5</v>
      </c>
      <c r="K199">
        <v>10000</v>
      </c>
      <c r="L199" t="s">
        <v>53</v>
      </c>
      <c r="M199" t="s">
        <v>115</v>
      </c>
      <c r="N199" t="s">
        <v>24</v>
      </c>
      <c r="O199" t="s">
        <v>677</v>
      </c>
      <c r="P199" t="s">
        <v>678</v>
      </c>
      <c r="Q199">
        <f t="shared" si="54"/>
        <v>4</v>
      </c>
      <c r="R199">
        <f t="shared" si="55"/>
        <v>4</v>
      </c>
      <c r="S199">
        <f t="shared" si="56"/>
        <v>5</v>
      </c>
      <c r="T199">
        <f t="shared" si="57"/>
        <v>4</v>
      </c>
      <c r="U199">
        <v>10000</v>
      </c>
      <c r="V199">
        <f t="shared" si="58"/>
        <v>0</v>
      </c>
      <c r="W199">
        <f t="shared" si="59"/>
        <v>0</v>
      </c>
      <c r="X199">
        <f t="shared" si="60"/>
        <v>1</v>
      </c>
      <c r="Y199">
        <f t="shared" si="61"/>
        <v>0</v>
      </c>
      <c r="Z199">
        <f t="shared" si="62"/>
        <v>0</v>
      </c>
      <c r="AA199">
        <f t="shared" si="63"/>
        <v>0</v>
      </c>
      <c r="AB199">
        <f t="shared" si="64"/>
        <v>0</v>
      </c>
      <c r="AC199">
        <f t="shared" si="65"/>
        <v>1</v>
      </c>
      <c r="AD199">
        <f t="shared" si="66"/>
        <v>0</v>
      </c>
      <c r="AE199">
        <f t="shared" si="67"/>
        <v>0</v>
      </c>
      <c r="AF199">
        <f t="shared" si="68"/>
        <v>0</v>
      </c>
      <c r="AG199">
        <f t="shared" si="69"/>
        <v>0</v>
      </c>
      <c r="AH199">
        <f t="shared" si="70"/>
        <v>1</v>
      </c>
      <c r="AI199">
        <f t="shared" si="71"/>
        <v>0</v>
      </c>
    </row>
    <row r="200" spans="1:35" x14ac:dyDescent="0.2">
      <c r="A200">
        <v>199</v>
      </c>
      <c r="B200" t="s">
        <v>16</v>
      </c>
      <c r="C200">
        <v>7</v>
      </c>
      <c r="D200" t="s">
        <v>679</v>
      </c>
      <c r="E200" t="s">
        <v>18</v>
      </c>
      <c r="F200" t="s">
        <v>20</v>
      </c>
      <c r="G200" t="s">
        <v>18</v>
      </c>
      <c r="H200" t="s">
        <v>18</v>
      </c>
      <c r="I200">
        <v>3</v>
      </c>
      <c r="J200">
        <v>4</v>
      </c>
      <c r="K200" s="1">
        <v>500</v>
      </c>
      <c r="L200" t="s">
        <v>79</v>
      </c>
      <c r="M200" t="s">
        <v>23</v>
      </c>
      <c r="N200" t="s">
        <v>84</v>
      </c>
      <c r="O200" t="s">
        <v>680</v>
      </c>
      <c r="P200" t="s">
        <v>681</v>
      </c>
      <c r="Q200">
        <f t="shared" si="54"/>
        <v>4</v>
      </c>
      <c r="R200">
        <f t="shared" si="55"/>
        <v>2</v>
      </c>
      <c r="S200">
        <f t="shared" si="56"/>
        <v>4</v>
      </c>
      <c r="T200">
        <f t="shared" si="57"/>
        <v>4</v>
      </c>
      <c r="U200">
        <v>500</v>
      </c>
      <c r="V200">
        <f t="shared" si="58"/>
        <v>0</v>
      </c>
      <c r="W200">
        <f t="shared" si="59"/>
        <v>1</v>
      </c>
      <c r="X200">
        <f t="shared" si="60"/>
        <v>0</v>
      </c>
      <c r="Y200">
        <f t="shared" si="61"/>
        <v>0</v>
      </c>
      <c r="Z200">
        <f t="shared" si="62"/>
        <v>1</v>
      </c>
      <c r="AA200">
        <f t="shared" si="63"/>
        <v>1</v>
      </c>
      <c r="AB200">
        <f t="shared" si="64"/>
        <v>0</v>
      </c>
      <c r="AC200">
        <f t="shared" si="65"/>
        <v>0</v>
      </c>
      <c r="AD200">
        <f t="shared" si="66"/>
        <v>0</v>
      </c>
      <c r="AE200">
        <f t="shared" si="67"/>
        <v>0</v>
      </c>
      <c r="AF200">
        <f t="shared" si="68"/>
        <v>0</v>
      </c>
      <c r="AG200">
        <f t="shared" si="69"/>
        <v>1</v>
      </c>
      <c r="AH200">
        <f t="shared" si="70"/>
        <v>0</v>
      </c>
      <c r="AI200">
        <f t="shared" si="71"/>
        <v>0</v>
      </c>
    </row>
    <row r="201" spans="1:35" x14ac:dyDescent="0.2">
      <c r="A201">
        <v>200</v>
      </c>
      <c r="B201" t="s">
        <v>16</v>
      </c>
      <c r="C201">
        <v>8</v>
      </c>
      <c r="D201" t="s">
        <v>682</v>
      </c>
      <c r="E201" t="s">
        <v>18</v>
      </c>
      <c r="F201" t="s">
        <v>19</v>
      </c>
      <c r="G201" t="s">
        <v>18</v>
      </c>
      <c r="H201" t="s">
        <v>20</v>
      </c>
      <c r="I201">
        <v>5</v>
      </c>
      <c r="J201">
        <v>4</v>
      </c>
      <c r="K201">
        <v>0</v>
      </c>
      <c r="L201" t="s">
        <v>47</v>
      </c>
      <c r="M201" t="s">
        <v>23</v>
      </c>
      <c r="N201" t="s">
        <v>84</v>
      </c>
      <c r="O201" t="s">
        <v>683</v>
      </c>
      <c r="P201" t="s">
        <v>684</v>
      </c>
      <c r="Q201">
        <f t="shared" si="54"/>
        <v>4</v>
      </c>
      <c r="R201">
        <f t="shared" si="55"/>
        <v>3</v>
      </c>
      <c r="S201">
        <f t="shared" si="56"/>
        <v>4</v>
      </c>
      <c r="T201">
        <f t="shared" si="57"/>
        <v>2</v>
      </c>
      <c r="U201">
        <v>0</v>
      </c>
      <c r="V201">
        <f t="shared" si="58"/>
        <v>0</v>
      </c>
      <c r="W201">
        <f t="shared" si="59"/>
        <v>0</v>
      </c>
      <c r="X201">
        <f t="shared" si="60"/>
        <v>1</v>
      </c>
      <c r="Y201">
        <f t="shared" si="61"/>
        <v>0</v>
      </c>
      <c r="Z201">
        <f t="shared" si="62"/>
        <v>1</v>
      </c>
      <c r="AA201">
        <f t="shared" si="63"/>
        <v>1</v>
      </c>
      <c r="AB201">
        <f t="shared" si="64"/>
        <v>0</v>
      </c>
      <c r="AC201">
        <f t="shared" si="65"/>
        <v>0</v>
      </c>
      <c r="AD201">
        <f t="shared" si="66"/>
        <v>0</v>
      </c>
      <c r="AE201">
        <f t="shared" si="67"/>
        <v>0</v>
      </c>
      <c r="AF201">
        <f t="shared" si="68"/>
        <v>0</v>
      </c>
      <c r="AG201">
        <f t="shared" si="69"/>
        <v>1</v>
      </c>
      <c r="AH201">
        <f t="shared" si="70"/>
        <v>0</v>
      </c>
      <c r="AI201">
        <f t="shared" si="71"/>
        <v>0</v>
      </c>
    </row>
    <row r="202" spans="1:35" x14ac:dyDescent="0.2">
      <c r="A202">
        <v>201</v>
      </c>
      <c r="B202" t="s">
        <v>16</v>
      </c>
      <c r="C202">
        <v>7</v>
      </c>
      <c r="D202" t="s">
        <v>685</v>
      </c>
      <c r="E202" t="s">
        <v>18</v>
      </c>
      <c r="F202" t="s">
        <v>20</v>
      </c>
      <c r="G202" t="s">
        <v>21</v>
      </c>
      <c r="H202" t="s">
        <v>39</v>
      </c>
      <c r="I202">
        <v>4</v>
      </c>
      <c r="J202">
        <v>11</v>
      </c>
      <c r="K202">
        <v>1000</v>
      </c>
      <c r="L202" t="s">
        <v>41</v>
      </c>
      <c r="M202" t="s">
        <v>23</v>
      </c>
      <c r="N202" t="s">
        <v>84</v>
      </c>
      <c r="O202" t="s">
        <v>686</v>
      </c>
      <c r="P202" t="s">
        <v>687</v>
      </c>
      <c r="Q202">
        <f t="shared" si="54"/>
        <v>4</v>
      </c>
      <c r="R202">
        <f t="shared" si="55"/>
        <v>2</v>
      </c>
      <c r="S202">
        <f t="shared" si="56"/>
        <v>1</v>
      </c>
      <c r="T202">
        <f t="shared" si="57"/>
        <v>5</v>
      </c>
      <c r="U202">
        <v>1000</v>
      </c>
      <c r="V202">
        <f t="shared" si="58"/>
        <v>0</v>
      </c>
      <c r="W202">
        <f t="shared" si="59"/>
        <v>0</v>
      </c>
      <c r="X202">
        <f t="shared" si="60"/>
        <v>0</v>
      </c>
      <c r="Y202">
        <f t="shared" si="61"/>
        <v>0</v>
      </c>
      <c r="Z202">
        <f t="shared" si="62"/>
        <v>1</v>
      </c>
      <c r="AA202">
        <f t="shared" si="63"/>
        <v>1</v>
      </c>
      <c r="AB202">
        <f t="shared" si="64"/>
        <v>0</v>
      </c>
      <c r="AC202">
        <f t="shared" si="65"/>
        <v>0</v>
      </c>
      <c r="AD202">
        <f t="shared" si="66"/>
        <v>0</v>
      </c>
      <c r="AE202">
        <f t="shared" si="67"/>
        <v>0</v>
      </c>
      <c r="AF202">
        <f t="shared" si="68"/>
        <v>0</v>
      </c>
      <c r="AG202">
        <f t="shared" si="69"/>
        <v>1</v>
      </c>
      <c r="AH202">
        <f t="shared" si="70"/>
        <v>0</v>
      </c>
      <c r="AI202">
        <f t="shared" si="71"/>
        <v>0</v>
      </c>
    </row>
    <row r="203" spans="1:35" x14ac:dyDescent="0.2">
      <c r="A203">
        <v>202</v>
      </c>
      <c r="B203" t="s">
        <v>16</v>
      </c>
      <c r="C203">
        <v>7</v>
      </c>
      <c r="D203" t="s">
        <v>688</v>
      </c>
      <c r="E203" t="s">
        <v>39</v>
      </c>
      <c r="F203" t="s">
        <v>21</v>
      </c>
      <c r="G203" t="s">
        <v>21</v>
      </c>
      <c r="H203" t="s">
        <v>39</v>
      </c>
      <c r="I203">
        <v>4</v>
      </c>
      <c r="J203">
        <v>5</v>
      </c>
      <c r="K203" s="1">
        <v>20</v>
      </c>
      <c r="L203" t="s">
        <v>53</v>
      </c>
      <c r="M203" t="s">
        <v>99</v>
      </c>
      <c r="N203" t="s">
        <v>215</v>
      </c>
      <c r="O203" t="s">
        <v>546</v>
      </c>
      <c r="P203" t="s">
        <v>689</v>
      </c>
      <c r="Q203">
        <f t="shared" si="54"/>
        <v>5</v>
      </c>
      <c r="R203">
        <f t="shared" si="55"/>
        <v>1</v>
      </c>
      <c r="S203">
        <f t="shared" si="56"/>
        <v>1</v>
      </c>
      <c r="T203">
        <f t="shared" si="57"/>
        <v>5</v>
      </c>
      <c r="U203">
        <v>20</v>
      </c>
      <c r="V203">
        <f t="shared" si="58"/>
        <v>0</v>
      </c>
      <c r="W203">
        <f t="shared" si="59"/>
        <v>0</v>
      </c>
      <c r="X203">
        <f t="shared" si="60"/>
        <v>1</v>
      </c>
      <c r="Y203">
        <f t="shared" si="61"/>
        <v>0</v>
      </c>
      <c r="Z203">
        <f t="shared" si="62"/>
        <v>0</v>
      </c>
      <c r="AA203">
        <f t="shared" si="63"/>
        <v>1</v>
      </c>
      <c r="AB203">
        <f t="shared" si="64"/>
        <v>0</v>
      </c>
      <c r="AC203">
        <f t="shared" si="65"/>
        <v>0</v>
      </c>
      <c r="AD203">
        <f t="shared" si="66"/>
        <v>0</v>
      </c>
      <c r="AE203">
        <f t="shared" si="67"/>
        <v>1</v>
      </c>
      <c r="AF203">
        <f t="shared" si="68"/>
        <v>1</v>
      </c>
      <c r="AG203">
        <f t="shared" si="69"/>
        <v>0</v>
      </c>
      <c r="AH203">
        <f t="shared" si="70"/>
        <v>0</v>
      </c>
      <c r="AI203">
        <f t="shared" si="71"/>
        <v>0</v>
      </c>
    </row>
    <row r="204" spans="1:35" x14ac:dyDescent="0.2">
      <c r="A204">
        <v>203</v>
      </c>
      <c r="B204" t="s">
        <v>16</v>
      </c>
      <c r="C204">
        <v>7</v>
      </c>
      <c r="D204" t="s">
        <v>690</v>
      </c>
      <c r="E204" t="s">
        <v>39</v>
      </c>
      <c r="F204" t="s">
        <v>21</v>
      </c>
      <c r="G204" t="s">
        <v>20</v>
      </c>
      <c r="H204" t="s">
        <v>18</v>
      </c>
      <c r="I204">
        <v>6</v>
      </c>
      <c r="J204">
        <v>7</v>
      </c>
      <c r="K204" t="s">
        <v>691</v>
      </c>
      <c r="L204" t="s">
        <v>53</v>
      </c>
      <c r="M204" t="s">
        <v>23</v>
      </c>
      <c r="N204" t="s">
        <v>36</v>
      </c>
      <c r="O204" t="s">
        <v>692</v>
      </c>
      <c r="P204" t="s">
        <v>693</v>
      </c>
      <c r="Q204">
        <f t="shared" si="54"/>
        <v>5</v>
      </c>
      <c r="R204">
        <f t="shared" si="55"/>
        <v>1</v>
      </c>
      <c r="S204">
        <f t="shared" si="56"/>
        <v>2</v>
      </c>
      <c r="T204">
        <f t="shared" si="57"/>
        <v>4</v>
      </c>
      <c r="U204">
        <v>100</v>
      </c>
      <c r="V204">
        <f t="shared" si="58"/>
        <v>0</v>
      </c>
      <c r="W204">
        <f t="shared" si="59"/>
        <v>0</v>
      </c>
      <c r="X204">
        <f t="shared" si="60"/>
        <v>1</v>
      </c>
      <c r="Y204">
        <f t="shared" si="61"/>
        <v>0</v>
      </c>
      <c r="Z204">
        <f t="shared" si="62"/>
        <v>0</v>
      </c>
      <c r="AA204">
        <f t="shared" si="63"/>
        <v>1</v>
      </c>
      <c r="AB204">
        <f t="shared" si="64"/>
        <v>0</v>
      </c>
      <c r="AC204">
        <f t="shared" si="65"/>
        <v>0</v>
      </c>
      <c r="AD204">
        <f t="shared" si="66"/>
        <v>0</v>
      </c>
      <c r="AE204">
        <f t="shared" si="67"/>
        <v>0</v>
      </c>
      <c r="AF204">
        <f t="shared" si="68"/>
        <v>0</v>
      </c>
      <c r="AG204">
        <f t="shared" si="69"/>
        <v>0</v>
      </c>
      <c r="AH204">
        <f t="shared" si="70"/>
        <v>0</v>
      </c>
      <c r="AI204">
        <f t="shared" si="71"/>
        <v>1</v>
      </c>
    </row>
    <row r="205" spans="1:35" x14ac:dyDescent="0.2">
      <c r="A205">
        <v>204</v>
      </c>
      <c r="B205" t="s">
        <v>16</v>
      </c>
      <c r="C205">
        <v>7</v>
      </c>
      <c r="D205" t="s">
        <v>694</v>
      </c>
      <c r="E205" t="s">
        <v>18</v>
      </c>
      <c r="F205" t="s">
        <v>20</v>
      </c>
      <c r="G205" t="s">
        <v>20</v>
      </c>
      <c r="H205" t="s">
        <v>18</v>
      </c>
      <c r="I205">
        <v>5</v>
      </c>
      <c r="J205">
        <v>6</v>
      </c>
      <c r="K205">
        <v>50000</v>
      </c>
      <c r="L205" t="s">
        <v>41</v>
      </c>
      <c r="M205" t="s">
        <v>42</v>
      </c>
      <c r="N205" t="s">
        <v>84</v>
      </c>
      <c r="O205" t="s">
        <v>695</v>
      </c>
      <c r="P205" t="s">
        <v>696</v>
      </c>
      <c r="Q205">
        <f t="shared" si="54"/>
        <v>4</v>
      </c>
      <c r="R205">
        <f t="shared" si="55"/>
        <v>2</v>
      </c>
      <c r="S205">
        <f t="shared" si="56"/>
        <v>2</v>
      </c>
      <c r="T205">
        <f t="shared" si="57"/>
        <v>4</v>
      </c>
      <c r="U205">
        <v>50000</v>
      </c>
      <c r="V205">
        <f t="shared" si="58"/>
        <v>0</v>
      </c>
      <c r="W205">
        <f t="shared" si="59"/>
        <v>0</v>
      </c>
      <c r="X205">
        <f t="shared" si="60"/>
        <v>0</v>
      </c>
      <c r="Y205">
        <f t="shared" si="61"/>
        <v>0</v>
      </c>
      <c r="Z205">
        <f t="shared" si="62"/>
        <v>1</v>
      </c>
      <c r="AA205">
        <f t="shared" si="63"/>
        <v>0</v>
      </c>
      <c r="AB205">
        <f t="shared" si="64"/>
        <v>1</v>
      </c>
      <c r="AC205">
        <f t="shared" si="65"/>
        <v>0</v>
      </c>
      <c r="AD205">
        <f t="shared" si="66"/>
        <v>0</v>
      </c>
      <c r="AE205">
        <f t="shared" si="67"/>
        <v>0</v>
      </c>
      <c r="AF205">
        <f t="shared" si="68"/>
        <v>0</v>
      </c>
      <c r="AG205">
        <f t="shared" si="69"/>
        <v>1</v>
      </c>
      <c r="AH205">
        <f t="shared" si="70"/>
        <v>0</v>
      </c>
      <c r="AI205">
        <f t="shared" si="71"/>
        <v>0</v>
      </c>
    </row>
    <row r="206" spans="1:35" x14ac:dyDescent="0.2">
      <c r="A206">
        <v>205</v>
      </c>
      <c r="B206" t="s">
        <v>16</v>
      </c>
      <c r="C206">
        <v>7</v>
      </c>
      <c r="D206" t="s">
        <v>697</v>
      </c>
      <c r="E206" t="s">
        <v>18</v>
      </c>
      <c r="F206" t="s">
        <v>20</v>
      </c>
      <c r="G206" t="s">
        <v>18</v>
      </c>
      <c r="H206" t="s">
        <v>39</v>
      </c>
      <c r="I206">
        <v>5</v>
      </c>
      <c r="J206">
        <v>7</v>
      </c>
      <c r="K206">
        <v>500</v>
      </c>
      <c r="L206" t="s">
        <v>70</v>
      </c>
      <c r="M206" t="s">
        <v>23</v>
      </c>
      <c r="N206" t="s">
        <v>24</v>
      </c>
      <c r="O206" t="s">
        <v>698</v>
      </c>
      <c r="P206" t="s">
        <v>699</v>
      </c>
      <c r="Q206">
        <f t="shared" si="54"/>
        <v>4</v>
      </c>
      <c r="R206">
        <f t="shared" si="55"/>
        <v>2</v>
      </c>
      <c r="S206">
        <f t="shared" si="56"/>
        <v>4</v>
      </c>
      <c r="T206">
        <f t="shared" si="57"/>
        <v>5</v>
      </c>
      <c r="U206">
        <v>500</v>
      </c>
      <c r="V206">
        <f t="shared" si="58"/>
        <v>0</v>
      </c>
      <c r="W206">
        <f t="shared" si="59"/>
        <v>0</v>
      </c>
      <c r="X206">
        <f t="shared" si="60"/>
        <v>0</v>
      </c>
      <c r="Y206">
        <f t="shared" si="61"/>
        <v>1</v>
      </c>
      <c r="Z206">
        <f t="shared" si="62"/>
        <v>0</v>
      </c>
      <c r="AA206">
        <f t="shared" si="63"/>
        <v>1</v>
      </c>
      <c r="AB206">
        <f t="shared" si="64"/>
        <v>0</v>
      </c>
      <c r="AC206">
        <f t="shared" si="65"/>
        <v>0</v>
      </c>
      <c r="AD206">
        <f t="shared" si="66"/>
        <v>0</v>
      </c>
      <c r="AE206">
        <f t="shared" si="67"/>
        <v>0</v>
      </c>
      <c r="AF206">
        <f t="shared" si="68"/>
        <v>0</v>
      </c>
      <c r="AG206">
        <f t="shared" si="69"/>
        <v>0</v>
      </c>
      <c r="AH206">
        <f t="shared" si="70"/>
        <v>1</v>
      </c>
      <c r="AI206">
        <f t="shared" si="71"/>
        <v>0</v>
      </c>
    </row>
    <row r="207" spans="1:35" x14ac:dyDescent="0.2">
      <c r="A207">
        <v>206</v>
      </c>
      <c r="B207" t="s">
        <v>16</v>
      </c>
      <c r="C207">
        <v>9</v>
      </c>
      <c r="D207" t="s">
        <v>700</v>
      </c>
      <c r="E207" t="s">
        <v>39</v>
      </c>
      <c r="F207" t="s">
        <v>19</v>
      </c>
      <c r="G207" t="s">
        <v>18</v>
      </c>
      <c r="H207" t="s">
        <v>39</v>
      </c>
      <c r="I207">
        <v>3</v>
      </c>
      <c r="J207">
        <v>7</v>
      </c>
      <c r="K207">
        <v>100</v>
      </c>
      <c r="L207" t="s">
        <v>70</v>
      </c>
      <c r="M207" t="s">
        <v>23</v>
      </c>
      <c r="N207" t="s">
        <v>24</v>
      </c>
      <c r="O207" t="s">
        <v>701</v>
      </c>
      <c r="P207" t="s">
        <v>702</v>
      </c>
      <c r="Q207">
        <f t="shared" si="54"/>
        <v>5</v>
      </c>
      <c r="R207">
        <f t="shared" si="55"/>
        <v>3</v>
      </c>
      <c r="S207">
        <f t="shared" si="56"/>
        <v>4</v>
      </c>
      <c r="T207">
        <f t="shared" si="57"/>
        <v>5</v>
      </c>
      <c r="U207">
        <v>100</v>
      </c>
      <c r="V207">
        <f t="shared" si="58"/>
        <v>0</v>
      </c>
      <c r="W207">
        <f t="shared" si="59"/>
        <v>0</v>
      </c>
      <c r="X207">
        <f t="shared" si="60"/>
        <v>0</v>
      </c>
      <c r="Y207">
        <f t="shared" si="61"/>
        <v>1</v>
      </c>
      <c r="Z207">
        <f t="shared" si="62"/>
        <v>0</v>
      </c>
      <c r="AA207">
        <f t="shared" si="63"/>
        <v>1</v>
      </c>
      <c r="AB207">
        <f t="shared" si="64"/>
        <v>0</v>
      </c>
      <c r="AC207">
        <f t="shared" si="65"/>
        <v>0</v>
      </c>
      <c r="AD207">
        <f t="shared" si="66"/>
        <v>0</v>
      </c>
      <c r="AE207">
        <f t="shared" si="67"/>
        <v>0</v>
      </c>
      <c r="AF207">
        <f t="shared" si="68"/>
        <v>0</v>
      </c>
      <c r="AG207">
        <f t="shared" si="69"/>
        <v>0</v>
      </c>
      <c r="AH207">
        <f t="shared" si="70"/>
        <v>1</v>
      </c>
      <c r="AI207">
        <f t="shared" si="71"/>
        <v>0</v>
      </c>
    </row>
    <row r="208" spans="1:35" x14ac:dyDescent="0.2">
      <c r="A208">
        <v>207</v>
      </c>
      <c r="B208" t="s">
        <v>16</v>
      </c>
      <c r="C208">
        <v>7</v>
      </c>
      <c r="D208" t="s">
        <v>703</v>
      </c>
      <c r="E208" t="s">
        <v>18</v>
      </c>
      <c r="F208" t="s">
        <v>19</v>
      </c>
      <c r="G208" t="s">
        <v>39</v>
      </c>
      <c r="H208" t="s">
        <v>18</v>
      </c>
      <c r="I208">
        <v>4</v>
      </c>
      <c r="J208">
        <v>5</v>
      </c>
      <c r="K208" s="1">
        <v>75</v>
      </c>
      <c r="L208" t="s">
        <v>79</v>
      </c>
      <c r="M208" t="s">
        <v>704</v>
      </c>
      <c r="N208" t="s">
        <v>622</v>
      </c>
      <c r="O208" t="s">
        <v>705</v>
      </c>
      <c r="P208" t="s">
        <v>706</v>
      </c>
      <c r="Q208">
        <f t="shared" si="54"/>
        <v>4</v>
      </c>
      <c r="R208">
        <f t="shared" si="55"/>
        <v>3</v>
      </c>
      <c r="S208">
        <f t="shared" si="56"/>
        <v>5</v>
      </c>
      <c r="T208">
        <f t="shared" si="57"/>
        <v>4</v>
      </c>
      <c r="U208">
        <v>75</v>
      </c>
      <c r="V208">
        <f t="shared" si="58"/>
        <v>0</v>
      </c>
      <c r="W208">
        <f t="shared" si="59"/>
        <v>1</v>
      </c>
      <c r="X208">
        <f t="shared" si="60"/>
        <v>0</v>
      </c>
      <c r="Y208">
        <f t="shared" si="61"/>
        <v>0</v>
      </c>
      <c r="Z208">
        <f t="shared" si="62"/>
        <v>1</v>
      </c>
      <c r="AA208">
        <f t="shared" si="63"/>
        <v>0</v>
      </c>
      <c r="AB208">
        <f t="shared" si="64"/>
        <v>0</v>
      </c>
      <c r="AC208">
        <f t="shared" si="65"/>
        <v>1</v>
      </c>
      <c r="AD208">
        <f t="shared" si="66"/>
        <v>1</v>
      </c>
      <c r="AE208">
        <f t="shared" si="67"/>
        <v>0</v>
      </c>
      <c r="AF208">
        <f t="shared" si="68"/>
        <v>0</v>
      </c>
      <c r="AG208">
        <f t="shared" si="69"/>
        <v>1</v>
      </c>
      <c r="AH208">
        <f t="shared" si="70"/>
        <v>0</v>
      </c>
      <c r="AI208">
        <f t="shared" si="71"/>
        <v>1</v>
      </c>
    </row>
    <row r="209" spans="1:35" x14ac:dyDescent="0.2">
      <c r="A209">
        <v>208</v>
      </c>
      <c r="B209" t="s">
        <v>16</v>
      </c>
      <c r="C209">
        <v>5</v>
      </c>
      <c r="D209" t="s">
        <v>707</v>
      </c>
      <c r="E209" t="s">
        <v>18</v>
      </c>
      <c r="F209" t="s">
        <v>21</v>
      </c>
      <c r="G209" t="s">
        <v>19</v>
      </c>
      <c r="H209" t="s">
        <v>18</v>
      </c>
      <c r="I209">
        <v>5</v>
      </c>
      <c r="J209">
        <v>3</v>
      </c>
      <c r="K209">
        <v>35</v>
      </c>
      <c r="L209" t="s">
        <v>53</v>
      </c>
      <c r="M209" t="s">
        <v>23</v>
      </c>
      <c r="N209" t="s">
        <v>24</v>
      </c>
      <c r="O209" t="s">
        <v>708</v>
      </c>
      <c r="P209" t="s">
        <v>709</v>
      </c>
      <c r="Q209">
        <f t="shared" si="54"/>
        <v>4</v>
      </c>
      <c r="R209">
        <f t="shared" si="55"/>
        <v>1</v>
      </c>
      <c r="S209">
        <f t="shared" si="56"/>
        <v>3</v>
      </c>
      <c r="T209">
        <f t="shared" si="57"/>
        <v>4</v>
      </c>
      <c r="U209">
        <v>35</v>
      </c>
      <c r="V209">
        <f t="shared" si="58"/>
        <v>0</v>
      </c>
      <c r="W209">
        <f t="shared" si="59"/>
        <v>0</v>
      </c>
      <c r="X209">
        <f t="shared" si="60"/>
        <v>1</v>
      </c>
      <c r="Y209">
        <f t="shared" si="61"/>
        <v>0</v>
      </c>
      <c r="Z209">
        <f t="shared" si="62"/>
        <v>0</v>
      </c>
      <c r="AA209">
        <f t="shared" si="63"/>
        <v>1</v>
      </c>
      <c r="AB209">
        <f t="shared" si="64"/>
        <v>0</v>
      </c>
      <c r="AC209">
        <f t="shared" si="65"/>
        <v>0</v>
      </c>
      <c r="AD209">
        <f t="shared" si="66"/>
        <v>0</v>
      </c>
      <c r="AE209">
        <f t="shared" si="67"/>
        <v>0</v>
      </c>
      <c r="AF209">
        <f t="shared" si="68"/>
        <v>0</v>
      </c>
      <c r="AG209">
        <f t="shared" si="69"/>
        <v>0</v>
      </c>
      <c r="AH209">
        <f t="shared" si="70"/>
        <v>1</v>
      </c>
      <c r="AI209">
        <f t="shared" si="71"/>
        <v>0</v>
      </c>
    </row>
    <row r="210" spans="1:35" x14ac:dyDescent="0.2">
      <c r="A210">
        <v>209</v>
      </c>
      <c r="B210" t="s">
        <v>16</v>
      </c>
      <c r="C210">
        <v>4</v>
      </c>
      <c r="D210" t="s">
        <v>710</v>
      </c>
      <c r="E210" t="s">
        <v>39</v>
      </c>
      <c r="F210" t="s">
        <v>19</v>
      </c>
      <c r="G210" t="s">
        <v>19</v>
      </c>
      <c r="H210" t="s">
        <v>19</v>
      </c>
      <c r="I210">
        <v>3</v>
      </c>
      <c r="J210">
        <v>3</v>
      </c>
      <c r="K210">
        <v>22</v>
      </c>
      <c r="L210" t="s">
        <v>53</v>
      </c>
      <c r="M210" t="s">
        <v>99</v>
      </c>
      <c r="N210" t="s">
        <v>36</v>
      </c>
      <c r="O210" t="s">
        <v>711</v>
      </c>
      <c r="P210" t="s">
        <v>712</v>
      </c>
      <c r="Q210">
        <f t="shared" si="54"/>
        <v>5</v>
      </c>
      <c r="R210">
        <f t="shared" si="55"/>
        <v>3</v>
      </c>
      <c r="S210">
        <f t="shared" si="56"/>
        <v>3</v>
      </c>
      <c r="T210">
        <f t="shared" si="57"/>
        <v>3</v>
      </c>
      <c r="U210">
        <v>22</v>
      </c>
      <c r="V210">
        <f t="shared" si="58"/>
        <v>0</v>
      </c>
      <c r="W210">
        <f t="shared" si="59"/>
        <v>0</v>
      </c>
      <c r="X210">
        <f t="shared" si="60"/>
        <v>1</v>
      </c>
      <c r="Y210">
        <f t="shared" si="61"/>
        <v>0</v>
      </c>
      <c r="Z210">
        <f t="shared" si="62"/>
        <v>0</v>
      </c>
      <c r="AA210">
        <f t="shared" si="63"/>
        <v>1</v>
      </c>
      <c r="AB210">
        <f t="shared" si="64"/>
        <v>0</v>
      </c>
      <c r="AC210">
        <f t="shared" si="65"/>
        <v>0</v>
      </c>
      <c r="AD210">
        <f t="shared" si="66"/>
        <v>0</v>
      </c>
      <c r="AE210">
        <f t="shared" si="67"/>
        <v>1</v>
      </c>
      <c r="AF210">
        <f t="shared" si="68"/>
        <v>0</v>
      </c>
      <c r="AG210">
        <f t="shared" si="69"/>
        <v>0</v>
      </c>
      <c r="AH210">
        <f t="shared" si="70"/>
        <v>0</v>
      </c>
      <c r="AI210">
        <f t="shared" si="71"/>
        <v>1</v>
      </c>
    </row>
    <row r="211" spans="1:35" ht="68" x14ac:dyDescent="0.2">
      <c r="A211">
        <v>210</v>
      </c>
      <c r="B211" t="s">
        <v>16</v>
      </c>
      <c r="C211">
        <v>7</v>
      </c>
      <c r="D211" s="3" t="s">
        <v>713</v>
      </c>
      <c r="E211" t="s">
        <v>18</v>
      </c>
      <c r="F211" t="s">
        <v>20</v>
      </c>
      <c r="G211" t="s">
        <v>18</v>
      </c>
      <c r="H211" t="s">
        <v>19</v>
      </c>
      <c r="I211">
        <v>5</v>
      </c>
      <c r="J211">
        <v>11</v>
      </c>
      <c r="K211">
        <v>200</v>
      </c>
      <c r="L211" t="s">
        <v>714</v>
      </c>
      <c r="M211" t="s">
        <v>48</v>
      </c>
      <c r="N211" t="s">
        <v>147</v>
      </c>
      <c r="O211" t="s">
        <v>715</v>
      </c>
      <c r="P211" t="s">
        <v>716</v>
      </c>
      <c r="Q211">
        <f t="shared" si="54"/>
        <v>4</v>
      </c>
      <c r="R211">
        <f t="shared" si="55"/>
        <v>2</v>
      </c>
      <c r="S211">
        <f t="shared" si="56"/>
        <v>4</v>
      </c>
      <c r="T211">
        <f t="shared" si="57"/>
        <v>3</v>
      </c>
      <c r="U211">
        <v>200</v>
      </c>
      <c r="V211">
        <f t="shared" si="58"/>
        <v>0</v>
      </c>
      <c r="W211">
        <f t="shared" si="59"/>
        <v>0</v>
      </c>
      <c r="X211">
        <f t="shared" si="60"/>
        <v>1</v>
      </c>
      <c r="Y211">
        <f t="shared" si="61"/>
        <v>1</v>
      </c>
      <c r="Z211">
        <f t="shared" si="62"/>
        <v>1</v>
      </c>
      <c r="AA211">
        <f t="shared" si="63"/>
        <v>1</v>
      </c>
      <c r="AB211">
        <f t="shared" si="64"/>
        <v>1</v>
      </c>
      <c r="AC211">
        <f t="shared" si="65"/>
        <v>1</v>
      </c>
      <c r="AD211">
        <f t="shared" si="66"/>
        <v>0</v>
      </c>
      <c r="AE211">
        <f t="shared" si="67"/>
        <v>0</v>
      </c>
      <c r="AF211">
        <f t="shared" si="68"/>
        <v>0</v>
      </c>
      <c r="AG211">
        <f t="shared" si="69"/>
        <v>0</v>
      </c>
      <c r="AH211">
        <f t="shared" si="70"/>
        <v>1</v>
      </c>
      <c r="AI211">
        <f t="shared" si="71"/>
        <v>1</v>
      </c>
    </row>
    <row r="212" spans="1:35" x14ac:dyDescent="0.2">
      <c r="A212">
        <v>211</v>
      </c>
      <c r="B212" t="s">
        <v>16</v>
      </c>
      <c r="C212">
        <v>8</v>
      </c>
      <c r="D212" t="s">
        <v>717</v>
      </c>
      <c r="E212" t="s">
        <v>19</v>
      </c>
      <c r="F212" t="s">
        <v>18</v>
      </c>
      <c r="G212" t="s">
        <v>39</v>
      </c>
      <c r="H212" t="s">
        <v>20</v>
      </c>
      <c r="I212">
        <v>3</v>
      </c>
      <c r="J212">
        <v>8</v>
      </c>
      <c r="K212" s="2">
        <v>5000000</v>
      </c>
      <c r="L212" t="s">
        <v>66</v>
      </c>
      <c r="M212" t="s">
        <v>268</v>
      </c>
      <c r="N212" t="s">
        <v>84</v>
      </c>
      <c r="O212" t="s">
        <v>718</v>
      </c>
      <c r="P212" t="s">
        <v>719</v>
      </c>
      <c r="Q212">
        <f t="shared" si="54"/>
        <v>3</v>
      </c>
      <c r="R212">
        <f t="shared" si="55"/>
        <v>4</v>
      </c>
      <c r="S212">
        <f t="shared" si="56"/>
        <v>5</v>
      </c>
      <c r="T212">
        <f t="shared" si="57"/>
        <v>2</v>
      </c>
      <c r="U212">
        <v>5000000</v>
      </c>
      <c r="V212">
        <f t="shared" si="58"/>
        <v>0</v>
      </c>
      <c r="W212">
        <f t="shared" si="59"/>
        <v>1</v>
      </c>
      <c r="X212">
        <f t="shared" si="60"/>
        <v>1</v>
      </c>
      <c r="Y212">
        <f t="shared" si="61"/>
        <v>0</v>
      </c>
      <c r="Z212">
        <f t="shared" si="62"/>
        <v>0</v>
      </c>
      <c r="AA212">
        <f t="shared" si="63"/>
        <v>1</v>
      </c>
      <c r="AB212">
        <f t="shared" si="64"/>
        <v>1</v>
      </c>
      <c r="AC212">
        <f t="shared" si="65"/>
        <v>0</v>
      </c>
      <c r="AD212">
        <f t="shared" si="66"/>
        <v>1</v>
      </c>
      <c r="AE212">
        <f t="shared" si="67"/>
        <v>0</v>
      </c>
      <c r="AF212">
        <f t="shared" si="68"/>
        <v>0</v>
      </c>
      <c r="AG212">
        <f t="shared" si="69"/>
        <v>1</v>
      </c>
      <c r="AH212">
        <f t="shared" si="70"/>
        <v>0</v>
      </c>
      <c r="AI212">
        <f t="shared" si="71"/>
        <v>0</v>
      </c>
    </row>
    <row r="213" spans="1:35" x14ac:dyDescent="0.2">
      <c r="A213">
        <v>212</v>
      </c>
      <c r="B213" t="s">
        <v>16</v>
      </c>
      <c r="C213">
        <v>6</v>
      </c>
      <c r="D213" t="s">
        <v>720</v>
      </c>
      <c r="E213" t="s">
        <v>19</v>
      </c>
      <c r="F213" t="s">
        <v>20</v>
      </c>
      <c r="G213" t="s">
        <v>20</v>
      </c>
      <c r="H213" t="s">
        <v>19</v>
      </c>
      <c r="I213">
        <v>4</v>
      </c>
      <c r="J213">
        <v>7</v>
      </c>
      <c r="K213" t="s">
        <v>721</v>
      </c>
      <c r="L213" t="s">
        <v>22</v>
      </c>
      <c r="M213" t="s">
        <v>23</v>
      </c>
      <c r="N213" t="s">
        <v>36</v>
      </c>
      <c r="O213" t="s">
        <v>722</v>
      </c>
      <c r="P213" t="s">
        <v>723</v>
      </c>
      <c r="Q213">
        <f t="shared" si="54"/>
        <v>3</v>
      </c>
      <c r="R213">
        <f t="shared" si="55"/>
        <v>2</v>
      </c>
      <c r="S213">
        <f t="shared" si="56"/>
        <v>2</v>
      </c>
      <c r="T213">
        <f t="shared" si="57"/>
        <v>3</v>
      </c>
      <c r="U213">
        <v>100</v>
      </c>
      <c r="V213">
        <f t="shared" si="58"/>
        <v>1</v>
      </c>
      <c r="W213">
        <f t="shared" si="59"/>
        <v>0</v>
      </c>
      <c r="X213">
        <f t="shared" si="60"/>
        <v>0</v>
      </c>
      <c r="Y213">
        <f t="shared" si="61"/>
        <v>0</v>
      </c>
      <c r="Z213">
        <f t="shared" si="62"/>
        <v>0</v>
      </c>
      <c r="AA213">
        <f t="shared" si="63"/>
        <v>1</v>
      </c>
      <c r="AB213">
        <f t="shared" si="64"/>
        <v>0</v>
      </c>
      <c r="AC213">
        <f t="shared" si="65"/>
        <v>0</v>
      </c>
      <c r="AD213">
        <f t="shared" si="66"/>
        <v>0</v>
      </c>
      <c r="AE213">
        <f t="shared" si="67"/>
        <v>0</v>
      </c>
      <c r="AF213">
        <f t="shared" si="68"/>
        <v>0</v>
      </c>
      <c r="AG213">
        <f t="shared" si="69"/>
        <v>0</v>
      </c>
      <c r="AH213">
        <f t="shared" si="70"/>
        <v>0</v>
      </c>
      <c r="AI213">
        <f t="shared" si="71"/>
        <v>1</v>
      </c>
    </row>
    <row r="214" spans="1:35" x14ac:dyDescent="0.2">
      <c r="A214">
        <v>213</v>
      </c>
      <c r="B214" t="s">
        <v>16</v>
      </c>
      <c r="C214">
        <v>8</v>
      </c>
      <c r="D214" t="s">
        <v>724</v>
      </c>
      <c r="E214" t="s">
        <v>18</v>
      </c>
      <c r="F214" t="s">
        <v>20</v>
      </c>
      <c r="G214" t="s">
        <v>20</v>
      </c>
      <c r="H214" t="s">
        <v>18</v>
      </c>
      <c r="I214">
        <v>4</v>
      </c>
      <c r="J214">
        <v>5</v>
      </c>
      <c r="K214">
        <v>50</v>
      </c>
      <c r="L214" t="s">
        <v>79</v>
      </c>
      <c r="M214" t="s">
        <v>48</v>
      </c>
      <c r="N214" t="s">
        <v>84</v>
      </c>
      <c r="O214" t="s">
        <v>546</v>
      </c>
      <c r="P214" t="s">
        <v>725</v>
      </c>
      <c r="Q214">
        <f t="shared" si="54"/>
        <v>4</v>
      </c>
      <c r="R214">
        <f t="shared" si="55"/>
        <v>2</v>
      </c>
      <c r="S214">
        <f t="shared" si="56"/>
        <v>2</v>
      </c>
      <c r="T214">
        <f t="shared" si="57"/>
        <v>4</v>
      </c>
      <c r="U214">
        <v>50</v>
      </c>
      <c r="V214">
        <f t="shared" si="58"/>
        <v>0</v>
      </c>
      <c r="W214">
        <f t="shared" si="59"/>
        <v>1</v>
      </c>
      <c r="X214">
        <f t="shared" si="60"/>
        <v>0</v>
      </c>
      <c r="Y214">
        <f t="shared" si="61"/>
        <v>0</v>
      </c>
      <c r="Z214">
        <f t="shared" si="62"/>
        <v>1</v>
      </c>
      <c r="AA214">
        <f t="shared" si="63"/>
        <v>1</v>
      </c>
      <c r="AB214">
        <f t="shared" si="64"/>
        <v>1</v>
      </c>
      <c r="AC214">
        <f t="shared" si="65"/>
        <v>1</v>
      </c>
      <c r="AD214">
        <f t="shared" si="66"/>
        <v>0</v>
      </c>
      <c r="AE214">
        <f t="shared" si="67"/>
        <v>0</v>
      </c>
      <c r="AF214">
        <f t="shared" si="68"/>
        <v>0</v>
      </c>
      <c r="AG214">
        <f t="shared" si="69"/>
        <v>1</v>
      </c>
      <c r="AH214">
        <f t="shared" si="70"/>
        <v>0</v>
      </c>
      <c r="AI214">
        <f t="shared" si="71"/>
        <v>0</v>
      </c>
    </row>
    <row r="215" spans="1:35" x14ac:dyDescent="0.2">
      <c r="A215">
        <v>214</v>
      </c>
      <c r="B215" t="s">
        <v>16</v>
      </c>
      <c r="C215">
        <v>7</v>
      </c>
      <c r="D215" t="s">
        <v>726</v>
      </c>
      <c r="E215" t="s">
        <v>19</v>
      </c>
      <c r="F215" t="s">
        <v>18</v>
      </c>
      <c r="G215" t="s">
        <v>19</v>
      </c>
      <c r="H215" t="s">
        <v>20</v>
      </c>
      <c r="I215">
        <v>7</v>
      </c>
      <c r="J215">
        <v>8</v>
      </c>
      <c r="K215" t="s">
        <v>727</v>
      </c>
      <c r="L215" t="s">
        <v>41</v>
      </c>
      <c r="M215" t="s">
        <v>42</v>
      </c>
      <c r="N215" t="s">
        <v>215</v>
      </c>
      <c r="O215" t="s">
        <v>728</v>
      </c>
      <c r="P215" t="s">
        <v>729</v>
      </c>
      <c r="Q215">
        <f t="shared" si="54"/>
        <v>3</v>
      </c>
      <c r="R215">
        <f t="shared" si="55"/>
        <v>4</v>
      </c>
      <c r="S215">
        <f t="shared" si="56"/>
        <v>3</v>
      </c>
      <c r="T215">
        <f t="shared" si="57"/>
        <v>2</v>
      </c>
      <c r="U215">
        <v>100000</v>
      </c>
      <c r="V215">
        <f t="shared" si="58"/>
        <v>0</v>
      </c>
      <c r="W215">
        <f t="shared" si="59"/>
        <v>0</v>
      </c>
      <c r="X215">
        <f t="shared" si="60"/>
        <v>0</v>
      </c>
      <c r="Y215">
        <f t="shared" si="61"/>
        <v>0</v>
      </c>
      <c r="Z215">
        <f t="shared" si="62"/>
        <v>1</v>
      </c>
      <c r="AA215">
        <f t="shared" si="63"/>
        <v>0</v>
      </c>
      <c r="AB215">
        <f t="shared" si="64"/>
        <v>1</v>
      </c>
      <c r="AC215">
        <f t="shared" si="65"/>
        <v>0</v>
      </c>
      <c r="AD215">
        <f t="shared" si="66"/>
        <v>0</v>
      </c>
      <c r="AE215">
        <f t="shared" si="67"/>
        <v>0</v>
      </c>
      <c r="AF215">
        <f t="shared" si="68"/>
        <v>1</v>
      </c>
      <c r="AG215">
        <f t="shared" si="69"/>
        <v>0</v>
      </c>
      <c r="AH215">
        <f t="shared" si="70"/>
        <v>0</v>
      </c>
      <c r="AI215">
        <f t="shared" si="71"/>
        <v>0</v>
      </c>
    </row>
    <row r="216" spans="1:35" x14ac:dyDescent="0.2">
      <c r="A216">
        <v>215</v>
      </c>
      <c r="B216" t="s">
        <v>16</v>
      </c>
      <c r="C216">
        <v>3</v>
      </c>
      <c r="D216" t="s">
        <v>730</v>
      </c>
      <c r="E216" t="s">
        <v>18</v>
      </c>
      <c r="F216" t="s">
        <v>20</v>
      </c>
      <c r="G216" t="s">
        <v>19</v>
      </c>
      <c r="H216" t="s">
        <v>18</v>
      </c>
      <c r="I216">
        <v>3</v>
      </c>
      <c r="J216">
        <v>5</v>
      </c>
      <c r="K216">
        <v>10</v>
      </c>
      <c r="L216" t="s">
        <v>22</v>
      </c>
      <c r="M216" t="s">
        <v>23</v>
      </c>
      <c r="N216" t="s">
        <v>24</v>
      </c>
      <c r="O216" t="s">
        <v>731</v>
      </c>
      <c r="P216" t="s">
        <v>732</v>
      </c>
      <c r="Q216">
        <f t="shared" si="54"/>
        <v>4</v>
      </c>
      <c r="R216">
        <f t="shared" si="55"/>
        <v>2</v>
      </c>
      <c r="S216">
        <f t="shared" si="56"/>
        <v>3</v>
      </c>
      <c r="T216">
        <f t="shared" si="57"/>
        <v>4</v>
      </c>
      <c r="U216">
        <v>10</v>
      </c>
      <c r="V216">
        <f t="shared" si="58"/>
        <v>1</v>
      </c>
      <c r="W216">
        <f t="shared" si="59"/>
        <v>0</v>
      </c>
      <c r="X216">
        <f t="shared" si="60"/>
        <v>0</v>
      </c>
      <c r="Y216">
        <f t="shared" si="61"/>
        <v>0</v>
      </c>
      <c r="Z216">
        <f t="shared" si="62"/>
        <v>0</v>
      </c>
      <c r="AA216">
        <f t="shared" si="63"/>
        <v>1</v>
      </c>
      <c r="AB216">
        <f t="shared" si="64"/>
        <v>0</v>
      </c>
      <c r="AC216">
        <f t="shared" si="65"/>
        <v>0</v>
      </c>
      <c r="AD216">
        <f t="shared" si="66"/>
        <v>0</v>
      </c>
      <c r="AE216">
        <f t="shared" si="67"/>
        <v>0</v>
      </c>
      <c r="AF216">
        <f t="shared" si="68"/>
        <v>0</v>
      </c>
      <c r="AG216">
        <f t="shared" si="69"/>
        <v>0</v>
      </c>
      <c r="AH216">
        <f t="shared" si="70"/>
        <v>1</v>
      </c>
      <c r="AI216">
        <f t="shared" si="71"/>
        <v>0</v>
      </c>
    </row>
    <row r="217" spans="1:35" x14ac:dyDescent="0.2">
      <c r="A217">
        <v>216</v>
      </c>
      <c r="B217" t="s">
        <v>16</v>
      </c>
      <c r="C217">
        <v>2</v>
      </c>
      <c r="D217" t="s">
        <v>733</v>
      </c>
      <c r="E217" t="s">
        <v>39</v>
      </c>
      <c r="F217" t="s">
        <v>21</v>
      </c>
      <c r="G217" t="s">
        <v>19</v>
      </c>
      <c r="H217" t="s">
        <v>18</v>
      </c>
      <c r="I217">
        <v>4</v>
      </c>
      <c r="J217">
        <v>6</v>
      </c>
      <c r="K217">
        <v>100</v>
      </c>
      <c r="L217" t="s">
        <v>53</v>
      </c>
      <c r="M217" t="s">
        <v>23</v>
      </c>
      <c r="N217" t="s">
        <v>24</v>
      </c>
      <c r="O217" t="s">
        <v>284</v>
      </c>
      <c r="P217" t="s">
        <v>734</v>
      </c>
      <c r="Q217">
        <f t="shared" si="54"/>
        <v>5</v>
      </c>
      <c r="R217">
        <f t="shared" si="55"/>
        <v>1</v>
      </c>
      <c r="S217">
        <f t="shared" si="56"/>
        <v>3</v>
      </c>
      <c r="T217">
        <f t="shared" si="57"/>
        <v>4</v>
      </c>
      <c r="U217">
        <v>100</v>
      </c>
      <c r="V217">
        <f t="shared" si="58"/>
        <v>0</v>
      </c>
      <c r="W217">
        <f t="shared" si="59"/>
        <v>0</v>
      </c>
      <c r="X217">
        <f t="shared" si="60"/>
        <v>1</v>
      </c>
      <c r="Y217">
        <f t="shared" si="61"/>
        <v>0</v>
      </c>
      <c r="Z217">
        <f t="shared" si="62"/>
        <v>0</v>
      </c>
      <c r="AA217">
        <f t="shared" si="63"/>
        <v>1</v>
      </c>
      <c r="AB217">
        <f t="shared" si="64"/>
        <v>0</v>
      </c>
      <c r="AC217">
        <f t="shared" si="65"/>
        <v>0</v>
      </c>
      <c r="AD217">
        <f t="shared" si="66"/>
        <v>0</v>
      </c>
      <c r="AE217">
        <f t="shared" si="67"/>
        <v>0</v>
      </c>
      <c r="AF217">
        <f t="shared" si="68"/>
        <v>0</v>
      </c>
      <c r="AG217">
        <f t="shared" si="69"/>
        <v>0</v>
      </c>
      <c r="AH217">
        <f t="shared" si="70"/>
        <v>1</v>
      </c>
      <c r="AI217">
        <f t="shared" si="71"/>
        <v>0</v>
      </c>
    </row>
    <row r="218" spans="1:35" x14ac:dyDescent="0.2">
      <c r="A218">
        <v>217</v>
      </c>
      <c r="B218" t="s">
        <v>16</v>
      </c>
      <c r="C218">
        <v>8</v>
      </c>
      <c r="D218" t="s">
        <v>735</v>
      </c>
      <c r="E218" t="s">
        <v>18</v>
      </c>
      <c r="F218" t="s">
        <v>20</v>
      </c>
      <c r="G218" t="s">
        <v>20</v>
      </c>
      <c r="H218" t="s">
        <v>39</v>
      </c>
      <c r="I218">
        <v>7</v>
      </c>
      <c r="J218">
        <v>6</v>
      </c>
      <c r="K218">
        <v>100</v>
      </c>
      <c r="L218" t="s">
        <v>122</v>
      </c>
      <c r="M218" t="s">
        <v>80</v>
      </c>
      <c r="N218" t="s">
        <v>24</v>
      </c>
      <c r="O218" t="s">
        <v>736</v>
      </c>
      <c r="P218" t="s">
        <v>737</v>
      </c>
      <c r="Q218">
        <f t="shared" si="54"/>
        <v>4</v>
      </c>
      <c r="R218">
        <f t="shared" si="55"/>
        <v>2</v>
      </c>
      <c r="S218">
        <f t="shared" si="56"/>
        <v>2</v>
      </c>
      <c r="T218">
        <f t="shared" si="57"/>
        <v>5</v>
      </c>
      <c r="U218">
        <v>100</v>
      </c>
      <c r="V218">
        <f t="shared" si="58"/>
        <v>1</v>
      </c>
      <c r="W218">
        <f t="shared" si="59"/>
        <v>0</v>
      </c>
      <c r="X218">
        <f t="shared" si="60"/>
        <v>1</v>
      </c>
      <c r="Y218">
        <f t="shared" si="61"/>
        <v>0</v>
      </c>
      <c r="Z218">
        <f t="shared" si="62"/>
        <v>1</v>
      </c>
      <c r="AA218">
        <f t="shared" si="63"/>
        <v>1</v>
      </c>
      <c r="AB218">
        <f t="shared" si="64"/>
        <v>1</v>
      </c>
      <c r="AC218">
        <f t="shared" si="65"/>
        <v>0</v>
      </c>
      <c r="AD218">
        <f t="shared" si="66"/>
        <v>0</v>
      </c>
      <c r="AE218">
        <f t="shared" si="67"/>
        <v>1</v>
      </c>
      <c r="AF218">
        <f t="shared" si="68"/>
        <v>0</v>
      </c>
      <c r="AG218">
        <f t="shared" si="69"/>
        <v>0</v>
      </c>
      <c r="AH218">
        <f t="shared" si="70"/>
        <v>1</v>
      </c>
      <c r="AI218">
        <f t="shared" si="71"/>
        <v>0</v>
      </c>
    </row>
    <row r="219" spans="1:35" x14ac:dyDescent="0.2">
      <c r="A219">
        <v>218</v>
      </c>
      <c r="B219" t="s">
        <v>16</v>
      </c>
      <c r="C219">
        <v>8</v>
      </c>
      <c r="D219" t="s">
        <v>738</v>
      </c>
      <c r="E219" t="s">
        <v>39</v>
      </c>
      <c r="F219" t="s">
        <v>20</v>
      </c>
      <c r="G219" t="s">
        <v>18</v>
      </c>
      <c r="H219" t="s">
        <v>18</v>
      </c>
      <c r="I219">
        <v>4</v>
      </c>
      <c r="J219">
        <v>5</v>
      </c>
      <c r="K219">
        <v>100</v>
      </c>
      <c r="L219" t="s">
        <v>98</v>
      </c>
      <c r="M219" t="s">
        <v>161</v>
      </c>
      <c r="N219" t="s">
        <v>24</v>
      </c>
      <c r="O219" t="s">
        <v>739</v>
      </c>
      <c r="P219" t="s">
        <v>740</v>
      </c>
      <c r="Q219">
        <f t="shared" si="54"/>
        <v>5</v>
      </c>
      <c r="R219">
        <f t="shared" si="55"/>
        <v>2</v>
      </c>
      <c r="S219">
        <f t="shared" si="56"/>
        <v>4</v>
      </c>
      <c r="T219">
        <f t="shared" si="57"/>
        <v>4</v>
      </c>
      <c r="U219">
        <v>100</v>
      </c>
      <c r="V219">
        <f t="shared" si="58"/>
        <v>0</v>
      </c>
      <c r="W219">
        <f t="shared" si="59"/>
        <v>1</v>
      </c>
      <c r="X219">
        <f t="shared" si="60"/>
        <v>0</v>
      </c>
      <c r="Y219">
        <f t="shared" si="61"/>
        <v>0</v>
      </c>
      <c r="Z219">
        <f t="shared" si="62"/>
        <v>0</v>
      </c>
      <c r="AA219">
        <f t="shared" si="63"/>
        <v>1</v>
      </c>
      <c r="AB219">
        <f t="shared" si="64"/>
        <v>1</v>
      </c>
      <c r="AC219">
        <f t="shared" si="65"/>
        <v>1</v>
      </c>
      <c r="AD219">
        <f t="shared" si="66"/>
        <v>1</v>
      </c>
      <c r="AE219">
        <f t="shared" si="67"/>
        <v>0</v>
      </c>
      <c r="AF219">
        <f t="shared" si="68"/>
        <v>0</v>
      </c>
      <c r="AG219">
        <f t="shared" si="69"/>
        <v>0</v>
      </c>
      <c r="AH219">
        <f t="shared" si="70"/>
        <v>1</v>
      </c>
      <c r="AI219">
        <f t="shared" si="71"/>
        <v>0</v>
      </c>
    </row>
    <row r="220" spans="1:35" x14ac:dyDescent="0.2">
      <c r="A220">
        <v>219</v>
      </c>
      <c r="B220" t="s">
        <v>16</v>
      </c>
      <c r="C220">
        <v>10</v>
      </c>
      <c r="D220" t="s">
        <v>741</v>
      </c>
      <c r="E220" t="s">
        <v>39</v>
      </c>
      <c r="F220" t="s">
        <v>18</v>
      </c>
      <c r="G220" t="s">
        <v>18</v>
      </c>
      <c r="H220" t="s">
        <v>18</v>
      </c>
      <c r="I220">
        <v>7</v>
      </c>
      <c r="J220">
        <v>1</v>
      </c>
      <c r="K220">
        <v>999999999</v>
      </c>
      <c r="L220" t="s">
        <v>41</v>
      </c>
      <c r="M220" t="s">
        <v>154</v>
      </c>
      <c r="N220" t="s">
        <v>24</v>
      </c>
      <c r="O220" t="s">
        <v>195</v>
      </c>
      <c r="P220" t="s">
        <v>742</v>
      </c>
      <c r="Q220">
        <f t="shared" si="54"/>
        <v>5</v>
      </c>
      <c r="R220">
        <f t="shared" si="55"/>
        <v>4</v>
      </c>
      <c r="S220">
        <f t="shared" si="56"/>
        <v>4</v>
      </c>
      <c r="T220">
        <f t="shared" si="57"/>
        <v>4</v>
      </c>
      <c r="U220">
        <v>999999999</v>
      </c>
      <c r="V220">
        <f t="shared" si="58"/>
        <v>0</v>
      </c>
      <c r="W220">
        <f t="shared" si="59"/>
        <v>0</v>
      </c>
      <c r="X220">
        <f t="shared" si="60"/>
        <v>0</v>
      </c>
      <c r="Y220">
        <f t="shared" si="61"/>
        <v>0</v>
      </c>
      <c r="Z220">
        <f t="shared" si="62"/>
        <v>1</v>
      </c>
      <c r="AA220">
        <f t="shared" si="63"/>
        <v>1</v>
      </c>
      <c r="AB220">
        <f t="shared" si="64"/>
        <v>0</v>
      </c>
      <c r="AC220">
        <f t="shared" si="65"/>
        <v>1</v>
      </c>
      <c r="AD220">
        <f t="shared" si="66"/>
        <v>0</v>
      </c>
      <c r="AE220">
        <f t="shared" si="67"/>
        <v>0</v>
      </c>
      <c r="AF220">
        <f t="shared" si="68"/>
        <v>0</v>
      </c>
      <c r="AG220">
        <f t="shared" si="69"/>
        <v>0</v>
      </c>
      <c r="AH220">
        <f t="shared" si="70"/>
        <v>1</v>
      </c>
      <c r="AI220">
        <f t="shared" si="71"/>
        <v>0</v>
      </c>
    </row>
    <row r="221" spans="1:35" x14ac:dyDescent="0.2">
      <c r="A221">
        <v>220</v>
      </c>
      <c r="B221" t="s">
        <v>16</v>
      </c>
      <c r="C221">
        <v>7.5</v>
      </c>
      <c r="D221" t="s">
        <v>743</v>
      </c>
      <c r="E221" t="s">
        <v>39</v>
      </c>
      <c r="F221" t="s">
        <v>21</v>
      </c>
      <c r="G221" t="s">
        <v>20</v>
      </c>
      <c r="H221" t="s">
        <v>39</v>
      </c>
      <c r="I221">
        <v>4</v>
      </c>
      <c r="J221">
        <v>4</v>
      </c>
      <c r="K221">
        <v>500</v>
      </c>
      <c r="L221" t="s">
        <v>53</v>
      </c>
      <c r="M221" t="s">
        <v>23</v>
      </c>
      <c r="N221" t="s">
        <v>24</v>
      </c>
      <c r="O221" t="s">
        <v>744</v>
      </c>
      <c r="P221" t="s">
        <v>745</v>
      </c>
      <c r="Q221">
        <f t="shared" si="54"/>
        <v>5</v>
      </c>
      <c r="R221">
        <f t="shared" si="55"/>
        <v>1</v>
      </c>
      <c r="S221">
        <f t="shared" si="56"/>
        <v>2</v>
      </c>
      <c r="T221">
        <f t="shared" si="57"/>
        <v>5</v>
      </c>
      <c r="U221">
        <v>500</v>
      </c>
      <c r="V221">
        <f t="shared" si="58"/>
        <v>0</v>
      </c>
      <c r="W221">
        <f t="shared" si="59"/>
        <v>0</v>
      </c>
      <c r="X221">
        <f t="shared" si="60"/>
        <v>1</v>
      </c>
      <c r="Y221">
        <f t="shared" si="61"/>
        <v>0</v>
      </c>
      <c r="Z221">
        <f t="shared" si="62"/>
        <v>0</v>
      </c>
      <c r="AA221">
        <f t="shared" si="63"/>
        <v>1</v>
      </c>
      <c r="AB221">
        <f t="shared" si="64"/>
        <v>0</v>
      </c>
      <c r="AC221">
        <f t="shared" si="65"/>
        <v>0</v>
      </c>
      <c r="AD221">
        <f t="shared" si="66"/>
        <v>0</v>
      </c>
      <c r="AE221">
        <f t="shared" si="67"/>
        <v>0</v>
      </c>
      <c r="AF221">
        <f t="shared" si="68"/>
        <v>0</v>
      </c>
      <c r="AG221">
        <f t="shared" si="69"/>
        <v>0</v>
      </c>
      <c r="AH221">
        <f t="shared" si="70"/>
        <v>1</v>
      </c>
      <c r="AI221">
        <f t="shared" si="71"/>
        <v>0</v>
      </c>
    </row>
    <row r="222" spans="1:35" x14ac:dyDescent="0.2">
      <c r="A222">
        <v>221</v>
      </c>
      <c r="B222" t="s">
        <v>16</v>
      </c>
      <c r="C222">
        <v>9</v>
      </c>
      <c r="D222" t="s">
        <v>746</v>
      </c>
      <c r="E222" t="s">
        <v>18</v>
      </c>
      <c r="F222" t="s">
        <v>20</v>
      </c>
      <c r="G222" t="s">
        <v>19</v>
      </c>
      <c r="H222" t="s">
        <v>18</v>
      </c>
      <c r="I222">
        <v>8</v>
      </c>
      <c r="J222">
        <v>6</v>
      </c>
      <c r="K222">
        <v>5000</v>
      </c>
      <c r="L222" t="s">
        <v>53</v>
      </c>
      <c r="M222" t="s">
        <v>135</v>
      </c>
      <c r="N222" t="s">
        <v>24</v>
      </c>
      <c r="O222" t="s">
        <v>747</v>
      </c>
      <c r="P222" t="s">
        <v>748</v>
      </c>
      <c r="Q222">
        <f t="shared" si="54"/>
        <v>4</v>
      </c>
      <c r="R222">
        <f t="shared" si="55"/>
        <v>2</v>
      </c>
      <c r="S222">
        <f t="shared" si="56"/>
        <v>3</v>
      </c>
      <c r="T222">
        <f t="shared" si="57"/>
        <v>4</v>
      </c>
      <c r="U222">
        <v>5000</v>
      </c>
      <c r="V222">
        <f t="shared" si="58"/>
        <v>0</v>
      </c>
      <c r="W222">
        <f t="shared" si="59"/>
        <v>0</v>
      </c>
      <c r="X222">
        <f t="shared" si="60"/>
        <v>1</v>
      </c>
      <c r="Y222">
        <f t="shared" si="61"/>
        <v>0</v>
      </c>
      <c r="Z222">
        <f t="shared" si="62"/>
        <v>0</v>
      </c>
      <c r="AA222">
        <f t="shared" si="63"/>
        <v>1</v>
      </c>
      <c r="AB222">
        <f t="shared" si="64"/>
        <v>1</v>
      </c>
      <c r="AC222">
        <f t="shared" si="65"/>
        <v>0</v>
      </c>
      <c r="AD222">
        <f t="shared" si="66"/>
        <v>0</v>
      </c>
      <c r="AE222">
        <f t="shared" si="67"/>
        <v>0</v>
      </c>
      <c r="AF222">
        <f t="shared" si="68"/>
        <v>0</v>
      </c>
      <c r="AG222">
        <f t="shared" si="69"/>
        <v>0</v>
      </c>
      <c r="AH222">
        <f t="shared" si="70"/>
        <v>1</v>
      </c>
      <c r="AI222">
        <f t="shared" si="71"/>
        <v>0</v>
      </c>
    </row>
    <row r="223" spans="1:35" x14ac:dyDescent="0.2">
      <c r="A223">
        <v>1</v>
      </c>
      <c r="B223" t="s">
        <v>749</v>
      </c>
      <c r="Q223" t="str">
        <f t="shared" si="54"/>
        <v/>
      </c>
      <c r="R223" t="str">
        <f t="shared" si="55"/>
        <v/>
      </c>
      <c r="S223" t="str">
        <f t="shared" si="56"/>
        <v/>
      </c>
      <c r="T223" t="str">
        <f t="shared" si="57"/>
        <v/>
      </c>
      <c r="V223">
        <f t="shared" si="58"/>
        <v>0</v>
      </c>
      <c r="W223">
        <f t="shared" si="59"/>
        <v>0</v>
      </c>
      <c r="X223">
        <f t="shared" si="60"/>
        <v>0</v>
      </c>
      <c r="Y223">
        <f t="shared" si="61"/>
        <v>0</v>
      </c>
      <c r="Z223">
        <f t="shared" si="62"/>
        <v>0</v>
      </c>
      <c r="AA223">
        <f t="shared" si="63"/>
        <v>0</v>
      </c>
      <c r="AB223">
        <f t="shared" si="64"/>
        <v>0</v>
      </c>
      <c r="AC223">
        <f t="shared" si="65"/>
        <v>0</v>
      </c>
      <c r="AD223">
        <f t="shared" si="66"/>
        <v>0</v>
      </c>
      <c r="AE223">
        <f t="shared" si="67"/>
        <v>0</v>
      </c>
      <c r="AF223">
        <f t="shared" si="68"/>
        <v>0</v>
      </c>
      <c r="AG223">
        <f t="shared" si="69"/>
        <v>0</v>
      </c>
      <c r="AH223">
        <f t="shared" si="70"/>
        <v>0</v>
      </c>
      <c r="AI223">
        <f t="shared" si="71"/>
        <v>0</v>
      </c>
    </row>
    <row r="224" spans="1:35" x14ac:dyDescent="0.2">
      <c r="A224">
        <v>2</v>
      </c>
      <c r="B224" t="s">
        <v>749</v>
      </c>
      <c r="C224">
        <v>7</v>
      </c>
      <c r="Q224" t="str">
        <f t="shared" si="54"/>
        <v/>
      </c>
      <c r="R224" t="str">
        <f t="shared" si="55"/>
        <v/>
      </c>
      <c r="S224" t="str">
        <f t="shared" si="56"/>
        <v/>
      </c>
      <c r="T224" t="str">
        <f t="shared" si="57"/>
        <v/>
      </c>
      <c r="V224">
        <f t="shared" si="58"/>
        <v>0</v>
      </c>
      <c r="W224">
        <f t="shared" si="59"/>
        <v>0</v>
      </c>
      <c r="X224">
        <f t="shared" si="60"/>
        <v>0</v>
      </c>
      <c r="Y224">
        <f t="shared" si="61"/>
        <v>0</v>
      </c>
      <c r="Z224">
        <f t="shared" si="62"/>
        <v>0</v>
      </c>
      <c r="AA224">
        <f t="shared" si="63"/>
        <v>0</v>
      </c>
      <c r="AB224">
        <f t="shared" si="64"/>
        <v>0</v>
      </c>
      <c r="AC224">
        <f t="shared" si="65"/>
        <v>0</v>
      </c>
      <c r="AD224">
        <f t="shared" si="66"/>
        <v>0</v>
      </c>
      <c r="AE224">
        <f t="shared" si="67"/>
        <v>0</v>
      </c>
      <c r="AF224">
        <f t="shared" si="68"/>
        <v>0</v>
      </c>
      <c r="AG224">
        <f t="shared" si="69"/>
        <v>0</v>
      </c>
      <c r="AH224">
        <f t="shared" si="70"/>
        <v>0</v>
      </c>
      <c r="AI224">
        <f t="shared" si="71"/>
        <v>0</v>
      </c>
    </row>
    <row r="225" spans="1:35" x14ac:dyDescent="0.2">
      <c r="A225">
        <v>3</v>
      </c>
      <c r="B225" t="s">
        <v>749</v>
      </c>
      <c r="C225">
        <v>6</v>
      </c>
      <c r="D225" t="s">
        <v>750</v>
      </c>
      <c r="E225" t="s">
        <v>19</v>
      </c>
      <c r="F225" t="s">
        <v>19</v>
      </c>
      <c r="G225" t="s">
        <v>18</v>
      </c>
      <c r="H225" t="s">
        <v>21</v>
      </c>
      <c r="I225">
        <v>3</v>
      </c>
      <c r="J225">
        <v>3</v>
      </c>
      <c r="K225" s="1">
        <v>20</v>
      </c>
      <c r="L225" t="s">
        <v>128</v>
      </c>
      <c r="M225" t="s">
        <v>23</v>
      </c>
      <c r="N225" t="s">
        <v>36</v>
      </c>
      <c r="O225" t="s">
        <v>751</v>
      </c>
      <c r="P225" t="s">
        <v>752</v>
      </c>
      <c r="Q225">
        <f t="shared" si="54"/>
        <v>3</v>
      </c>
      <c r="R225">
        <f t="shared" si="55"/>
        <v>3</v>
      </c>
      <c r="S225">
        <f t="shared" si="56"/>
        <v>4</v>
      </c>
      <c r="T225">
        <f t="shared" si="57"/>
        <v>1</v>
      </c>
      <c r="U225">
        <v>20</v>
      </c>
      <c r="V225">
        <f t="shared" si="58"/>
        <v>1</v>
      </c>
      <c r="W225">
        <f t="shared" si="59"/>
        <v>0</v>
      </c>
      <c r="X225">
        <f t="shared" si="60"/>
        <v>1</v>
      </c>
      <c r="Y225">
        <f t="shared" si="61"/>
        <v>0</v>
      </c>
      <c r="Z225">
        <f t="shared" si="62"/>
        <v>0</v>
      </c>
      <c r="AA225">
        <f t="shared" si="63"/>
        <v>1</v>
      </c>
      <c r="AB225">
        <f t="shared" si="64"/>
        <v>0</v>
      </c>
      <c r="AC225">
        <f t="shared" si="65"/>
        <v>0</v>
      </c>
      <c r="AD225">
        <f t="shared" si="66"/>
        <v>0</v>
      </c>
      <c r="AE225">
        <f t="shared" si="67"/>
        <v>0</v>
      </c>
      <c r="AF225">
        <f t="shared" si="68"/>
        <v>0</v>
      </c>
      <c r="AG225">
        <f t="shared" si="69"/>
        <v>0</v>
      </c>
      <c r="AH225">
        <f t="shared" si="70"/>
        <v>0</v>
      </c>
      <c r="AI225">
        <f t="shared" si="71"/>
        <v>1</v>
      </c>
    </row>
    <row r="226" spans="1:35" x14ac:dyDescent="0.2">
      <c r="A226">
        <v>4</v>
      </c>
      <c r="B226" t="s">
        <v>749</v>
      </c>
      <c r="C226">
        <v>1</v>
      </c>
      <c r="D226" t="s">
        <v>753</v>
      </c>
      <c r="E226" t="s">
        <v>39</v>
      </c>
      <c r="F226" t="s">
        <v>39</v>
      </c>
      <c r="G226" t="s">
        <v>39</v>
      </c>
      <c r="H226" t="s">
        <v>18</v>
      </c>
      <c r="I226">
        <v>1</v>
      </c>
      <c r="J226">
        <v>6</v>
      </c>
      <c r="K226" t="s">
        <v>754</v>
      </c>
      <c r="Q226">
        <f t="shared" si="54"/>
        <v>5</v>
      </c>
      <c r="R226">
        <f t="shared" si="55"/>
        <v>5</v>
      </c>
      <c r="S226">
        <f t="shared" si="56"/>
        <v>5</v>
      </c>
      <c r="T226">
        <f t="shared" si="57"/>
        <v>4</v>
      </c>
      <c r="U226">
        <v>0</v>
      </c>
      <c r="V226">
        <f t="shared" si="58"/>
        <v>0</v>
      </c>
      <c r="W226">
        <f t="shared" si="59"/>
        <v>0</v>
      </c>
      <c r="X226">
        <f t="shared" si="60"/>
        <v>0</v>
      </c>
      <c r="Y226">
        <f t="shared" si="61"/>
        <v>0</v>
      </c>
      <c r="Z226">
        <f t="shared" si="62"/>
        <v>0</v>
      </c>
      <c r="AA226">
        <f t="shared" si="63"/>
        <v>0</v>
      </c>
      <c r="AB226">
        <f t="shared" si="64"/>
        <v>0</v>
      </c>
      <c r="AC226">
        <f t="shared" si="65"/>
        <v>0</v>
      </c>
      <c r="AD226">
        <f t="shared" si="66"/>
        <v>0</v>
      </c>
      <c r="AE226">
        <f t="shared" si="67"/>
        <v>0</v>
      </c>
      <c r="AF226">
        <f t="shared" si="68"/>
        <v>0</v>
      </c>
      <c r="AG226">
        <f t="shared" si="69"/>
        <v>0</v>
      </c>
      <c r="AH226">
        <f t="shared" si="70"/>
        <v>0</v>
      </c>
      <c r="AI226">
        <f t="shared" si="71"/>
        <v>0</v>
      </c>
    </row>
    <row r="227" spans="1:35" x14ac:dyDescent="0.2">
      <c r="A227">
        <v>5</v>
      </c>
      <c r="B227" t="s">
        <v>749</v>
      </c>
      <c r="C227">
        <v>9</v>
      </c>
      <c r="D227" t="s">
        <v>755</v>
      </c>
      <c r="E227" t="s">
        <v>20</v>
      </c>
      <c r="F227" t="s">
        <v>39</v>
      </c>
      <c r="G227" t="s">
        <v>18</v>
      </c>
      <c r="H227" t="s">
        <v>21</v>
      </c>
      <c r="I227">
        <v>3</v>
      </c>
      <c r="J227">
        <v>4</v>
      </c>
      <c r="K227" t="s">
        <v>756</v>
      </c>
      <c r="L227" t="s">
        <v>70</v>
      </c>
      <c r="M227" t="s">
        <v>23</v>
      </c>
      <c r="N227" t="s">
        <v>147</v>
      </c>
      <c r="O227" t="s">
        <v>757</v>
      </c>
      <c r="P227" t="s">
        <v>758</v>
      </c>
      <c r="Q227">
        <f t="shared" si="54"/>
        <v>2</v>
      </c>
      <c r="R227">
        <f t="shared" si="55"/>
        <v>5</v>
      </c>
      <c r="S227">
        <f t="shared" si="56"/>
        <v>4</v>
      </c>
      <c r="T227">
        <f t="shared" si="57"/>
        <v>1</v>
      </c>
      <c r="U227">
        <v>700</v>
      </c>
      <c r="V227">
        <f t="shared" si="58"/>
        <v>0</v>
      </c>
      <c r="W227">
        <f t="shared" si="59"/>
        <v>0</v>
      </c>
      <c r="X227">
        <f t="shared" si="60"/>
        <v>0</v>
      </c>
      <c r="Y227">
        <f t="shared" si="61"/>
        <v>1</v>
      </c>
      <c r="Z227">
        <f t="shared" si="62"/>
        <v>0</v>
      </c>
      <c r="AA227">
        <f t="shared" si="63"/>
        <v>1</v>
      </c>
      <c r="AB227">
        <f t="shared" si="64"/>
        <v>0</v>
      </c>
      <c r="AC227">
        <f t="shared" si="65"/>
        <v>0</v>
      </c>
      <c r="AD227">
        <f t="shared" si="66"/>
        <v>0</v>
      </c>
      <c r="AE227">
        <f t="shared" si="67"/>
        <v>0</v>
      </c>
      <c r="AF227">
        <f t="shared" si="68"/>
        <v>0</v>
      </c>
      <c r="AG227">
        <f t="shared" si="69"/>
        <v>0</v>
      </c>
      <c r="AH227">
        <f t="shared" si="70"/>
        <v>1</v>
      </c>
      <c r="AI227">
        <f t="shared" si="71"/>
        <v>1</v>
      </c>
    </row>
    <row r="228" spans="1:35" x14ac:dyDescent="0.2">
      <c r="A228">
        <v>6</v>
      </c>
      <c r="B228" t="s">
        <v>749</v>
      </c>
      <c r="C228">
        <v>6</v>
      </c>
      <c r="D228" t="s">
        <v>759</v>
      </c>
      <c r="E228" t="s">
        <v>19</v>
      </c>
      <c r="F228" t="s">
        <v>19</v>
      </c>
      <c r="G228" t="s">
        <v>18</v>
      </c>
      <c r="H228" t="s">
        <v>20</v>
      </c>
      <c r="I228">
        <v>3</v>
      </c>
      <c r="J228">
        <v>5</v>
      </c>
      <c r="K228">
        <v>70000</v>
      </c>
      <c r="L228" t="s">
        <v>128</v>
      </c>
      <c r="M228" t="s">
        <v>154</v>
      </c>
      <c r="N228" t="s">
        <v>36</v>
      </c>
      <c r="O228" t="s">
        <v>760</v>
      </c>
      <c r="P228" t="s">
        <v>761</v>
      </c>
      <c r="Q228">
        <f t="shared" si="54"/>
        <v>3</v>
      </c>
      <c r="R228">
        <f t="shared" si="55"/>
        <v>3</v>
      </c>
      <c r="S228">
        <f t="shared" si="56"/>
        <v>4</v>
      </c>
      <c r="T228">
        <f t="shared" si="57"/>
        <v>2</v>
      </c>
      <c r="U228">
        <v>70000</v>
      </c>
      <c r="V228">
        <f t="shared" si="58"/>
        <v>1</v>
      </c>
      <c r="W228">
        <f t="shared" si="59"/>
        <v>0</v>
      </c>
      <c r="X228">
        <f t="shared" si="60"/>
        <v>1</v>
      </c>
      <c r="Y228">
        <f t="shared" si="61"/>
        <v>0</v>
      </c>
      <c r="Z228">
        <f t="shared" si="62"/>
        <v>0</v>
      </c>
      <c r="AA228">
        <f t="shared" si="63"/>
        <v>1</v>
      </c>
      <c r="AB228">
        <f t="shared" si="64"/>
        <v>0</v>
      </c>
      <c r="AC228">
        <f t="shared" si="65"/>
        <v>1</v>
      </c>
      <c r="AD228">
        <f t="shared" si="66"/>
        <v>0</v>
      </c>
      <c r="AE228">
        <f t="shared" si="67"/>
        <v>0</v>
      </c>
      <c r="AF228">
        <f t="shared" si="68"/>
        <v>0</v>
      </c>
      <c r="AG228">
        <f t="shared" si="69"/>
        <v>0</v>
      </c>
      <c r="AH228">
        <f t="shared" si="70"/>
        <v>0</v>
      </c>
      <c r="AI228">
        <f t="shared" si="71"/>
        <v>1</v>
      </c>
    </row>
    <row r="229" spans="1:35" x14ac:dyDescent="0.2">
      <c r="A229">
        <v>7</v>
      </c>
      <c r="B229" t="s">
        <v>749</v>
      </c>
      <c r="C229">
        <v>5</v>
      </c>
      <c r="D229" t="s">
        <v>762</v>
      </c>
      <c r="E229" t="s">
        <v>20</v>
      </c>
      <c r="F229" t="s">
        <v>19</v>
      </c>
      <c r="G229" t="s">
        <v>18</v>
      </c>
      <c r="H229" t="s">
        <v>20</v>
      </c>
      <c r="I229">
        <v>3</v>
      </c>
      <c r="J229">
        <v>2</v>
      </c>
      <c r="K229">
        <v>100</v>
      </c>
      <c r="L229" t="s">
        <v>230</v>
      </c>
      <c r="M229" t="s">
        <v>48</v>
      </c>
      <c r="N229" t="s">
        <v>763</v>
      </c>
      <c r="O229" t="s">
        <v>764</v>
      </c>
      <c r="P229" t="s">
        <v>765</v>
      </c>
      <c r="Q229">
        <f t="shared" si="54"/>
        <v>2</v>
      </c>
      <c r="R229">
        <f t="shared" si="55"/>
        <v>3</v>
      </c>
      <c r="S229">
        <f t="shared" si="56"/>
        <v>4</v>
      </c>
      <c r="T229">
        <f t="shared" si="57"/>
        <v>2</v>
      </c>
      <c r="U229">
        <v>100</v>
      </c>
      <c r="V229">
        <f t="shared" si="58"/>
        <v>1</v>
      </c>
      <c r="W229">
        <f t="shared" si="59"/>
        <v>1</v>
      </c>
      <c r="X229">
        <f t="shared" si="60"/>
        <v>1</v>
      </c>
      <c r="Y229">
        <f t="shared" si="61"/>
        <v>1</v>
      </c>
      <c r="Z229">
        <f t="shared" si="62"/>
        <v>1</v>
      </c>
      <c r="AA229">
        <f t="shared" si="63"/>
        <v>1</v>
      </c>
      <c r="AB229">
        <f t="shared" si="64"/>
        <v>1</v>
      </c>
      <c r="AC229">
        <f t="shared" si="65"/>
        <v>1</v>
      </c>
      <c r="AD229">
        <f t="shared" si="66"/>
        <v>0</v>
      </c>
      <c r="AE229">
        <f t="shared" si="67"/>
        <v>0</v>
      </c>
      <c r="AF229">
        <f t="shared" si="68"/>
        <v>1</v>
      </c>
      <c r="AG229">
        <f t="shared" si="69"/>
        <v>1</v>
      </c>
      <c r="AH229">
        <f t="shared" si="70"/>
        <v>1</v>
      </c>
      <c r="AI229">
        <f t="shared" si="71"/>
        <v>1</v>
      </c>
    </row>
    <row r="230" spans="1:35" x14ac:dyDescent="0.2">
      <c r="A230">
        <v>8</v>
      </c>
      <c r="B230" t="s">
        <v>749</v>
      </c>
      <c r="C230">
        <v>3</v>
      </c>
      <c r="D230" t="s">
        <v>766</v>
      </c>
      <c r="E230" t="s">
        <v>20</v>
      </c>
      <c r="F230" t="s">
        <v>18</v>
      </c>
      <c r="G230" t="s">
        <v>18</v>
      </c>
      <c r="H230" t="s">
        <v>20</v>
      </c>
      <c r="I230">
        <v>4</v>
      </c>
      <c r="J230">
        <v>3</v>
      </c>
      <c r="K230">
        <v>250</v>
      </c>
      <c r="L230" t="s">
        <v>70</v>
      </c>
      <c r="M230" t="s">
        <v>23</v>
      </c>
      <c r="N230" t="s">
        <v>36</v>
      </c>
      <c r="O230" t="s">
        <v>767</v>
      </c>
      <c r="P230" t="s">
        <v>768</v>
      </c>
      <c r="Q230">
        <f t="shared" si="54"/>
        <v>2</v>
      </c>
      <c r="R230">
        <f t="shared" si="55"/>
        <v>4</v>
      </c>
      <c r="S230">
        <f t="shared" si="56"/>
        <v>4</v>
      </c>
      <c r="T230">
        <f t="shared" si="57"/>
        <v>2</v>
      </c>
      <c r="U230">
        <v>250</v>
      </c>
      <c r="V230">
        <f t="shared" si="58"/>
        <v>0</v>
      </c>
      <c r="W230">
        <f t="shared" si="59"/>
        <v>0</v>
      </c>
      <c r="X230">
        <f t="shared" si="60"/>
        <v>0</v>
      </c>
      <c r="Y230">
        <f t="shared" si="61"/>
        <v>1</v>
      </c>
      <c r="Z230">
        <f t="shared" si="62"/>
        <v>0</v>
      </c>
      <c r="AA230">
        <f t="shared" si="63"/>
        <v>1</v>
      </c>
      <c r="AB230">
        <f t="shared" si="64"/>
        <v>0</v>
      </c>
      <c r="AC230">
        <f t="shared" si="65"/>
        <v>0</v>
      </c>
      <c r="AD230">
        <f t="shared" si="66"/>
        <v>0</v>
      </c>
      <c r="AE230">
        <f t="shared" si="67"/>
        <v>0</v>
      </c>
      <c r="AF230">
        <f t="shared" si="68"/>
        <v>0</v>
      </c>
      <c r="AG230">
        <f t="shared" si="69"/>
        <v>0</v>
      </c>
      <c r="AH230">
        <f t="shared" si="70"/>
        <v>0</v>
      </c>
      <c r="AI230">
        <f t="shared" si="71"/>
        <v>1</v>
      </c>
    </row>
    <row r="231" spans="1:35" x14ac:dyDescent="0.2">
      <c r="A231">
        <v>9</v>
      </c>
      <c r="B231" t="s">
        <v>749</v>
      </c>
      <c r="C231">
        <v>3</v>
      </c>
      <c r="D231" t="s">
        <v>769</v>
      </c>
      <c r="E231" t="s">
        <v>19</v>
      </c>
      <c r="F231" t="s">
        <v>18</v>
      </c>
      <c r="G231" t="s">
        <v>39</v>
      </c>
      <c r="H231" t="s">
        <v>20</v>
      </c>
      <c r="I231">
        <v>2</v>
      </c>
      <c r="J231">
        <v>3</v>
      </c>
      <c r="K231">
        <v>1000000</v>
      </c>
      <c r="L231" t="s">
        <v>98</v>
      </c>
      <c r="M231" t="s">
        <v>115</v>
      </c>
      <c r="N231" t="s">
        <v>84</v>
      </c>
      <c r="O231" t="s">
        <v>770</v>
      </c>
      <c r="P231" t="s">
        <v>771</v>
      </c>
      <c r="Q231">
        <f t="shared" si="54"/>
        <v>3</v>
      </c>
      <c r="R231">
        <f t="shared" si="55"/>
        <v>4</v>
      </c>
      <c r="S231">
        <f t="shared" si="56"/>
        <v>5</v>
      </c>
      <c r="T231">
        <f t="shared" si="57"/>
        <v>2</v>
      </c>
      <c r="U231">
        <v>1000000</v>
      </c>
      <c r="V231">
        <f t="shared" si="58"/>
        <v>0</v>
      </c>
      <c r="W231">
        <f t="shared" si="59"/>
        <v>1</v>
      </c>
      <c r="X231">
        <f t="shared" si="60"/>
        <v>0</v>
      </c>
      <c r="Y231">
        <f t="shared" si="61"/>
        <v>0</v>
      </c>
      <c r="Z231">
        <f t="shared" si="62"/>
        <v>0</v>
      </c>
      <c r="AA231">
        <f t="shared" si="63"/>
        <v>0</v>
      </c>
      <c r="AB231">
        <f t="shared" si="64"/>
        <v>0</v>
      </c>
      <c r="AC231">
        <f t="shared" si="65"/>
        <v>1</v>
      </c>
      <c r="AD231">
        <f t="shared" si="66"/>
        <v>0</v>
      </c>
      <c r="AE231">
        <f t="shared" si="67"/>
        <v>0</v>
      </c>
      <c r="AF231">
        <f t="shared" si="68"/>
        <v>0</v>
      </c>
      <c r="AG231">
        <f t="shared" si="69"/>
        <v>1</v>
      </c>
      <c r="AH231">
        <f t="shared" si="70"/>
        <v>0</v>
      </c>
      <c r="AI231">
        <f t="shared" si="71"/>
        <v>0</v>
      </c>
    </row>
    <row r="232" spans="1:35" x14ac:dyDescent="0.2">
      <c r="A232">
        <v>10</v>
      </c>
      <c r="B232" t="s">
        <v>749</v>
      </c>
      <c r="C232">
        <v>10</v>
      </c>
      <c r="D232" t="s">
        <v>772</v>
      </c>
      <c r="E232" t="s">
        <v>20</v>
      </c>
      <c r="F232" t="s">
        <v>18</v>
      </c>
      <c r="G232" t="s">
        <v>18</v>
      </c>
      <c r="H232" t="s">
        <v>20</v>
      </c>
      <c r="I232">
        <v>3</v>
      </c>
      <c r="J232">
        <v>2</v>
      </c>
      <c r="K232">
        <v>10000000</v>
      </c>
      <c r="L232" t="s">
        <v>98</v>
      </c>
      <c r="M232" t="s">
        <v>468</v>
      </c>
      <c r="N232" t="s">
        <v>84</v>
      </c>
      <c r="O232" t="s">
        <v>773</v>
      </c>
      <c r="P232" t="s">
        <v>774</v>
      </c>
      <c r="Q232">
        <f t="shared" si="54"/>
        <v>2</v>
      </c>
      <c r="R232">
        <f t="shared" si="55"/>
        <v>4</v>
      </c>
      <c r="S232">
        <f t="shared" si="56"/>
        <v>4</v>
      </c>
      <c r="T232">
        <f t="shared" si="57"/>
        <v>2</v>
      </c>
      <c r="U232">
        <v>10000000</v>
      </c>
      <c r="V232">
        <f t="shared" si="58"/>
        <v>0</v>
      </c>
      <c r="W232">
        <f t="shared" si="59"/>
        <v>1</v>
      </c>
      <c r="X232">
        <f t="shared" si="60"/>
        <v>0</v>
      </c>
      <c r="Y232">
        <f t="shared" si="61"/>
        <v>0</v>
      </c>
      <c r="Z232">
        <f t="shared" si="62"/>
        <v>0</v>
      </c>
      <c r="AA232">
        <f t="shared" si="63"/>
        <v>1</v>
      </c>
      <c r="AB232">
        <f t="shared" si="64"/>
        <v>1</v>
      </c>
      <c r="AC232">
        <f t="shared" si="65"/>
        <v>1</v>
      </c>
      <c r="AD232">
        <f t="shared" si="66"/>
        <v>1</v>
      </c>
      <c r="AE232">
        <f t="shared" si="67"/>
        <v>1</v>
      </c>
      <c r="AF232">
        <f t="shared" si="68"/>
        <v>0</v>
      </c>
      <c r="AG232">
        <f t="shared" si="69"/>
        <v>1</v>
      </c>
      <c r="AH232">
        <f t="shared" si="70"/>
        <v>0</v>
      </c>
      <c r="AI232">
        <f t="shared" si="71"/>
        <v>0</v>
      </c>
    </row>
    <row r="233" spans="1:35" x14ac:dyDescent="0.2">
      <c r="A233">
        <v>11</v>
      </c>
      <c r="B233" t="s">
        <v>749</v>
      </c>
      <c r="C233">
        <v>3</v>
      </c>
      <c r="D233" t="s">
        <v>775</v>
      </c>
      <c r="E233" t="s">
        <v>21</v>
      </c>
      <c r="F233" t="s">
        <v>19</v>
      </c>
      <c r="G233" t="s">
        <v>39</v>
      </c>
      <c r="H233" t="s">
        <v>21</v>
      </c>
      <c r="I233">
        <v>2</v>
      </c>
      <c r="J233">
        <v>2</v>
      </c>
      <c r="K233">
        <v>250</v>
      </c>
      <c r="L233" t="s">
        <v>776</v>
      </c>
      <c r="M233" t="s">
        <v>777</v>
      </c>
      <c r="N233" t="s">
        <v>36</v>
      </c>
      <c r="O233" t="s">
        <v>778</v>
      </c>
      <c r="P233" t="s">
        <v>779</v>
      </c>
      <c r="Q233">
        <f t="shared" si="54"/>
        <v>1</v>
      </c>
      <c r="R233">
        <f t="shared" si="55"/>
        <v>3</v>
      </c>
      <c r="S233">
        <f t="shared" si="56"/>
        <v>5</v>
      </c>
      <c r="T233">
        <f t="shared" si="57"/>
        <v>1</v>
      </c>
      <c r="U233">
        <v>250</v>
      </c>
      <c r="V233">
        <f t="shared" si="58"/>
        <v>0</v>
      </c>
      <c r="W233">
        <f t="shared" si="59"/>
        <v>1</v>
      </c>
      <c r="X233">
        <f t="shared" si="60"/>
        <v>0</v>
      </c>
      <c r="Y233">
        <f t="shared" si="61"/>
        <v>1</v>
      </c>
      <c r="Z233">
        <f t="shared" si="62"/>
        <v>0</v>
      </c>
      <c r="AA233">
        <f t="shared" si="63"/>
        <v>0</v>
      </c>
      <c r="AB233">
        <f t="shared" si="64"/>
        <v>1</v>
      </c>
      <c r="AC233">
        <f t="shared" si="65"/>
        <v>0</v>
      </c>
      <c r="AD233">
        <f t="shared" si="66"/>
        <v>0</v>
      </c>
      <c r="AE233">
        <f t="shared" si="67"/>
        <v>1</v>
      </c>
      <c r="AF233">
        <f t="shared" si="68"/>
        <v>0</v>
      </c>
      <c r="AG233">
        <f t="shared" si="69"/>
        <v>0</v>
      </c>
      <c r="AH233">
        <f t="shared" si="70"/>
        <v>0</v>
      </c>
      <c r="AI233">
        <f t="shared" si="71"/>
        <v>1</v>
      </c>
    </row>
    <row r="234" spans="1:35" x14ac:dyDescent="0.2">
      <c r="A234">
        <v>12</v>
      </c>
      <c r="B234" t="s">
        <v>749</v>
      </c>
      <c r="C234">
        <v>5</v>
      </c>
      <c r="D234" t="s">
        <v>780</v>
      </c>
      <c r="E234" t="s">
        <v>20</v>
      </c>
      <c r="F234" t="s">
        <v>19</v>
      </c>
      <c r="G234" t="s">
        <v>18</v>
      </c>
      <c r="H234" t="s">
        <v>20</v>
      </c>
      <c r="I234">
        <v>2</v>
      </c>
      <c r="J234">
        <v>3</v>
      </c>
      <c r="K234">
        <v>2000</v>
      </c>
      <c r="L234" t="s">
        <v>70</v>
      </c>
      <c r="M234" t="s">
        <v>781</v>
      </c>
      <c r="N234" t="s">
        <v>782</v>
      </c>
      <c r="O234" t="s">
        <v>783</v>
      </c>
      <c r="P234" t="s">
        <v>784</v>
      </c>
      <c r="Q234">
        <f t="shared" si="54"/>
        <v>2</v>
      </c>
      <c r="R234">
        <f t="shared" si="55"/>
        <v>3</v>
      </c>
      <c r="S234">
        <f t="shared" si="56"/>
        <v>4</v>
      </c>
      <c r="T234">
        <f t="shared" si="57"/>
        <v>2</v>
      </c>
      <c r="U234">
        <v>2000</v>
      </c>
      <c r="V234">
        <f t="shared" si="58"/>
        <v>0</v>
      </c>
      <c r="W234">
        <f t="shared" si="59"/>
        <v>0</v>
      </c>
      <c r="X234">
        <f t="shared" si="60"/>
        <v>0</v>
      </c>
      <c r="Y234">
        <f t="shared" si="61"/>
        <v>1</v>
      </c>
      <c r="Z234">
        <f t="shared" si="62"/>
        <v>0</v>
      </c>
      <c r="AA234">
        <f t="shared" si="63"/>
        <v>0</v>
      </c>
      <c r="AB234">
        <f t="shared" si="64"/>
        <v>1</v>
      </c>
      <c r="AC234">
        <f t="shared" si="65"/>
        <v>1</v>
      </c>
      <c r="AD234">
        <f t="shared" si="66"/>
        <v>1</v>
      </c>
      <c r="AE234">
        <f t="shared" si="67"/>
        <v>1</v>
      </c>
      <c r="AF234">
        <f t="shared" si="68"/>
        <v>0</v>
      </c>
      <c r="AG234">
        <f t="shared" si="69"/>
        <v>1</v>
      </c>
      <c r="AH234">
        <f t="shared" si="70"/>
        <v>1</v>
      </c>
      <c r="AI234">
        <f t="shared" si="71"/>
        <v>1</v>
      </c>
    </row>
    <row r="235" spans="1:35" x14ac:dyDescent="0.2">
      <c r="A235">
        <v>13</v>
      </c>
      <c r="B235" t="s">
        <v>749</v>
      </c>
      <c r="C235">
        <v>8</v>
      </c>
      <c r="D235" t="s">
        <v>785</v>
      </c>
      <c r="E235" t="s">
        <v>18</v>
      </c>
      <c r="F235" t="s">
        <v>19</v>
      </c>
      <c r="G235" t="s">
        <v>18</v>
      </c>
      <c r="H235" t="s">
        <v>18</v>
      </c>
      <c r="I235">
        <v>6</v>
      </c>
      <c r="J235">
        <v>5</v>
      </c>
      <c r="K235" t="s">
        <v>786</v>
      </c>
      <c r="L235" t="s">
        <v>70</v>
      </c>
      <c r="M235" t="s">
        <v>161</v>
      </c>
      <c r="N235" t="s">
        <v>215</v>
      </c>
      <c r="O235" t="s">
        <v>787</v>
      </c>
      <c r="P235" t="s">
        <v>788</v>
      </c>
      <c r="Q235">
        <f t="shared" si="54"/>
        <v>4</v>
      </c>
      <c r="R235">
        <f t="shared" si="55"/>
        <v>3</v>
      </c>
      <c r="S235">
        <f t="shared" si="56"/>
        <v>4</v>
      </c>
      <c r="T235">
        <f t="shared" si="57"/>
        <v>4</v>
      </c>
      <c r="U235">
        <v>10000000</v>
      </c>
      <c r="V235">
        <f t="shared" si="58"/>
        <v>0</v>
      </c>
      <c r="W235">
        <f t="shared" si="59"/>
        <v>0</v>
      </c>
      <c r="X235">
        <f t="shared" si="60"/>
        <v>0</v>
      </c>
      <c r="Y235">
        <f t="shared" si="61"/>
        <v>1</v>
      </c>
      <c r="Z235">
        <f t="shared" si="62"/>
        <v>0</v>
      </c>
      <c r="AA235">
        <f t="shared" si="63"/>
        <v>1</v>
      </c>
      <c r="AB235">
        <f t="shared" si="64"/>
        <v>1</v>
      </c>
      <c r="AC235">
        <f t="shared" si="65"/>
        <v>1</v>
      </c>
      <c r="AD235">
        <f t="shared" si="66"/>
        <v>1</v>
      </c>
      <c r="AE235">
        <f t="shared" si="67"/>
        <v>0</v>
      </c>
      <c r="AF235">
        <f t="shared" si="68"/>
        <v>1</v>
      </c>
      <c r="AG235">
        <f t="shared" si="69"/>
        <v>0</v>
      </c>
      <c r="AH235">
        <f t="shared" si="70"/>
        <v>0</v>
      </c>
      <c r="AI235">
        <f t="shared" si="71"/>
        <v>0</v>
      </c>
    </row>
    <row r="236" spans="1:35" x14ac:dyDescent="0.2">
      <c r="A236">
        <v>14</v>
      </c>
      <c r="B236" t="s">
        <v>749</v>
      </c>
      <c r="C236">
        <v>8</v>
      </c>
      <c r="D236" t="s">
        <v>789</v>
      </c>
      <c r="E236" t="s">
        <v>20</v>
      </c>
      <c r="F236" t="s">
        <v>18</v>
      </c>
      <c r="G236" t="s">
        <v>18</v>
      </c>
      <c r="H236" t="s">
        <v>20</v>
      </c>
      <c r="I236">
        <v>5</v>
      </c>
      <c r="J236">
        <v>6</v>
      </c>
      <c r="K236">
        <v>10000000</v>
      </c>
      <c r="L236" t="s">
        <v>70</v>
      </c>
      <c r="M236" t="s">
        <v>268</v>
      </c>
      <c r="N236" t="s">
        <v>43</v>
      </c>
      <c r="O236" t="s">
        <v>590</v>
      </c>
      <c r="P236" t="s">
        <v>790</v>
      </c>
      <c r="Q236">
        <f t="shared" si="54"/>
        <v>2</v>
      </c>
      <c r="R236">
        <f t="shared" si="55"/>
        <v>4</v>
      </c>
      <c r="S236">
        <f t="shared" si="56"/>
        <v>4</v>
      </c>
      <c r="T236">
        <f t="shared" si="57"/>
        <v>2</v>
      </c>
      <c r="U236">
        <v>10000000</v>
      </c>
      <c r="V236">
        <f t="shared" si="58"/>
        <v>0</v>
      </c>
      <c r="W236">
        <f t="shared" si="59"/>
        <v>0</v>
      </c>
      <c r="X236">
        <f t="shared" si="60"/>
        <v>0</v>
      </c>
      <c r="Y236">
        <f t="shared" si="61"/>
        <v>1</v>
      </c>
      <c r="Z236">
        <f t="shared" si="62"/>
        <v>0</v>
      </c>
      <c r="AA236">
        <f t="shared" si="63"/>
        <v>1</v>
      </c>
      <c r="AB236">
        <f t="shared" si="64"/>
        <v>1</v>
      </c>
      <c r="AC236">
        <f t="shared" si="65"/>
        <v>0</v>
      </c>
      <c r="AD236">
        <f t="shared" si="66"/>
        <v>1</v>
      </c>
      <c r="AE236">
        <f t="shared" si="67"/>
        <v>0</v>
      </c>
      <c r="AF236">
        <f t="shared" si="68"/>
        <v>1</v>
      </c>
      <c r="AG236">
        <f t="shared" si="69"/>
        <v>1</v>
      </c>
      <c r="AH236">
        <f t="shared" si="70"/>
        <v>0</v>
      </c>
      <c r="AI236">
        <f t="shared" si="71"/>
        <v>0</v>
      </c>
    </row>
    <row r="237" spans="1:35" x14ac:dyDescent="0.2">
      <c r="A237">
        <v>15</v>
      </c>
      <c r="B237" t="s">
        <v>749</v>
      </c>
      <c r="C237">
        <v>3</v>
      </c>
      <c r="D237" t="s">
        <v>791</v>
      </c>
      <c r="E237" t="s">
        <v>20</v>
      </c>
      <c r="F237" t="s">
        <v>18</v>
      </c>
      <c r="G237" t="s">
        <v>39</v>
      </c>
      <c r="H237" t="s">
        <v>21</v>
      </c>
      <c r="I237">
        <v>1</v>
      </c>
      <c r="J237">
        <v>3</v>
      </c>
      <c r="K237">
        <v>10000000</v>
      </c>
      <c r="L237" t="s">
        <v>276</v>
      </c>
      <c r="M237" t="s">
        <v>48</v>
      </c>
      <c r="N237" t="s">
        <v>84</v>
      </c>
      <c r="O237" t="s">
        <v>792</v>
      </c>
      <c r="P237" t="s">
        <v>793</v>
      </c>
      <c r="Q237">
        <f t="shared" si="54"/>
        <v>2</v>
      </c>
      <c r="R237">
        <f t="shared" si="55"/>
        <v>4</v>
      </c>
      <c r="S237">
        <f t="shared" si="56"/>
        <v>5</v>
      </c>
      <c r="T237">
        <f t="shared" si="57"/>
        <v>1</v>
      </c>
      <c r="U237">
        <v>10000000</v>
      </c>
      <c r="V237">
        <f t="shared" si="58"/>
        <v>1</v>
      </c>
      <c r="W237">
        <f t="shared" si="59"/>
        <v>1</v>
      </c>
      <c r="X237">
        <f t="shared" si="60"/>
        <v>0</v>
      </c>
      <c r="Y237">
        <f t="shared" si="61"/>
        <v>1</v>
      </c>
      <c r="Z237">
        <f t="shared" si="62"/>
        <v>1</v>
      </c>
      <c r="AA237">
        <f t="shared" si="63"/>
        <v>1</v>
      </c>
      <c r="AB237">
        <f t="shared" si="64"/>
        <v>1</v>
      </c>
      <c r="AC237">
        <f t="shared" si="65"/>
        <v>1</v>
      </c>
      <c r="AD237">
        <f t="shared" si="66"/>
        <v>0</v>
      </c>
      <c r="AE237">
        <f t="shared" si="67"/>
        <v>0</v>
      </c>
      <c r="AF237">
        <f t="shared" si="68"/>
        <v>0</v>
      </c>
      <c r="AG237">
        <f t="shared" si="69"/>
        <v>1</v>
      </c>
      <c r="AH237">
        <f t="shared" si="70"/>
        <v>0</v>
      </c>
      <c r="AI237">
        <f t="shared" si="71"/>
        <v>0</v>
      </c>
    </row>
    <row r="238" spans="1:35" x14ac:dyDescent="0.2">
      <c r="A238">
        <v>16</v>
      </c>
      <c r="B238" t="s">
        <v>749</v>
      </c>
      <c r="C238">
        <v>3</v>
      </c>
      <c r="D238" t="s">
        <v>794</v>
      </c>
      <c r="E238" t="s">
        <v>20</v>
      </c>
      <c r="F238" t="s">
        <v>18</v>
      </c>
      <c r="G238" t="s">
        <v>18</v>
      </c>
      <c r="H238" t="s">
        <v>20</v>
      </c>
      <c r="I238">
        <v>3</v>
      </c>
      <c r="J238">
        <v>2</v>
      </c>
      <c r="K238">
        <v>2000000</v>
      </c>
      <c r="L238" t="s">
        <v>70</v>
      </c>
      <c r="M238" t="s">
        <v>42</v>
      </c>
      <c r="N238" t="s">
        <v>84</v>
      </c>
      <c r="O238" t="s">
        <v>795</v>
      </c>
      <c r="P238" t="s">
        <v>796</v>
      </c>
      <c r="Q238">
        <f t="shared" si="54"/>
        <v>2</v>
      </c>
      <c r="R238">
        <f t="shared" si="55"/>
        <v>4</v>
      </c>
      <c r="S238">
        <f t="shared" si="56"/>
        <v>4</v>
      </c>
      <c r="T238">
        <f t="shared" si="57"/>
        <v>2</v>
      </c>
      <c r="U238">
        <v>2000000</v>
      </c>
      <c r="V238">
        <f t="shared" si="58"/>
        <v>0</v>
      </c>
      <c r="W238">
        <f t="shared" si="59"/>
        <v>0</v>
      </c>
      <c r="X238">
        <f t="shared" si="60"/>
        <v>0</v>
      </c>
      <c r="Y238">
        <f t="shared" si="61"/>
        <v>1</v>
      </c>
      <c r="Z238">
        <f t="shared" si="62"/>
        <v>0</v>
      </c>
      <c r="AA238">
        <f t="shared" si="63"/>
        <v>0</v>
      </c>
      <c r="AB238">
        <f t="shared" si="64"/>
        <v>1</v>
      </c>
      <c r="AC238">
        <f t="shared" si="65"/>
        <v>0</v>
      </c>
      <c r="AD238">
        <f t="shared" si="66"/>
        <v>0</v>
      </c>
      <c r="AE238">
        <f t="shared" si="67"/>
        <v>0</v>
      </c>
      <c r="AF238">
        <f t="shared" si="68"/>
        <v>0</v>
      </c>
      <c r="AG238">
        <f t="shared" si="69"/>
        <v>1</v>
      </c>
      <c r="AH238">
        <f t="shared" si="70"/>
        <v>0</v>
      </c>
      <c r="AI238">
        <f t="shared" si="71"/>
        <v>0</v>
      </c>
    </row>
    <row r="239" spans="1:35" x14ac:dyDescent="0.2">
      <c r="A239">
        <v>17</v>
      </c>
      <c r="B239" t="s">
        <v>749</v>
      </c>
      <c r="C239">
        <v>9</v>
      </c>
      <c r="D239" t="s">
        <v>797</v>
      </c>
      <c r="E239" t="s">
        <v>19</v>
      </c>
      <c r="F239" t="s">
        <v>18</v>
      </c>
      <c r="G239" t="s">
        <v>18</v>
      </c>
      <c r="H239" t="s">
        <v>19</v>
      </c>
      <c r="I239">
        <v>4</v>
      </c>
      <c r="J239">
        <v>7</v>
      </c>
      <c r="K239">
        <v>200</v>
      </c>
      <c r="L239" t="s">
        <v>41</v>
      </c>
      <c r="M239" t="s">
        <v>23</v>
      </c>
      <c r="N239" t="s">
        <v>84</v>
      </c>
      <c r="O239" t="s">
        <v>798</v>
      </c>
      <c r="P239" t="s">
        <v>799</v>
      </c>
      <c r="Q239">
        <f t="shared" si="54"/>
        <v>3</v>
      </c>
      <c r="R239">
        <f t="shared" si="55"/>
        <v>4</v>
      </c>
      <c r="S239">
        <f t="shared" si="56"/>
        <v>4</v>
      </c>
      <c r="T239">
        <f t="shared" si="57"/>
        <v>3</v>
      </c>
      <c r="U239">
        <v>200</v>
      </c>
      <c r="V239">
        <f t="shared" si="58"/>
        <v>0</v>
      </c>
      <c r="W239">
        <f t="shared" si="59"/>
        <v>0</v>
      </c>
      <c r="X239">
        <f t="shared" si="60"/>
        <v>0</v>
      </c>
      <c r="Y239">
        <f t="shared" si="61"/>
        <v>0</v>
      </c>
      <c r="Z239">
        <f t="shared" si="62"/>
        <v>1</v>
      </c>
      <c r="AA239">
        <f t="shared" si="63"/>
        <v>1</v>
      </c>
      <c r="AB239">
        <f t="shared" si="64"/>
        <v>0</v>
      </c>
      <c r="AC239">
        <f t="shared" si="65"/>
        <v>0</v>
      </c>
      <c r="AD239">
        <f t="shared" si="66"/>
        <v>0</v>
      </c>
      <c r="AE239">
        <f t="shared" si="67"/>
        <v>0</v>
      </c>
      <c r="AF239">
        <f t="shared" si="68"/>
        <v>0</v>
      </c>
      <c r="AG239">
        <f t="shared" si="69"/>
        <v>1</v>
      </c>
      <c r="AH239">
        <f t="shared" si="70"/>
        <v>0</v>
      </c>
      <c r="AI239">
        <f t="shared" si="71"/>
        <v>0</v>
      </c>
    </row>
    <row r="240" spans="1:35" x14ac:dyDescent="0.2">
      <c r="A240">
        <v>18</v>
      </c>
      <c r="B240" t="s">
        <v>749</v>
      </c>
      <c r="C240">
        <v>10</v>
      </c>
      <c r="D240" t="s">
        <v>800</v>
      </c>
      <c r="E240" t="s">
        <v>20</v>
      </c>
      <c r="F240" t="s">
        <v>39</v>
      </c>
      <c r="G240" t="s">
        <v>18</v>
      </c>
      <c r="H240" t="s">
        <v>20</v>
      </c>
      <c r="I240">
        <v>3</v>
      </c>
      <c r="J240">
        <v>2</v>
      </c>
      <c r="K240" t="s">
        <v>801</v>
      </c>
      <c r="L240" t="s">
        <v>70</v>
      </c>
      <c r="M240" t="s">
        <v>123</v>
      </c>
      <c r="N240" t="s">
        <v>215</v>
      </c>
      <c r="O240" t="s">
        <v>802</v>
      </c>
      <c r="P240" t="s">
        <v>803</v>
      </c>
      <c r="Q240">
        <f t="shared" si="54"/>
        <v>2</v>
      </c>
      <c r="R240">
        <f t="shared" si="55"/>
        <v>5</v>
      </c>
      <c r="S240">
        <f t="shared" si="56"/>
        <v>4</v>
      </c>
      <c r="T240">
        <f t="shared" si="57"/>
        <v>2</v>
      </c>
      <c r="U240">
        <v>40000</v>
      </c>
      <c r="V240">
        <f t="shared" si="58"/>
        <v>0</v>
      </c>
      <c r="W240">
        <f t="shared" si="59"/>
        <v>0</v>
      </c>
      <c r="X240">
        <f t="shared" si="60"/>
        <v>0</v>
      </c>
      <c r="Y240">
        <f t="shared" si="61"/>
        <v>1</v>
      </c>
      <c r="Z240">
        <f t="shared" si="62"/>
        <v>0</v>
      </c>
      <c r="AA240">
        <f t="shared" si="63"/>
        <v>0</v>
      </c>
      <c r="AB240">
        <f t="shared" si="64"/>
        <v>1</v>
      </c>
      <c r="AC240">
        <f t="shared" si="65"/>
        <v>1</v>
      </c>
      <c r="AD240">
        <f t="shared" si="66"/>
        <v>0</v>
      </c>
      <c r="AE240">
        <f t="shared" si="67"/>
        <v>0</v>
      </c>
      <c r="AF240">
        <f t="shared" si="68"/>
        <v>1</v>
      </c>
      <c r="AG240">
        <f t="shared" si="69"/>
        <v>0</v>
      </c>
      <c r="AH240">
        <f t="shared" si="70"/>
        <v>0</v>
      </c>
      <c r="AI240">
        <f t="shared" si="71"/>
        <v>0</v>
      </c>
    </row>
    <row r="241" spans="1:35" x14ac:dyDescent="0.2">
      <c r="A241">
        <v>19</v>
      </c>
      <c r="B241" t="s">
        <v>749</v>
      </c>
      <c r="C241">
        <v>2</v>
      </c>
      <c r="D241" t="s">
        <v>804</v>
      </c>
      <c r="E241" t="s">
        <v>20</v>
      </c>
      <c r="F241" t="s">
        <v>18</v>
      </c>
      <c r="G241" t="s">
        <v>19</v>
      </c>
      <c r="H241" t="s">
        <v>21</v>
      </c>
      <c r="I241">
        <v>5</v>
      </c>
      <c r="J241">
        <v>2</v>
      </c>
      <c r="K241">
        <v>100000</v>
      </c>
      <c r="L241" t="s">
        <v>41</v>
      </c>
      <c r="M241" t="s">
        <v>280</v>
      </c>
      <c r="N241" t="s">
        <v>84</v>
      </c>
      <c r="O241" t="s">
        <v>805</v>
      </c>
      <c r="P241" t="s">
        <v>806</v>
      </c>
      <c r="Q241">
        <f t="shared" si="54"/>
        <v>2</v>
      </c>
      <c r="R241">
        <f t="shared" si="55"/>
        <v>4</v>
      </c>
      <c r="S241">
        <f t="shared" si="56"/>
        <v>3</v>
      </c>
      <c r="T241">
        <f t="shared" si="57"/>
        <v>1</v>
      </c>
      <c r="U241">
        <v>100000</v>
      </c>
      <c r="V241">
        <f t="shared" si="58"/>
        <v>0</v>
      </c>
      <c r="W241">
        <f t="shared" si="59"/>
        <v>0</v>
      </c>
      <c r="X241">
        <f t="shared" si="60"/>
        <v>0</v>
      </c>
      <c r="Y241">
        <f t="shared" si="61"/>
        <v>0</v>
      </c>
      <c r="Z241">
        <f t="shared" si="62"/>
        <v>1</v>
      </c>
      <c r="AA241">
        <f t="shared" si="63"/>
        <v>0</v>
      </c>
      <c r="AB241">
        <f t="shared" si="64"/>
        <v>1</v>
      </c>
      <c r="AC241">
        <f t="shared" si="65"/>
        <v>1</v>
      </c>
      <c r="AD241">
        <f t="shared" si="66"/>
        <v>1</v>
      </c>
      <c r="AE241">
        <f t="shared" si="67"/>
        <v>0</v>
      </c>
      <c r="AF241">
        <f t="shared" si="68"/>
        <v>0</v>
      </c>
      <c r="AG241">
        <f t="shared" si="69"/>
        <v>1</v>
      </c>
      <c r="AH241">
        <f t="shared" si="70"/>
        <v>0</v>
      </c>
      <c r="AI241">
        <f t="shared" si="71"/>
        <v>0</v>
      </c>
    </row>
    <row r="242" spans="1:35" x14ac:dyDescent="0.2">
      <c r="A242">
        <v>20</v>
      </c>
      <c r="B242" t="s">
        <v>749</v>
      </c>
      <c r="C242">
        <v>5</v>
      </c>
      <c r="D242" t="s">
        <v>807</v>
      </c>
      <c r="E242" t="s">
        <v>20</v>
      </c>
      <c r="F242" t="s">
        <v>18</v>
      </c>
      <c r="G242" t="s">
        <v>18</v>
      </c>
      <c r="H242" t="s">
        <v>20</v>
      </c>
      <c r="I242">
        <v>4</v>
      </c>
      <c r="J242">
        <v>3</v>
      </c>
      <c r="K242" s="1">
        <v>500</v>
      </c>
      <c r="L242" t="s">
        <v>230</v>
      </c>
      <c r="M242" t="s">
        <v>468</v>
      </c>
      <c r="N242" t="s">
        <v>622</v>
      </c>
      <c r="O242" t="s">
        <v>808</v>
      </c>
      <c r="P242" t="s">
        <v>809</v>
      </c>
      <c r="Q242">
        <f t="shared" si="54"/>
        <v>2</v>
      </c>
      <c r="R242">
        <f t="shared" si="55"/>
        <v>4</v>
      </c>
      <c r="S242">
        <f t="shared" si="56"/>
        <v>4</v>
      </c>
      <c r="T242">
        <f t="shared" si="57"/>
        <v>2</v>
      </c>
      <c r="U242">
        <v>500</v>
      </c>
      <c r="V242">
        <f t="shared" si="58"/>
        <v>1</v>
      </c>
      <c r="W242">
        <f t="shared" si="59"/>
        <v>1</v>
      </c>
      <c r="X242">
        <f t="shared" si="60"/>
        <v>1</v>
      </c>
      <c r="Y242">
        <f t="shared" si="61"/>
        <v>1</v>
      </c>
      <c r="Z242">
        <f t="shared" si="62"/>
        <v>1</v>
      </c>
      <c r="AA242">
        <f t="shared" si="63"/>
        <v>1</v>
      </c>
      <c r="AB242">
        <f t="shared" si="64"/>
        <v>1</v>
      </c>
      <c r="AC242">
        <f t="shared" si="65"/>
        <v>1</v>
      </c>
      <c r="AD242">
        <f t="shared" si="66"/>
        <v>1</v>
      </c>
      <c r="AE242">
        <f t="shared" si="67"/>
        <v>1</v>
      </c>
      <c r="AF242">
        <f t="shared" si="68"/>
        <v>0</v>
      </c>
      <c r="AG242">
        <f t="shared" si="69"/>
        <v>1</v>
      </c>
      <c r="AH242">
        <f t="shared" si="70"/>
        <v>0</v>
      </c>
      <c r="AI242">
        <f t="shared" si="71"/>
        <v>1</v>
      </c>
    </row>
    <row r="243" spans="1:35" x14ac:dyDescent="0.2">
      <c r="A243">
        <v>21</v>
      </c>
      <c r="B243" t="s">
        <v>749</v>
      </c>
      <c r="C243">
        <v>5</v>
      </c>
      <c r="D243" t="s">
        <v>810</v>
      </c>
      <c r="E243" t="s">
        <v>21</v>
      </c>
      <c r="F243" t="s">
        <v>21</v>
      </c>
      <c r="G243" t="s">
        <v>21</v>
      </c>
      <c r="H243" t="s">
        <v>39</v>
      </c>
      <c r="I243">
        <v>5</v>
      </c>
      <c r="J243">
        <v>3</v>
      </c>
      <c r="K243">
        <v>10</v>
      </c>
      <c r="L243" t="s">
        <v>70</v>
      </c>
      <c r="M243" t="s">
        <v>115</v>
      </c>
      <c r="N243" t="s">
        <v>36</v>
      </c>
      <c r="O243" t="s">
        <v>811</v>
      </c>
      <c r="P243" t="s">
        <v>812</v>
      </c>
      <c r="Q243">
        <f t="shared" si="54"/>
        <v>1</v>
      </c>
      <c r="R243">
        <f t="shared" si="55"/>
        <v>1</v>
      </c>
      <c r="S243">
        <f t="shared" si="56"/>
        <v>1</v>
      </c>
      <c r="T243">
        <f t="shared" si="57"/>
        <v>5</v>
      </c>
      <c r="U243">
        <v>10</v>
      </c>
      <c r="V243">
        <f t="shared" si="58"/>
        <v>0</v>
      </c>
      <c r="W243">
        <f t="shared" si="59"/>
        <v>0</v>
      </c>
      <c r="X243">
        <f t="shared" si="60"/>
        <v>0</v>
      </c>
      <c r="Y243">
        <f t="shared" si="61"/>
        <v>1</v>
      </c>
      <c r="Z243">
        <f t="shared" si="62"/>
        <v>0</v>
      </c>
      <c r="AA243">
        <f t="shared" si="63"/>
        <v>0</v>
      </c>
      <c r="AB243">
        <f t="shared" si="64"/>
        <v>0</v>
      </c>
      <c r="AC243">
        <f t="shared" si="65"/>
        <v>1</v>
      </c>
      <c r="AD243">
        <f t="shared" si="66"/>
        <v>0</v>
      </c>
      <c r="AE243">
        <f t="shared" si="67"/>
        <v>0</v>
      </c>
      <c r="AF243">
        <f t="shared" si="68"/>
        <v>0</v>
      </c>
      <c r="AG243">
        <f t="shared" si="69"/>
        <v>0</v>
      </c>
      <c r="AH243">
        <f t="shared" si="70"/>
        <v>0</v>
      </c>
      <c r="AI243">
        <f t="shared" si="71"/>
        <v>1</v>
      </c>
    </row>
    <row r="244" spans="1:35" x14ac:dyDescent="0.2">
      <c r="A244">
        <v>22</v>
      </c>
      <c r="B244" t="s">
        <v>749</v>
      </c>
      <c r="C244">
        <v>8</v>
      </c>
      <c r="D244" t="s">
        <v>813</v>
      </c>
      <c r="E244" t="s">
        <v>19</v>
      </c>
      <c r="F244" t="s">
        <v>18</v>
      </c>
      <c r="G244" t="s">
        <v>39</v>
      </c>
      <c r="H244" t="s">
        <v>20</v>
      </c>
      <c r="I244">
        <v>5</v>
      </c>
      <c r="J244">
        <v>3</v>
      </c>
      <c r="K244">
        <v>100</v>
      </c>
      <c r="L244" t="s">
        <v>41</v>
      </c>
      <c r="M244" t="s">
        <v>48</v>
      </c>
      <c r="N244" t="s">
        <v>36</v>
      </c>
      <c r="O244" t="s">
        <v>814</v>
      </c>
      <c r="P244" t="s">
        <v>815</v>
      </c>
      <c r="Q244">
        <f t="shared" si="54"/>
        <v>3</v>
      </c>
      <c r="R244">
        <f t="shared" si="55"/>
        <v>4</v>
      </c>
      <c r="S244">
        <f t="shared" si="56"/>
        <v>5</v>
      </c>
      <c r="T244">
        <f t="shared" si="57"/>
        <v>2</v>
      </c>
      <c r="U244">
        <v>100</v>
      </c>
      <c r="V244">
        <f t="shared" si="58"/>
        <v>0</v>
      </c>
      <c r="W244">
        <f t="shared" si="59"/>
        <v>0</v>
      </c>
      <c r="X244">
        <f t="shared" si="60"/>
        <v>0</v>
      </c>
      <c r="Y244">
        <f t="shared" si="61"/>
        <v>0</v>
      </c>
      <c r="Z244">
        <f t="shared" si="62"/>
        <v>1</v>
      </c>
      <c r="AA244">
        <f t="shared" si="63"/>
        <v>1</v>
      </c>
      <c r="AB244">
        <f t="shared" si="64"/>
        <v>1</v>
      </c>
      <c r="AC244">
        <f t="shared" si="65"/>
        <v>1</v>
      </c>
      <c r="AD244">
        <f t="shared" si="66"/>
        <v>0</v>
      </c>
      <c r="AE244">
        <f t="shared" si="67"/>
        <v>0</v>
      </c>
      <c r="AF244">
        <f t="shared" si="68"/>
        <v>0</v>
      </c>
      <c r="AG244">
        <f t="shared" si="69"/>
        <v>0</v>
      </c>
      <c r="AH244">
        <f t="shared" si="70"/>
        <v>0</v>
      </c>
      <c r="AI244">
        <f t="shared" si="71"/>
        <v>1</v>
      </c>
    </row>
    <row r="245" spans="1:35" x14ac:dyDescent="0.2">
      <c r="A245">
        <v>23</v>
      </c>
      <c r="B245" t="s">
        <v>749</v>
      </c>
      <c r="C245">
        <v>2</v>
      </c>
      <c r="D245" t="s">
        <v>816</v>
      </c>
      <c r="E245" t="s">
        <v>20</v>
      </c>
      <c r="F245" t="s">
        <v>18</v>
      </c>
      <c r="G245" t="s">
        <v>39</v>
      </c>
      <c r="H245" t="s">
        <v>20</v>
      </c>
      <c r="I245">
        <v>3</v>
      </c>
      <c r="J245">
        <v>2</v>
      </c>
      <c r="K245">
        <v>150</v>
      </c>
      <c r="L245" t="s">
        <v>75</v>
      </c>
      <c r="M245" t="s">
        <v>115</v>
      </c>
      <c r="N245" t="s">
        <v>84</v>
      </c>
      <c r="O245" t="s">
        <v>817</v>
      </c>
      <c r="P245" t="s">
        <v>818</v>
      </c>
      <c r="Q245">
        <f t="shared" si="54"/>
        <v>2</v>
      </c>
      <c r="R245">
        <f t="shared" si="55"/>
        <v>4</v>
      </c>
      <c r="S245">
        <f t="shared" si="56"/>
        <v>5</v>
      </c>
      <c r="T245">
        <f t="shared" si="57"/>
        <v>2</v>
      </c>
      <c r="U245">
        <v>150</v>
      </c>
      <c r="V245">
        <f t="shared" si="58"/>
        <v>0</v>
      </c>
      <c r="W245">
        <f t="shared" si="59"/>
        <v>0</v>
      </c>
      <c r="X245">
        <f t="shared" si="60"/>
        <v>1</v>
      </c>
      <c r="Y245">
        <f t="shared" si="61"/>
        <v>1</v>
      </c>
      <c r="Z245">
        <f t="shared" si="62"/>
        <v>0</v>
      </c>
      <c r="AA245">
        <f t="shared" si="63"/>
        <v>0</v>
      </c>
      <c r="AB245">
        <f t="shared" si="64"/>
        <v>0</v>
      </c>
      <c r="AC245">
        <f t="shared" si="65"/>
        <v>1</v>
      </c>
      <c r="AD245">
        <f t="shared" si="66"/>
        <v>0</v>
      </c>
      <c r="AE245">
        <f t="shared" si="67"/>
        <v>0</v>
      </c>
      <c r="AF245">
        <f t="shared" si="68"/>
        <v>0</v>
      </c>
      <c r="AG245">
        <f t="shared" si="69"/>
        <v>1</v>
      </c>
      <c r="AH245">
        <f t="shared" si="70"/>
        <v>0</v>
      </c>
      <c r="AI245">
        <f t="shared" si="71"/>
        <v>0</v>
      </c>
    </row>
    <row r="246" spans="1:35" x14ac:dyDescent="0.2">
      <c r="A246">
        <v>24</v>
      </c>
      <c r="B246" t="s">
        <v>749</v>
      </c>
      <c r="C246">
        <v>6</v>
      </c>
      <c r="D246" t="s">
        <v>819</v>
      </c>
      <c r="E246" t="s">
        <v>18</v>
      </c>
      <c r="F246" t="s">
        <v>18</v>
      </c>
      <c r="G246" t="s">
        <v>19</v>
      </c>
      <c r="H246" t="s">
        <v>20</v>
      </c>
      <c r="I246">
        <v>6</v>
      </c>
      <c r="J246">
        <v>3</v>
      </c>
      <c r="K246">
        <v>100</v>
      </c>
      <c r="L246" t="s">
        <v>70</v>
      </c>
      <c r="M246" t="s">
        <v>23</v>
      </c>
      <c r="N246" t="s">
        <v>36</v>
      </c>
      <c r="O246" t="s">
        <v>67</v>
      </c>
      <c r="P246" t="s">
        <v>820</v>
      </c>
      <c r="Q246">
        <f t="shared" si="54"/>
        <v>4</v>
      </c>
      <c r="R246">
        <f t="shared" si="55"/>
        <v>4</v>
      </c>
      <c r="S246">
        <f t="shared" si="56"/>
        <v>3</v>
      </c>
      <c r="T246">
        <f t="shared" si="57"/>
        <v>2</v>
      </c>
      <c r="U246">
        <v>100</v>
      </c>
      <c r="V246">
        <f t="shared" si="58"/>
        <v>0</v>
      </c>
      <c r="W246">
        <f t="shared" si="59"/>
        <v>0</v>
      </c>
      <c r="X246">
        <f t="shared" si="60"/>
        <v>0</v>
      </c>
      <c r="Y246">
        <f t="shared" si="61"/>
        <v>1</v>
      </c>
      <c r="Z246">
        <f t="shared" si="62"/>
        <v>0</v>
      </c>
      <c r="AA246">
        <f t="shared" si="63"/>
        <v>1</v>
      </c>
      <c r="AB246">
        <f t="shared" si="64"/>
        <v>0</v>
      </c>
      <c r="AC246">
        <f t="shared" si="65"/>
        <v>0</v>
      </c>
      <c r="AD246">
        <f t="shared" si="66"/>
        <v>0</v>
      </c>
      <c r="AE246">
        <f t="shared" si="67"/>
        <v>0</v>
      </c>
      <c r="AF246">
        <f t="shared" si="68"/>
        <v>0</v>
      </c>
      <c r="AG246">
        <f t="shared" si="69"/>
        <v>0</v>
      </c>
      <c r="AH246">
        <f t="shared" si="70"/>
        <v>0</v>
      </c>
      <c r="AI246">
        <f t="shared" si="71"/>
        <v>1</v>
      </c>
    </row>
    <row r="247" spans="1:35" x14ac:dyDescent="0.2">
      <c r="A247">
        <v>25</v>
      </c>
      <c r="B247" t="s">
        <v>749</v>
      </c>
      <c r="C247">
        <v>9</v>
      </c>
      <c r="D247" t="s">
        <v>821</v>
      </c>
      <c r="E247" t="s">
        <v>21</v>
      </c>
      <c r="F247" t="s">
        <v>18</v>
      </c>
      <c r="G247" t="s">
        <v>39</v>
      </c>
      <c r="H247" t="s">
        <v>20</v>
      </c>
      <c r="I247">
        <v>2</v>
      </c>
      <c r="J247">
        <v>4</v>
      </c>
      <c r="K247">
        <v>300</v>
      </c>
      <c r="L247" t="s">
        <v>276</v>
      </c>
      <c r="M247" t="s">
        <v>48</v>
      </c>
      <c r="N247" t="s">
        <v>822</v>
      </c>
      <c r="O247" t="s">
        <v>823</v>
      </c>
      <c r="P247" t="s">
        <v>824</v>
      </c>
      <c r="Q247">
        <f t="shared" si="54"/>
        <v>1</v>
      </c>
      <c r="R247">
        <f t="shared" si="55"/>
        <v>4</v>
      </c>
      <c r="S247">
        <f t="shared" si="56"/>
        <v>5</v>
      </c>
      <c r="T247">
        <f t="shared" si="57"/>
        <v>2</v>
      </c>
      <c r="U247">
        <v>300</v>
      </c>
      <c r="V247">
        <f t="shared" si="58"/>
        <v>1</v>
      </c>
      <c r="W247">
        <f t="shared" si="59"/>
        <v>1</v>
      </c>
      <c r="X247">
        <f t="shared" si="60"/>
        <v>0</v>
      </c>
      <c r="Y247">
        <f t="shared" si="61"/>
        <v>1</v>
      </c>
      <c r="Z247">
        <f t="shared" si="62"/>
        <v>1</v>
      </c>
      <c r="AA247">
        <f t="shared" si="63"/>
        <v>1</v>
      </c>
      <c r="AB247">
        <f t="shared" si="64"/>
        <v>1</v>
      </c>
      <c r="AC247">
        <f t="shared" si="65"/>
        <v>1</v>
      </c>
      <c r="AD247">
        <f t="shared" si="66"/>
        <v>0</v>
      </c>
      <c r="AE247">
        <f t="shared" si="67"/>
        <v>0</v>
      </c>
      <c r="AF247">
        <f t="shared" si="68"/>
        <v>1</v>
      </c>
      <c r="AG247">
        <f t="shared" si="69"/>
        <v>1</v>
      </c>
      <c r="AH247">
        <f t="shared" si="70"/>
        <v>1</v>
      </c>
      <c r="AI247">
        <f t="shared" si="71"/>
        <v>0</v>
      </c>
    </row>
    <row r="248" spans="1:35" x14ac:dyDescent="0.2">
      <c r="A248">
        <v>26</v>
      </c>
      <c r="B248" t="s">
        <v>749</v>
      </c>
      <c r="C248">
        <v>7</v>
      </c>
      <c r="D248" t="s">
        <v>825</v>
      </c>
      <c r="E248" t="s">
        <v>19</v>
      </c>
      <c r="F248" t="s">
        <v>39</v>
      </c>
      <c r="G248" t="s">
        <v>39</v>
      </c>
      <c r="H248" t="s">
        <v>21</v>
      </c>
      <c r="I248">
        <v>3</v>
      </c>
      <c r="J248">
        <v>3</v>
      </c>
      <c r="K248">
        <v>500</v>
      </c>
      <c r="L248" t="s">
        <v>194</v>
      </c>
      <c r="M248" t="s">
        <v>468</v>
      </c>
      <c r="N248" t="s">
        <v>84</v>
      </c>
      <c r="O248" t="s">
        <v>826</v>
      </c>
      <c r="P248" t="s">
        <v>827</v>
      </c>
      <c r="Q248">
        <f t="shared" si="54"/>
        <v>3</v>
      </c>
      <c r="R248">
        <f t="shared" si="55"/>
        <v>5</v>
      </c>
      <c r="S248">
        <f t="shared" si="56"/>
        <v>5</v>
      </c>
      <c r="T248">
        <f t="shared" si="57"/>
        <v>1</v>
      </c>
      <c r="U248">
        <v>500</v>
      </c>
      <c r="V248">
        <f t="shared" si="58"/>
        <v>0</v>
      </c>
      <c r="W248">
        <f t="shared" si="59"/>
        <v>0</v>
      </c>
      <c r="X248">
        <f t="shared" si="60"/>
        <v>0</v>
      </c>
      <c r="Y248">
        <f t="shared" si="61"/>
        <v>1</v>
      </c>
      <c r="Z248">
        <f t="shared" si="62"/>
        <v>1</v>
      </c>
      <c r="AA248">
        <f t="shared" si="63"/>
        <v>1</v>
      </c>
      <c r="AB248">
        <f t="shared" si="64"/>
        <v>1</v>
      </c>
      <c r="AC248">
        <f t="shared" si="65"/>
        <v>1</v>
      </c>
      <c r="AD248">
        <f t="shared" si="66"/>
        <v>1</v>
      </c>
      <c r="AE248">
        <f t="shared" si="67"/>
        <v>1</v>
      </c>
      <c r="AF248">
        <f t="shared" si="68"/>
        <v>0</v>
      </c>
      <c r="AG248">
        <f t="shared" si="69"/>
        <v>1</v>
      </c>
      <c r="AH248">
        <f t="shared" si="70"/>
        <v>0</v>
      </c>
      <c r="AI248">
        <f t="shared" si="71"/>
        <v>0</v>
      </c>
    </row>
    <row r="249" spans="1:35" x14ac:dyDescent="0.2">
      <c r="A249">
        <v>27</v>
      </c>
      <c r="B249" t="s">
        <v>749</v>
      </c>
      <c r="C249">
        <v>10</v>
      </c>
      <c r="D249" t="s">
        <v>828</v>
      </c>
      <c r="E249" t="s">
        <v>20</v>
      </c>
      <c r="F249" t="s">
        <v>20</v>
      </c>
      <c r="G249" t="s">
        <v>20</v>
      </c>
      <c r="H249" t="s">
        <v>18</v>
      </c>
      <c r="I249">
        <v>3</v>
      </c>
      <c r="J249">
        <v>2</v>
      </c>
      <c r="K249" t="s">
        <v>829</v>
      </c>
      <c r="L249" t="s">
        <v>79</v>
      </c>
      <c r="M249" t="s">
        <v>42</v>
      </c>
      <c r="N249" t="s">
        <v>24</v>
      </c>
      <c r="O249" t="s">
        <v>830</v>
      </c>
      <c r="P249" t="s">
        <v>831</v>
      </c>
      <c r="Q249">
        <f t="shared" si="54"/>
        <v>2</v>
      </c>
      <c r="R249">
        <f t="shared" si="55"/>
        <v>2</v>
      </c>
      <c r="S249">
        <f t="shared" si="56"/>
        <v>2</v>
      </c>
      <c r="T249">
        <f t="shared" si="57"/>
        <v>4</v>
      </c>
      <c r="U249">
        <v>1000</v>
      </c>
      <c r="V249">
        <f t="shared" si="58"/>
        <v>0</v>
      </c>
      <c r="W249">
        <f t="shared" si="59"/>
        <v>1</v>
      </c>
      <c r="X249">
        <f t="shared" si="60"/>
        <v>0</v>
      </c>
      <c r="Y249">
        <f t="shared" si="61"/>
        <v>0</v>
      </c>
      <c r="Z249">
        <f t="shared" si="62"/>
        <v>1</v>
      </c>
      <c r="AA249">
        <f t="shared" si="63"/>
        <v>0</v>
      </c>
      <c r="AB249">
        <f t="shared" si="64"/>
        <v>1</v>
      </c>
      <c r="AC249">
        <f t="shared" si="65"/>
        <v>0</v>
      </c>
      <c r="AD249">
        <f t="shared" si="66"/>
        <v>0</v>
      </c>
      <c r="AE249">
        <f t="shared" si="67"/>
        <v>0</v>
      </c>
      <c r="AF249">
        <f t="shared" si="68"/>
        <v>0</v>
      </c>
      <c r="AG249">
        <f t="shared" si="69"/>
        <v>0</v>
      </c>
      <c r="AH249">
        <f t="shared" si="70"/>
        <v>1</v>
      </c>
      <c r="AI249">
        <f t="shared" si="71"/>
        <v>0</v>
      </c>
    </row>
    <row r="250" spans="1:35" x14ac:dyDescent="0.2">
      <c r="A250">
        <v>28</v>
      </c>
      <c r="B250" t="s">
        <v>749</v>
      </c>
      <c r="C250">
        <v>5</v>
      </c>
      <c r="D250" t="s">
        <v>832</v>
      </c>
      <c r="E250" t="s">
        <v>18</v>
      </c>
      <c r="F250" t="s">
        <v>19</v>
      </c>
      <c r="G250" t="s">
        <v>18</v>
      </c>
      <c r="H250" t="s">
        <v>19</v>
      </c>
      <c r="I250">
        <v>5</v>
      </c>
      <c r="J250">
        <v>5</v>
      </c>
      <c r="K250" s="1">
        <v>60</v>
      </c>
      <c r="L250" t="s">
        <v>70</v>
      </c>
      <c r="M250" t="s">
        <v>99</v>
      </c>
      <c r="N250" t="s">
        <v>36</v>
      </c>
      <c r="O250" t="s">
        <v>833</v>
      </c>
      <c r="P250" t="s">
        <v>834</v>
      </c>
      <c r="Q250">
        <f t="shared" si="54"/>
        <v>4</v>
      </c>
      <c r="R250">
        <f t="shared" si="55"/>
        <v>3</v>
      </c>
      <c r="S250">
        <f t="shared" si="56"/>
        <v>4</v>
      </c>
      <c r="T250">
        <f t="shared" si="57"/>
        <v>3</v>
      </c>
      <c r="U250">
        <v>60</v>
      </c>
      <c r="V250">
        <f t="shared" si="58"/>
        <v>0</v>
      </c>
      <c r="W250">
        <f t="shared" si="59"/>
        <v>0</v>
      </c>
      <c r="X250">
        <f t="shared" si="60"/>
        <v>0</v>
      </c>
      <c r="Y250">
        <f t="shared" si="61"/>
        <v>1</v>
      </c>
      <c r="Z250">
        <f t="shared" si="62"/>
        <v>0</v>
      </c>
      <c r="AA250">
        <f t="shared" si="63"/>
        <v>1</v>
      </c>
      <c r="AB250">
        <f t="shared" si="64"/>
        <v>0</v>
      </c>
      <c r="AC250">
        <f t="shared" si="65"/>
        <v>0</v>
      </c>
      <c r="AD250">
        <f t="shared" si="66"/>
        <v>0</v>
      </c>
      <c r="AE250">
        <f t="shared" si="67"/>
        <v>1</v>
      </c>
      <c r="AF250">
        <f t="shared" si="68"/>
        <v>0</v>
      </c>
      <c r="AG250">
        <f t="shared" si="69"/>
        <v>0</v>
      </c>
      <c r="AH250">
        <f t="shared" si="70"/>
        <v>0</v>
      </c>
      <c r="AI250">
        <f t="shared" si="71"/>
        <v>1</v>
      </c>
    </row>
    <row r="251" spans="1:35" x14ac:dyDescent="0.2">
      <c r="A251">
        <v>29</v>
      </c>
      <c r="B251" t="s">
        <v>749</v>
      </c>
      <c r="C251">
        <v>10</v>
      </c>
      <c r="D251" t="s">
        <v>835</v>
      </c>
      <c r="E251" t="s">
        <v>18</v>
      </c>
      <c r="F251" t="s">
        <v>18</v>
      </c>
      <c r="G251" t="s">
        <v>18</v>
      </c>
      <c r="H251" t="s">
        <v>19</v>
      </c>
      <c r="I251">
        <v>5</v>
      </c>
      <c r="J251">
        <v>4</v>
      </c>
      <c r="K251" s="1">
        <v>5000</v>
      </c>
      <c r="L251" t="s">
        <v>53</v>
      </c>
      <c r="M251" t="s">
        <v>48</v>
      </c>
      <c r="N251" t="s">
        <v>36</v>
      </c>
      <c r="O251" t="s">
        <v>836</v>
      </c>
      <c r="P251" t="s">
        <v>837</v>
      </c>
      <c r="Q251">
        <f t="shared" si="54"/>
        <v>4</v>
      </c>
      <c r="R251">
        <f t="shared" si="55"/>
        <v>4</v>
      </c>
      <c r="S251">
        <f t="shared" si="56"/>
        <v>4</v>
      </c>
      <c r="T251">
        <f t="shared" si="57"/>
        <v>3</v>
      </c>
      <c r="U251">
        <v>5000</v>
      </c>
      <c r="V251">
        <f t="shared" si="58"/>
        <v>0</v>
      </c>
      <c r="W251">
        <f t="shared" si="59"/>
        <v>0</v>
      </c>
      <c r="X251">
        <f t="shared" si="60"/>
        <v>1</v>
      </c>
      <c r="Y251">
        <f t="shared" si="61"/>
        <v>0</v>
      </c>
      <c r="Z251">
        <f t="shared" si="62"/>
        <v>0</v>
      </c>
      <c r="AA251">
        <f t="shared" si="63"/>
        <v>1</v>
      </c>
      <c r="AB251">
        <f t="shared" si="64"/>
        <v>1</v>
      </c>
      <c r="AC251">
        <f t="shared" si="65"/>
        <v>1</v>
      </c>
      <c r="AD251">
        <f t="shared" si="66"/>
        <v>0</v>
      </c>
      <c r="AE251">
        <f t="shared" si="67"/>
        <v>0</v>
      </c>
      <c r="AF251">
        <f t="shared" si="68"/>
        <v>0</v>
      </c>
      <c r="AG251">
        <f t="shared" si="69"/>
        <v>0</v>
      </c>
      <c r="AH251">
        <f t="shared" si="70"/>
        <v>0</v>
      </c>
      <c r="AI251">
        <f t="shared" si="71"/>
        <v>1</v>
      </c>
    </row>
    <row r="252" spans="1:35" x14ac:dyDescent="0.2">
      <c r="A252">
        <v>30</v>
      </c>
      <c r="B252" t="s">
        <v>749</v>
      </c>
      <c r="C252">
        <v>5</v>
      </c>
      <c r="D252" t="s">
        <v>838</v>
      </c>
      <c r="E252" t="s">
        <v>21</v>
      </c>
      <c r="F252" t="s">
        <v>39</v>
      </c>
      <c r="G252" t="s">
        <v>39</v>
      </c>
      <c r="H252" t="s">
        <v>21</v>
      </c>
      <c r="I252">
        <v>2</v>
      </c>
      <c r="J252">
        <v>4</v>
      </c>
      <c r="K252">
        <v>1200</v>
      </c>
      <c r="L252" t="s">
        <v>776</v>
      </c>
      <c r="M252" t="s">
        <v>161</v>
      </c>
      <c r="N252" t="s">
        <v>43</v>
      </c>
      <c r="O252" t="s">
        <v>839</v>
      </c>
      <c r="P252" t="s">
        <v>840</v>
      </c>
      <c r="Q252">
        <f t="shared" si="54"/>
        <v>1</v>
      </c>
      <c r="R252">
        <f t="shared" si="55"/>
        <v>5</v>
      </c>
      <c r="S252">
        <f t="shared" si="56"/>
        <v>5</v>
      </c>
      <c r="T252">
        <f t="shared" si="57"/>
        <v>1</v>
      </c>
      <c r="U252">
        <v>1200</v>
      </c>
      <c r="V252">
        <f t="shared" si="58"/>
        <v>0</v>
      </c>
      <c r="W252">
        <f t="shared" si="59"/>
        <v>1</v>
      </c>
      <c r="X252">
        <f t="shared" si="60"/>
        <v>0</v>
      </c>
      <c r="Y252">
        <f t="shared" si="61"/>
        <v>1</v>
      </c>
      <c r="Z252">
        <f t="shared" si="62"/>
        <v>0</v>
      </c>
      <c r="AA252">
        <f t="shared" si="63"/>
        <v>1</v>
      </c>
      <c r="AB252">
        <f t="shared" si="64"/>
        <v>1</v>
      </c>
      <c r="AC252">
        <f t="shared" si="65"/>
        <v>1</v>
      </c>
      <c r="AD252">
        <f t="shared" si="66"/>
        <v>1</v>
      </c>
      <c r="AE252">
        <f t="shared" si="67"/>
        <v>0</v>
      </c>
      <c r="AF252">
        <f t="shared" si="68"/>
        <v>1</v>
      </c>
      <c r="AG252">
        <f t="shared" si="69"/>
        <v>1</v>
      </c>
      <c r="AH252">
        <f t="shared" si="70"/>
        <v>0</v>
      </c>
      <c r="AI252">
        <f t="shared" si="71"/>
        <v>0</v>
      </c>
    </row>
    <row r="253" spans="1:35" x14ac:dyDescent="0.2">
      <c r="A253">
        <v>31</v>
      </c>
      <c r="B253" t="s">
        <v>749</v>
      </c>
      <c r="C253">
        <v>7</v>
      </c>
      <c r="D253" t="s">
        <v>841</v>
      </c>
      <c r="E253" t="s">
        <v>18</v>
      </c>
      <c r="F253" t="s">
        <v>18</v>
      </c>
      <c r="G253" t="s">
        <v>18</v>
      </c>
      <c r="H253" t="s">
        <v>21</v>
      </c>
      <c r="I253">
        <v>3</v>
      </c>
      <c r="J253">
        <v>3</v>
      </c>
      <c r="K253">
        <v>15</v>
      </c>
      <c r="L253" t="s">
        <v>714</v>
      </c>
      <c r="M253" t="s">
        <v>48</v>
      </c>
      <c r="N253" t="s">
        <v>36</v>
      </c>
      <c r="O253" t="s">
        <v>322</v>
      </c>
      <c r="P253" t="s">
        <v>842</v>
      </c>
      <c r="Q253">
        <f t="shared" si="54"/>
        <v>4</v>
      </c>
      <c r="R253">
        <f t="shared" si="55"/>
        <v>4</v>
      </c>
      <c r="S253">
        <f t="shared" si="56"/>
        <v>4</v>
      </c>
      <c r="T253">
        <f t="shared" si="57"/>
        <v>1</v>
      </c>
      <c r="U253">
        <v>15</v>
      </c>
      <c r="V253">
        <f t="shared" si="58"/>
        <v>0</v>
      </c>
      <c r="W253">
        <f t="shared" si="59"/>
        <v>0</v>
      </c>
      <c r="X253">
        <f t="shared" si="60"/>
        <v>1</v>
      </c>
      <c r="Y253">
        <f t="shared" si="61"/>
        <v>1</v>
      </c>
      <c r="Z253">
        <f t="shared" si="62"/>
        <v>1</v>
      </c>
      <c r="AA253">
        <f t="shared" si="63"/>
        <v>1</v>
      </c>
      <c r="AB253">
        <f t="shared" si="64"/>
        <v>1</v>
      </c>
      <c r="AC253">
        <f t="shared" si="65"/>
        <v>1</v>
      </c>
      <c r="AD253">
        <f t="shared" si="66"/>
        <v>0</v>
      </c>
      <c r="AE253">
        <f t="shared" si="67"/>
        <v>0</v>
      </c>
      <c r="AF253">
        <f t="shared" si="68"/>
        <v>0</v>
      </c>
      <c r="AG253">
        <f t="shared" si="69"/>
        <v>0</v>
      </c>
      <c r="AH253">
        <f t="shared" si="70"/>
        <v>0</v>
      </c>
      <c r="AI253">
        <f t="shared" si="71"/>
        <v>1</v>
      </c>
    </row>
    <row r="254" spans="1:35" x14ac:dyDescent="0.2">
      <c r="A254">
        <v>32</v>
      </c>
      <c r="B254" t="s">
        <v>749</v>
      </c>
      <c r="C254">
        <v>3</v>
      </c>
      <c r="D254" t="s">
        <v>843</v>
      </c>
      <c r="E254" t="s">
        <v>20</v>
      </c>
      <c r="F254" t="s">
        <v>18</v>
      </c>
      <c r="G254" t="s">
        <v>39</v>
      </c>
      <c r="H254" t="s">
        <v>21</v>
      </c>
      <c r="I254">
        <v>3</v>
      </c>
      <c r="J254">
        <v>3</v>
      </c>
      <c r="K254" s="1">
        <v>500</v>
      </c>
      <c r="L254" t="s">
        <v>70</v>
      </c>
      <c r="M254" t="s">
        <v>42</v>
      </c>
      <c r="N254" t="s">
        <v>43</v>
      </c>
      <c r="O254" t="s">
        <v>844</v>
      </c>
      <c r="P254" t="s">
        <v>845</v>
      </c>
      <c r="Q254">
        <f t="shared" si="54"/>
        <v>2</v>
      </c>
      <c r="R254">
        <f t="shared" si="55"/>
        <v>4</v>
      </c>
      <c r="S254">
        <f t="shared" si="56"/>
        <v>5</v>
      </c>
      <c r="T254">
        <f t="shared" si="57"/>
        <v>1</v>
      </c>
      <c r="U254">
        <v>500</v>
      </c>
      <c r="V254">
        <f t="shared" si="58"/>
        <v>0</v>
      </c>
      <c r="W254">
        <f t="shared" si="59"/>
        <v>0</v>
      </c>
      <c r="X254">
        <f t="shared" si="60"/>
        <v>0</v>
      </c>
      <c r="Y254">
        <f t="shared" si="61"/>
        <v>1</v>
      </c>
      <c r="Z254">
        <f t="shared" si="62"/>
        <v>0</v>
      </c>
      <c r="AA254">
        <f t="shared" si="63"/>
        <v>0</v>
      </c>
      <c r="AB254">
        <f t="shared" si="64"/>
        <v>1</v>
      </c>
      <c r="AC254">
        <f t="shared" si="65"/>
        <v>0</v>
      </c>
      <c r="AD254">
        <f t="shared" si="66"/>
        <v>0</v>
      </c>
      <c r="AE254">
        <f t="shared" si="67"/>
        <v>0</v>
      </c>
      <c r="AF254">
        <f t="shared" si="68"/>
        <v>1</v>
      </c>
      <c r="AG254">
        <f t="shared" si="69"/>
        <v>1</v>
      </c>
      <c r="AH254">
        <f t="shared" si="70"/>
        <v>0</v>
      </c>
      <c r="AI254">
        <f t="shared" si="71"/>
        <v>0</v>
      </c>
    </row>
    <row r="255" spans="1:35" x14ac:dyDescent="0.2">
      <c r="A255">
        <v>33</v>
      </c>
      <c r="B255" t="s">
        <v>749</v>
      </c>
      <c r="C255">
        <v>8</v>
      </c>
      <c r="D255" t="s">
        <v>846</v>
      </c>
      <c r="E255" t="s">
        <v>21</v>
      </c>
      <c r="F255" t="s">
        <v>39</v>
      </c>
      <c r="G255" t="s">
        <v>18</v>
      </c>
      <c r="H255" t="s">
        <v>21</v>
      </c>
      <c r="I255">
        <v>3</v>
      </c>
      <c r="J255">
        <v>3</v>
      </c>
      <c r="K255">
        <v>100</v>
      </c>
      <c r="L255" t="s">
        <v>601</v>
      </c>
      <c r="M255" t="s">
        <v>468</v>
      </c>
      <c r="N255" t="s">
        <v>847</v>
      </c>
      <c r="O255" t="s">
        <v>378</v>
      </c>
      <c r="P255" t="s">
        <v>848</v>
      </c>
      <c r="Q255">
        <f t="shared" si="54"/>
        <v>1</v>
      </c>
      <c r="R255">
        <f t="shared" si="55"/>
        <v>5</v>
      </c>
      <c r="S255">
        <f t="shared" si="56"/>
        <v>4</v>
      </c>
      <c r="T255">
        <f t="shared" si="57"/>
        <v>1</v>
      </c>
      <c r="U255">
        <v>100</v>
      </c>
      <c r="V255">
        <f t="shared" si="58"/>
        <v>0</v>
      </c>
      <c r="W255">
        <f t="shared" si="59"/>
        <v>1</v>
      </c>
      <c r="X255">
        <f t="shared" si="60"/>
        <v>0</v>
      </c>
      <c r="Y255">
        <f t="shared" si="61"/>
        <v>1</v>
      </c>
      <c r="Z255">
        <f t="shared" si="62"/>
        <v>1</v>
      </c>
      <c r="AA255">
        <f t="shared" si="63"/>
        <v>1</v>
      </c>
      <c r="AB255">
        <f t="shared" si="64"/>
        <v>1</v>
      </c>
      <c r="AC255">
        <f t="shared" si="65"/>
        <v>1</v>
      </c>
      <c r="AD255">
        <f t="shared" si="66"/>
        <v>1</v>
      </c>
      <c r="AE255">
        <f t="shared" si="67"/>
        <v>1</v>
      </c>
      <c r="AF255">
        <f t="shared" si="68"/>
        <v>1</v>
      </c>
      <c r="AG255">
        <f t="shared" si="69"/>
        <v>0</v>
      </c>
      <c r="AH255">
        <f t="shared" si="70"/>
        <v>0</v>
      </c>
      <c r="AI255">
        <f t="shared" si="71"/>
        <v>1</v>
      </c>
    </row>
    <row r="256" spans="1:35" x14ac:dyDescent="0.2">
      <c r="A256">
        <v>34</v>
      </c>
      <c r="B256" t="s">
        <v>749</v>
      </c>
      <c r="C256">
        <v>8</v>
      </c>
      <c r="D256" t="s">
        <v>849</v>
      </c>
      <c r="E256" t="s">
        <v>19</v>
      </c>
      <c r="F256" t="s">
        <v>19</v>
      </c>
      <c r="G256" t="s">
        <v>18</v>
      </c>
      <c r="H256" t="s">
        <v>20</v>
      </c>
      <c r="I256">
        <v>4</v>
      </c>
      <c r="J256">
        <v>2</v>
      </c>
      <c r="K256">
        <v>3000</v>
      </c>
      <c r="L256" t="s">
        <v>70</v>
      </c>
      <c r="M256" t="s">
        <v>23</v>
      </c>
      <c r="N256" t="s">
        <v>24</v>
      </c>
      <c r="O256" t="s">
        <v>850</v>
      </c>
      <c r="P256" t="s">
        <v>851</v>
      </c>
      <c r="Q256">
        <f t="shared" si="54"/>
        <v>3</v>
      </c>
      <c r="R256">
        <f t="shared" si="55"/>
        <v>3</v>
      </c>
      <c r="S256">
        <f t="shared" si="56"/>
        <v>4</v>
      </c>
      <c r="T256">
        <f t="shared" si="57"/>
        <v>2</v>
      </c>
      <c r="U256">
        <v>3000</v>
      </c>
      <c r="V256">
        <f t="shared" si="58"/>
        <v>0</v>
      </c>
      <c r="W256">
        <f t="shared" si="59"/>
        <v>0</v>
      </c>
      <c r="X256">
        <f t="shared" si="60"/>
        <v>0</v>
      </c>
      <c r="Y256">
        <f t="shared" si="61"/>
        <v>1</v>
      </c>
      <c r="Z256">
        <f t="shared" si="62"/>
        <v>0</v>
      </c>
      <c r="AA256">
        <f t="shared" si="63"/>
        <v>1</v>
      </c>
      <c r="AB256">
        <f t="shared" si="64"/>
        <v>0</v>
      </c>
      <c r="AC256">
        <f t="shared" si="65"/>
        <v>0</v>
      </c>
      <c r="AD256">
        <f t="shared" si="66"/>
        <v>0</v>
      </c>
      <c r="AE256">
        <f t="shared" si="67"/>
        <v>0</v>
      </c>
      <c r="AF256">
        <f t="shared" si="68"/>
        <v>0</v>
      </c>
      <c r="AG256">
        <f t="shared" si="69"/>
        <v>0</v>
      </c>
      <c r="AH256">
        <f t="shared" si="70"/>
        <v>1</v>
      </c>
      <c r="AI256">
        <f t="shared" si="71"/>
        <v>0</v>
      </c>
    </row>
    <row r="257" spans="1:35" x14ac:dyDescent="0.2">
      <c r="A257">
        <v>35</v>
      </c>
      <c r="B257" t="s">
        <v>749</v>
      </c>
      <c r="C257">
        <v>4</v>
      </c>
      <c r="D257" t="s">
        <v>852</v>
      </c>
      <c r="E257" t="s">
        <v>20</v>
      </c>
      <c r="F257" t="s">
        <v>20</v>
      </c>
      <c r="G257" t="s">
        <v>18</v>
      </c>
      <c r="H257" t="s">
        <v>19</v>
      </c>
      <c r="I257">
        <v>3</v>
      </c>
      <c r="J257">
        <v>3</v>
      </c>
      <c r="K257">
        <v>10</v>
      </c>
      <c r="L257" t="s">
        <v>70</v>
      </c>
      <c r="M257" t="s">
        <v>154</v>
      </c>
      <c r="N257" t="s">
        <v>36</v>
      </c>
      <c r="O257" t="s">
        <v>853</v>
      </c>
      <c r="P257" t="s">
        <v>854</v>
      </c>
      <c r="Q257">
        <f t="shared" si="54"/>
        <v>2</v>
      </c>
      <c r="R257">
        <f t="shared" si="55"/>
        <v>2</v>
      </c>
      <c r="S257">
        <f t="shared" si="56"/>
        <v>4</v>
      </c>
      <c r="T257">
        <f t="shared" si="57"/>
        <v>3</v>
      </c>
      <c r="U257">
        <v>10</v>
      </c>
      <c r="V257">
        <f t="shared" si="58"/>
        <v>0</v>
      </c>
      <c r="W257">
        <f t="shared" si="59"/>
        <v>0</v>
      </c>
      <c r="X257">
        <f t="shared" si="60"/>
        <v>0</v>
      </c>
      <c r="Y257">
        <f t="shared" si="61"/>
        <v>1</v>
      </c>
      <c r="Z257">
        <f t="shared" si="62"/>
        <v>0</v>
      </c>
      <c r="AA257">
        <f t="shared" si="63"/>
        <v>1</v>
      </c>
      <c r="AB257">
        <f t="shared" si="64"/>
        <v>0</v>
      </c>
      <c r="AC257">
        <f t="shared" si="65"/>
        <v>1</v>
      </c>
      <c r="AD257">
        <f t="shared" si="66"/>
        <v>0</v>
      </c>
      <c r="AE257">
        <f t="shared" si="67"/>
        <v>0</v>
      </c>
      <c r="AF257">
        <f t="shared" si="68"/>
        <v>0</v>
      </c>
      <c r="AG257">
        <f t="shared" si="69"/>
        <v>0</v>
      </c>
      <c r="AH257">
        <f t="shared" si="70"/>
        <v>0</v>
      </c>
      <c r="AI257">
        <f t="shared" si="71"/>
        <v>1</v>
      </c>
    </row>
    <row r="258" spans="1:35" x14ac:dyDescent="0.2">
      <c r="A258">
        <v>36</v>
      </c>
      <c r="B258" t="s">
        <v>749</v>
      </c>
      <c r="C258">
        <v>5</v>
      </c>
      <c r="D258" t="s">
        <v>855</v>
      </c>
      <c r="E258" t="s">
        <v>19</v>
      </c>
      <c r="F258" t="s">
        <v>19</v>
      </c>
      <c r="G258" t="s">
        <v>18</v>
      </c>
      <c r="H258" t="s">
        <v>18</v>
      </c>
      <c r="I258">
        <v>3</v>
      </c>
      <c r="J258">
        <v>2</v>
      </c>
      <c r="K258">
        <v>8888888</v>
      </c>
      <c r="L258" t="s">
        <v>70</v>
      </c>
      <c r="M258" t="s">
        <v>42</v>
      </c>
      <c r="N258" t="s">
        <v>84</v>
      </c>
      <c r="O258" t="s">
        <v>856</v>
      </c>
      <c r="P258" t="s">
        <v>857</v>
      </c>
      <c r="Q258">
        <f t="shared" si="54"/>
        <v>3</v>
      </c>
      <c r="R258">
        <f t="shared" si="55"/>
        <v>3</v>
      </c>
      <c r="S258">
        <f t="shared" si="56"/>
        <v>4</v>
      </c>
      <c r="T258">
        <f t="shared" si="57"/>
        <v>4</v>
      </c>
      <c r="U258">
        <v>8888888</v>
      </c>
      <c r="V258">
        <f t="shared" si="58"/>
        <v>0</v>
      </c>
      <c r="W258">
        <f t="shared" si="59"/>
        <v>0</v>
      </c>
      <c r="X258">
        <f t="shared" si="60"/>
        <v>0</v>
      </c>
      <c r="Y258">
        <f t="shared" si="61"/>
        <v>1</v>
      </c>
      <c r="Z258">
        <f t="shared" si="62"/>
        <v>0</v>
      </c>
      <c r="AA258">
        <f t="shared" si="63"/>
        <v>0</v>
      </c>
      <c r="AB258">
        <f t="shared" si="64"/>
        <v>1</v>
      </c>
      <c r="AC258">
        <f t="shared" si="65"/>
        <v>0</v>
      </c>
      <c r="AD258">
        <f t="shared" si="66"/>
        <v>0</v>
      </c>
      <c r="AE258">
        <f t="shared" si="67"/>
        <v>0</v>
      </c>
      <c r="AF258">
        <f t="shared" si="68"/>
        <v>0</v>
      </c>
      <c r="AG258">
        <f t="shared" si="69"/>
        <v>1</v>
      </c>
      <c r="AH258">
        <f t="shared" si="70"/>
        <v>0</v>
      </c>
      <c r="AI258">
        <f t="shared" si="71"/>
        <v>0</v>
      </c>
    </row>
    <row r="259" spans="1:35" x14ac:dyDescent="0.2">
      <c r="A259">
        <v>37</v>
      </c>
      <c r="B259" t="s">
        <v>749</v>
      </c>
      <c r="C259">
        <v>3</v>
      </c>
      <c r="D259" t="s">
        <v>858</v>
      </c>
      <c r="E259" t="s">
        <v>39</v>
      </c>
      <c r="F259" t="s">
        <v>20</v>
      </c>
      <c r="G259" t="s">
        <v>21</v>
      </c>
      <c r="H259" t="s">
        <v>39</v>
      </c>
      <c r="I259">
        <v>3</v>
      </c>
      <c r="J259">
        <v>3</v>
      </c>
      <c r="K259">
        <v>10</v>
      </c>
      <c r="L259" t="s">
        <v>41</v>
      </c>
      <c r="M259" t="s">
        <v>115</v>
      </c>
      <c r="N259" t="s">
        <v>36</v>
      </c>
      <c r="O259" t="s">
        <v>859</v>
      </c>
      <c r="P259" t="s">
        <v>860</v>
      </c>
      <c r="Q259">
        <f t="shared" ref="Q259:Q322" si="72">IF(E259="", "", LEFT(E259, 1) * 1)</f>
        <v>5</v>
      </c>
      <c r="R259">
        <f t="shared" ref="R259:R322" si="73">IF(F259="","",VALUE(LEFT(F259,FIND(" ",F259)-1)))</f>
        <v>2</v>
      </c>
      <c r="S259">
        <f t="shared" ref="S259:S322" si="74">IF(G259="","",VALUE(LEFT(G259,FIND(" ",G259)-1)))</f>
        <v>1</v>
      </c>
      <c r="T259">
        <f t="shared" ref="T259:T322" si="75">IF(H259="","",VALUE(LEFT(H259,FIND(" ",H259)-1)))</f>
        <v>5</v>
      </c>
      <c r="U259">
        <v>10</v>
      </c>
      <c r="V259">
        <f t="shared" ref="V259:V322" si="76">IF(L259="",0,IF(ISNUMBER(SEARCH("Bathroom",L259)),1,0))</f>
        <v>0</v>
      </c>
      <c r="W259">
        <f t="shared" ref="W259:W322" si="77">IF(L259="",0,IF(ISNUMBER(SEARCH("Dining room",L259)),1,0))</f>
        <v>0</v>
      </c>
      <c r="X259">
        <f t="shared" ref="X259:X322" si="78">IF(L259="",0,IF(ISNUMBER(SEARCH("Office",L259)),1,0))</f>
        <v>0</v>
      </c>
      <c r="Y259">
        <f t="shared" ref="Y259:Y322" si="79">IF(L259="",0,IF(ISNUMBER(SEARCH("Bedroom",L259)),1,0))</f>
        <v>0</v>
      </c>
      <c r="Z259">
        <f t="shared" ref="Z259:Z322" si="80">IF(L259="",0,IF(ISNUMBER(SEARCH("Living room",L259)),1,0))</f>
        <v>1</v>
      </c>
      <c r="AA259">
        <f t="shared" ref="AA259:AA322" si="81">IF(M259="",0, IF(ISNUMBER(SEARCH("By yourself",M259)), 1, 0))</f>
        <v>0</v>
      </c>
      <c r="AB259">
        <f t="shared" ref="AB259:AB322" si="82">IF(M259="", 0, IF(ISNUMBER(SEARCH("Friends", M259)), 1, 0))</f>
        <v>0</v>
      </c>
      <c r="AC259">
        <f t="shared" ref="AC259:AC322" si="83">IF(M259="",0,IF(ISNUMBER(SEARCH("Family members", M259)), 1, 0))</f>
        <v>1</v>
      </c>
      <c r="AD259">
        <f t="shared" ref="AD259:AD322" si="84">IF(M259="", 0, IF(ISNUMBER(SEARCH("Coworkers/Classmates", M259)), 1, 0))</f>
        <v>0</v>
      </c>
      <c r="AE259">
        <f t="shared" ref="AE259:AE322" si="85">IF(M259="", 0, IF(ISNUMBER(SEARCH("Strangers", M259)), 1, 0))</f>
        <v>0</v>
      </c>
      <c r="AF259">
        <f t="shared" ref="AF259:AF322" si="86">IF(N259="", 0, IF(ISNUMBER(SEARCH("Spring", N259)), 1, 0))</f>
        <v>0</v>
      </c>
      <c r="AG259">
        <f t="shared" ref="AG259:AG322" si="87">IF(N259="", 0, IF(ISNUMBER(SEARCH("Summer", N259)), 1, 0))</f>
        <v>0</v>
      </c>
      <c r="AH259">
        <f t="shared" ref="AH259:AH322" si="88">IF(N259="", 0, IF(ISNUMBER(SEARCH("Fall", N259)), 1, 0))</f>
        <v>0</v>
      </c>
      <c r="AI259">
        <f t="shared" ref="AI259:AI322" si="89">IF(N259="", 0, IF(ISNUMBER(SEARCH("Winter", N259)), 1, 0))</f>
        <v>1</v>
      </c>
    </row>
    <row r="260" spans="1:35" x14ac:dyDescent="0.2">
      <c r="A260">
        <v>38</v>
      </c>
      <c r="B260" t="s">
        <v>749</v>
      </c>
      <c r="C260">
        <v>10</v>
      </c>
      <c r="D260" t="s">
        <v>861</v>
      </c>
      <c r="E260" t="s">
        <v>18</v>
      </c>
      <c r="F260" t="s">
        <v>18</v>
      </c>
      <c r="G260" t="s">
        <v>18</v>
      </c>
      <c r="H260" t="s">
        <v>20</v>
      </c>
      <c r="I260">
        <v>5</v>
      </c>
      <c r="J260">
        <v>5</v>
      </c>
      <c r="K260" s="1">
        <v>20000000</v>
      </c>
      <c r="L260" t="s">
        <v>70</v>
      </c>
      <c r="M260" t="s">
        <v>161</v>
      </c>
      <c r="N260" t="s">
        <v>622</v>
      </c>
      <c r="O260" t="s">
        <v>546</v>
      </c>
      <c r="P260" t="s">
        <v>862</v>
      </c>
      <c r="Q260">
        <f t="shared" si="72"/>
        <v>4</v>
      </c>
      <c r="R260">
        <f t="shared" si="73"/>
        <v>4</v>
      </c>
      <c r="S260">
        <f t="shared" si="74"/>
        <v>4</v>
      </c>
      <c r="T260">
        <f t="shared" si="75"/>
        <v>2</v>
      </c>
      <c r="U260">
        <v>20000000</v>
      </c>
      <c r="V260">
        <f t="shared" si="76"/>
        <v>0</v>
      </c>
      <c r="W260">
        <f t="shared" si="77"/>
        <v>0</v>
      </c>
      <c r="X260">
        <f t="shared" si="78"/>
        <v>0</v>
      </c>
      <c r="Y260">
        <f t="shared" si="79"/>
        <v>1</v>
      </c>
      <c r="Z260">
        <f t="shared" si="80"/>
        <v>0</v>
      </c>
      <c r="AA260">
        <f t="shared" si="81"/>
        <v>1</v>
      </c>
      <c r="AB260">
        <f t="shared" si="82"/>
        <v>1</v>
      </c>
      <c r="AC260">
        <f t="shared" si="83"/>
        <v>1</v>
      </c>
      <c r="AD260">
        <f t="shared" si="84"/>
        <v>1</v>
      </c>
      <c r="AE260">
        <f t="shared" si="85"/>
        <v>0</v>
      </c>
      <c r="AF260">
        <f t="shared" si="86"/>
        <v>0</v>
      </c>
      <c r="AG260">
        <f t="shared" si="87"/>
        <v>1</v>
      </c>
      <c r="AH260">
        <f t="shared" si="88"/>
        <v>0</v>
      </c>
      <c r="AI260">
        <f t="shared" si="89"/>
        <v>1</v>
      </c>
    </row>
    <row r="261" spans="1:35" x14ac:dyDescent="0.2">
      <c r="A261">
        <v>39</v>
      </c>
      <c r="B261" t="s">
        <v>749</v>
      </c>
      <c r="C261">
        <v>10</v>
      </c>
      <c r="D261" t="s">
        <v>863</v>
      </c>
      <c r="E261" t="s">
        <v>20</v>
      </c>
      <c r="F261" t="s">
        <v>39</v>
      </c>
      <c r="G261" t="s">
        <v>39</v>
      </c>
      <c r="H261" t="s">
        <v>21</v>
      </c>
      <c r="I261">
        <v>2</v>
      </c>
      <c r="J261">
        <v>3</v>
      </c>
      <c r="K261" s="4">
        <v>100000000</v>
      </c>
      <c r="L261" t="s">
        <v>194</v>
      </c>
      <c r="M261" t="s">
        <v>48</v>
      </c>
      <c r="N261" t="s">
        <v>84</v>
      </c>
      <c r="O261" t="s">
        <v>864</v>
      </c>
      <c r="P261" t="s">
        <v>865</v>
      </c>
      <c r="Q261">
        <f t="shared" si="72"/>
        <v>2</v>
      </c>
      <c r="R261">
        <f t="shared" si="73"/>
        <v>5</v>
      </c>
      <c r="S261">
        <f t="shared" si="74"/>
        <v>5</v>
      </c>
      <c r="T261">
        <f t="shared" si="75"/>
        <v>1</v>
      </c>
      <c r="U261">
        <v>100000000</v>
      </c>
      <c r="V261">
        <f t="shared" si="76"/>
        <v>0</v>
      </c>
      <c r="W261">
        <f t="shared" si="77"/>
        <v>0</v>
      </c>
      <c r="X261">
        <f t="shared" si="78"/>
        <v>0</v>
      </c>
      <c r="Y261">
        <f t="shared" si="79"/>
        <v>1</v>
      </c>
      <c r="Z261">
        <f t="shared" si="80"/>
        <v>1</v>
      </c>
      <c r="AA261">
        <f t="shared" si="81"/>
        <v>1</v>
      </c>
      <c r="AB261">
        <f t="shared" si="82"/>
        <v>1</v>
      </c>
      <c r="AC261">
        <f t="shared" si="83"/>
        <v>1</v>
      </c>
      <c r="AD261">
        <f t="shared" si="84"/>
        <v>0</v>
      </c>
      <c r="AE261">
        <f t="shared" si="85"/>
        <v>0</v>
      </c>
      <c r="AF261">
        <f t="shared" si="86"/>
        <v>0</v>
      </c>
      <c r="AG261">
        <f t="shared" si="87"/>
        <v>1</v>
      </c>
      <c r="AH261">
        <f t="shared" si="88"/>
        <v>0</v>
      </c>
      <c r="AI261">
        <f t="shared" si="89"/>
        <v>0</v>
      </c>
    </row>
    <row r="262" spans="1:35" x14ac:dyDescent="0.2">
      <c r="A262">
        <v>40</v>
      </c>
      <c r="B262" t="s">
        <v>749</v>
      </c>
      <c r="C262">
        <v>8</v>
      </c>
      <c r="D262" t="s">
        <v>866</v>
      </c>
      <c r="E262" t="s">
        <v>19</v>
      </c>
      <c r="F262" t="s">
        <v>18</v>
      </c>
      <c r="G262" t="s">
        <v>18</v>
      </c>
      <c r="H262" t="s">
        <v>20</v>
      </c>
      <c r="I262">
        <v>3</v>
      </c>
      <c r="J262">
        <v>4</v>
      </c>
      <c r="K262">
        <v>10000000</v>
      </c>
      <c r="L262" t="s">
        <v>79</v>
      </c>
      <c r="M262" t="s">
        <v>115</v>
      </c>
      <c r="N262" t="s">
        <v>36</v>
      </c>
      <c r="O262" t="s">
        <v>310</v>
      </c>
      <c r="P262" t="s">
        <v>867</v>
      </c>
      <c r="Q262">
        <f t="shared" si="72"/>
        <v>3</v>
      </c>
      <c r="R262">
        <f t="shared" si="73"/>
        <v>4</v>
      </c>
      <c r="S262">
        <f t="shared" si="74"/>
        <v>4</v>
      </c>
      <c r="T262">
        <f t="shared" si="75"/>
        <v>2</v>
      </c>
      <c r="U262">
        <v>10000000</v>
      </c>
      <c r="V262">
        <f t="shared" si="76"/>
        <v>0</v>
      </c>
      <c r="W262">
        <f t="shared" si="77"/>
        <v>1</v>
      </c>
      <c r="X262">
        <f t="shared" si="78"/>
        <v>0</v>
      </c>
      <c r="Y262">
        <f t="shared" si="79"/>
        <v>0</v>
      </c>
      <c r="Z262">
        <f t="shared" si="80"/>
        <v>1</v>
      </c>
      <c r="AA262">
        <f t="shared" si="81"/>
        <v>0</v>
      </c>
      <c r="AB262">
        <f t="shared" si="82"/>
        <v>0</v>
      </c>
      <c r="AC262">
        <f t="shared" si="83"/>
        <v>1</v>
      </c>
      <c r="AD262">
        <f t="shared" si="84"/>
        <v>0</v>
      </c>
      <c r="AE262">
        <f t="shared" si="85"/>
        <v>0</v>
      </c>
      <c r="AF262">
        <f t="shared" si="86"/>
        <v>0</v>
      </c>
      <c r="AG262">
        <f t="shared" si="87"/>
        <v>0</v>
      </c>
      <c r="AH262">
        <f t="shared" si="88"/>
        <v>0</v>
      </c>
      <c r="AI262">
        <f t="shared" si="89"/>
        <v>1</v>
      </c>
    </row>
    <row r="263" spans="1:35" x14ac:dyDescent="0.2">
      <c r="A263">
        <v>41</v>
      </c>
      <c r="B263" t="s">
        <v>749</v>
      </c>
      <c r="C263">
        <v>10</v>
      </c>
      <c r="D263" t="s">
        <v>868</v>
      </c>
      <c r="E263" t="s">
        <v>39</v>
      </c>
      <c r="F263" t="s">
        <v>18</v>
      </c>
      <c r="G263" t="s">
        <v>39</v>
      </c>
      <c r="H263" t="s">
        <v>21</v>
      </c>
      <c r="I263">
        <v>3</v>
      </c>
      <c r="J263">
        <v>2</v>
      </c>
      <c r="K263">
        <v>150000</v>
      </c>
      <c r="L263" t="s">
        <v>562</v>
      </c>
      <c r="M263" t="s">
        <v>80</v>
      </c>
      <c r="N263" t="s">
        <v>847</v>
      </c>
      <c r="O263" t="s">
        <v>67</v>
      </c>
      <c r="P263" t="s">
        <v>869</v>
      </c>
      <c r="Q263">
        <f t="shared" si="72"/>
        <v>5</v>
      </c>
      <c r="R263">
        <f t="shared" si="73"/>
        <v>4</v>
      </c>
      <c r="S263">
        <f t="shared" si="74"/>
        <v>5</v>
      </c>
      <c r="T263">
        <f t="shared" si="75"/>
        <v>1</v>
      </c>
      <c r="U263">
        <v>150000</v>
      </c>
      <c r="V263">
        <f t="shared" si="76"/>
        <v>0</v>
      </c>
      <c r="W263">
        <f t="shared" si="77"/>
        <v>1</v>
      </c>
      <c r="X263">
        <f t="shared" si="78"/>
        <v>1</v>
      </c>
      <c r="Y263">
        <f t="shared" si="79"/>
        <v>0</v>
      </c>
      <c r="Z263">
        <f t="shared" si="80"/>
        <v>1</v>
      </c>
      <c r="AA263">
        <f t="shared" si="81"/>
        <v>1</v>
      </c>
      <c r="AB263">
        <f t="shared" si="82"/>
        <v>1</v>
      </c>
      <c r="AC263">
        <f t="shared" si="83"/>
        <v>0</v>
      </c>
      <c r="AD263">
        <f t="shared" si="84"/>
        <v>0</v>
      </c>
      <c r="AE263">
        <f t="shared" si="85"/>
        <v>1</v>
      </c>
      <c r="AF263">
        <f t="shared" si="86"/>
        <v>1</v>
      </c>
      <c r="AG263">
        <f t="shared" si="87"/>
        <v>0</v>
      </c>
      <c r="AH263">
        <f t="shared" si="88"/>
        <v>0</v>
      </c>
      <c r="AI263">
        <f t="shared" si="89"/>
        <v>1</v>
      </c>
    </row>
    <row r="264" spans="1:35" x14ac:dyDescent="0.2">
      <c r="A264">
        <v>42</v>
      </c>
      <c r="B264" t="s">
        <v>749</v>
      </c>
      <c r="C264">
        <v>5</v>
      </c>
      <c r="D264" t="s">
        <v>870</v>
      </c>
      <c r="E264" t="s">
        <v>20</v>
      </c>
      <c r="F264" t="s">
        <v>18</v>
      </c>
      <c r="G264" t="s">
        <v>18</v>
      </c>
      <c r="H264" t="s">
        <v>20</v>
      </c>
      <c r="I264">
        <v>3</v>
      </c>
      <c r="J264">
        <v>3</v>
      </c>
      <c r="K264">
        <v>500000</v>
      </c>
      <c r="L264" t="s">
        <v>194</v>
      </c>
      <c r="M264" t="s">
        <v>135</v>
      </c>
      <c r="N264" t="s">
        <v>36</v>
      </c>
      <c r="O264" t="s">
        <v>871</v>
      </c>
      <c r="P264" t="s">
        <v>872</v>
      </c>
      <c r="Q264">
        <f t="shared" si="72"/>
        <v>2</v>
      </c>
      <c r="R264">
        <f t="shared" si="73"/>
        <v>4</v>
      </c>
      <c r="S264">
        <f t="shared" si="74"/>
        <v>4</v>
      </c>
      <c r="T264">
        <f t="shared" si="75"/>
        <v>2</v>
      </c>
      <c r="U264">
        <v>500000</v>
      </c>
      <c r="V264">
        <f t="shared" si="76"/>
        <v>0</v>
      </c>
      <c r="W264">
        <f t="shared" si="77"/>
        <v>0</v>
      </c>
      <c r="X264">
        <f t="shared" si="78"/>
        <v>0</v>
      </c>
      <c r="Y264">
        <f t="shared" si="79"/>
        <v>1</v>
      </c>
      <c r="Z264">
        <f t="shared" si="80"/>
        <v>1</v>
      </c>
      <c r="AA264">
        <f t="shared" si="81"/>
        <v>1</v>
      </c>
      <c r="AB264">
        <f t="shared" si="82"/>
        <v>1</v>
      </c>
      <c r="AC264">
        <f t="shared" si="83"/>
        <v>0</v>
      </c>
      <c r="AD264">
        <f t="shared" si="84"/>
        <v>0</v>
      </c>
      <c r="AE264">
        <f t="shared" si="85"/>
        <v>0</v>
      </c>
      <c r="AF264">
        <f t="shared" si="86"/>
        <v>0</v>
      </c>
      <c r="AG264">
        <f t="shared" si="87"/>
        <v>0</v>
      </c>
      <c r="AH264">
        <f t="shared" si="88"/>
        <v>0</v>
      </c>
      <c r="AI264">
        <f t="shared" si="89"/>
        <v>1</v>
      </c>
    </row>
    <row r="265" spans="1:35" x14ac:dyDescent="0.2">
      <c r="A265">
        <v>43</v>
      </c>
      <c r="B265" t="s">
        <v>749</v>
      </c>
      <c r="C265">
        <v>7</v>
      </c>
      <c r="D265" t="s">
        <v>873</v>
      </c>
      <c r="E265" t="s">
        <v>21</v>
      </c>
      <c r="F265" t="s">
        <v>18</v>
      </c>
      <c r="G265" t="s">
        <v>39</v>
      </c>
      <c r="H265" t="s">
        <v>21</v>
      </c>
      <c r="I265">
        <v>4</v>
      </c>
      <c r="J265">
        <v>2</v>
      </c>
      <c r="K265">
        <v>50000</v>
      </c>
      <c r="L265" t="s">
        <v>435</v>
      </c>
      <c r="M265" t="s">
        <v>268</v>
      </c>
      <c r="N265" t="s">
        <v>84</v>
      </c>
      <c r="O265" t="s">
        <v>874</v>
      </c>
      <c r="P265" t="s">
        <v>875</v>
      </c>
      <c r="Q265">
        <f t="shared" si="72"/>
        <v>1</v>
      </c>
      <c r="R265">
        <f t="shared" si="73"/>
        <v>4</v>
      </c>
      <c r="S265">
        <f t="shared" si="74"/>
        <v>5</v>
      </c>
      <c r="T265">
        <f t="shared" si="75"/>
        <v>1</v>
      </c>
      <c r="U265">
        <v>50000</v>
      </c>
      <c r="V265">
        <f t="shared" si="76"/>
        <v>1</v>
      </c>
      <c r="W265">
        <f t="shared" si="77"/>
        <v>0</v>
      </c>
      <c r="X265">
        <f t="shared" si="78"/>
        <v>0</v>
      </c>
      <c r="Y265">
        <f t="shared" si="79"/>
        <v>0</v>
      </c>
      <c r="Z265">
        <f t="shared" si="80"/>
        <v>1</v>
      </c>
      <c r="AA265">
        <f t="shared" si="81"/>
        <v>1</v>
      </c>
      <c r="AB265">
        <f t="shared" si="82"/>
        <v>1</v>
      </c>
      <c r="AC265">
        <f t="shared" si="83"/>
        <v>0</v>
      </c>
      <c r="AD265">
        <f t="shared" si="84"/>
        <v>1</v>
      </c>
      <c r="AE265">
        <f t="shared" si="85"/>
        <v>0</v>
      </c>
      <c r="AF265">
        <f t="shared" si="86"/>
        <v>0</v>
      </c>
      <c r="AG265">
        <f t="shared" si="87"/>
        <v>1</v>
      </c>
      <c r="AH265">
        <f t="shared" si="88"/>
        <v>0</v>
      </c>
      <c r="AI265">
        <f t="shared" si="89"/>
        <v>0</v>
      </c>
    </row>
    <row r="266" spans="1:35" x14ac:dyDescent="0.2">
      <c r="A266">
        <v>44</v>
      </c>
      <c r="B266" t="s">
        <v>749</v>
      </c>
      <c r="C266">
        <v>9</v>
      </c>
      <c r="D266" t="s">
        <v>876</v>
      </c>
      <c r="E266" t="s">
        <v>19</v>
      </c>
      <c r="F266" t="s">
        <v>20</v>
      </c>
      <c r="G266" t="s">
        <v>20</v>
      </c>
      <c r="H266" t="s">
        <v>18</v>
      </c>
      <c r="I266">
        <v>3</v>
      </c>
      <c r="J266">
        <v>4</v>
      </c>
      <c r="K266">
        <v>100</v>
      </c>
      <c r="L266" t="s">
        <v>194</v>
      </c>
      <c r="M266" t="s">
        <v>154</v>
      </c>
      <c r="N266" t="s">
        <v>49</v>
      </c>
      <c r="O266" t="s">
        <v>877</v>
      </c>
      <c r="P266" t="s">
        <v>878</v>
      </c>
      <c r="Q266">
        <f t="shared" si="72"/>
        <v>3</v>
      </c>
      <c r="R266">
        <f t="shared" si="73"/>
        <v>2</v>
      </c>
      <c r="S266">
        <f t="shared" si="74"/>
        <v>2</v>
      </c>
      <c r="T266">
        <f t="shared" si="75"/>
        <v>4</v>
      </c>
      <c r="U266">
        <v>100</v>
      </c>
      <c r="V266">
        <f t="shared" si="76"/>
        <v>0</v>
      </c>
      <c r="W266">
        <f t="shared" si="77"/>
        <v>0</v>
      </c>
      <c r="X266">
        <f t="shared" si="78"/>
        <v>0</v>
      </c>
      <c r="Y266">
        <f t="shared" si="79"/>
        <v>1</v>
      </c>
      <c r="Z266">
        <f t="shared" si="80"/>
        <v>1</v>
      </c>
      <c r="AA266">
        <f t="shared" si="81"/>
        <v>1</v>
      </c>
      <c r="AB266">
        <f t="shared" si="82"/>
        <v>0</v>
      </c>
      <c r="AC266">
        <f t="shared" si="83"/>
        <v>1</v>
      </c>
      <c r="AD266">
        <f t="shared" si="84"/>
        <v>0</v>
      </c>
      <c r="AE266">
        <f t="shared" si="85"/>
        <v>0</v>
      </c>
      <c r="AF266">
        <f t="shared" si="86"/>
        <v>0</v>
      </c>
      <c r="AG266">
        <f t="shared" si="87"/>
        <v>1</v>
      </c>
      <c r="AH266">
        <f t="shared" si="88"/>
        <v>1</v>
      </c>
      <c r="AI266">
        <f t="shared" si="89"/>
        <v>0</v>
      </c>
    </row>
    <row r="267" spans="1:35" x14ac:dyDescent="0.2">
      <c r="A267">
        <v>45</v>
      </c>
      <c r="B267" t="s">
        <v>749</v>
      </c>
      <c r="C267">
        <v>8</v>
      </c>
      <c r="D267" t="s">
        <v>879</v>
      </c>
      <c r="E267" t="s">
        <v>39</v>
      </c>
      <c r="F267" t="s">
        <v>18</v>
      </c>
      <c r="G267" t="s">
        <v>18</v>
      </c>
      <c r="H267" t="s">
        <v>20</v>
      </c>
      <c r="I267">
        <v>5</v>
      </c>
      <c r="J267">
        <v>6</v>
      </c>
      <c r="K267">
        <v>10000</v>
      </c>
      <c r="L267" t="s">
        <v>230</v>
      </c>
      <c r="M267" t="s">
        <v>123</v>
      </c>
      <c r="N267" t="s">
        <v>24</v>
      </c>
      <c r="O267" t="s">
        <v>880</v>
      </c>
      <c r="Q267">
        <f t="shared" si="72"/>
        <v>5</v>
      </c>
      <c r="R267">
        <f t="shared" si="73"/>
        <v>4</v>
      </c>
      <c r="S267">
        <f t="shared" si="74"/>
        <v>4</v>
      </c>
      <c r="T267">
        <f t="shared" si="75"/>
        <v>2</v>
      </c>
      <c r="U267">
        <v>10000</v>
      </c>
      <c r="V267">
        <f t="shared" si="76"/>
        <v>1</v>
      </c>
      <c r="W267">
        <f t="shared" si="77"/>
        <v>1</v>
      </c>
      <c r="X267">
        <f t="shared" si="78"/>
        <v>1</v>
      </c>
      <c r="Y267">
        <f t="shared" si="79"/>
        <v>1</v>
      </c>
      <c r="Z267">
        <f t="shared" si="80"/>
        <v>1</v>
      </c>
      <c r="AA267">
        <f t="shared" si="81"/>
        <v>0</v>
      </c>
      <c r="AB267">
        <f t="shared" si="82"/>
        <v>1</v>
      </c>
      <c r="AC267">
        <f t="shared" si="83"/>
        <v>1</v>
      </c>
      <c r="AD267">
        <f t="shared" si="84"/>
        <v>0</v>
      </c>
      <c r="AE267">
        <f t="shared" si="85"/>
        <v>0</v>
      </c>
      <c r="AF267">
        <f t="shared" si="86"/>
        <v>0</v>
      </c>
      <c r="AG267">
        <f t="shared" si="87"/>
        <v>0</v>
      </c>
      <c r="AH267">
        <f t="shared" si="88"/>
        <v>1</v>
      </c>
      <c r="AI267">
        <f t="shared" si="89"/>
        <v>0</v>
      </c>
    </row>
    <row r="268" spans="1:35" x14ac:dyDescent="0.2">
      <c r="A268">
        <v>46</v>
      </c>
      <c r="B268" t="s">
        <v>749</v>
      </c>
      <c r="C268">
        <v>7</v>
      </c>
      <c r="D268" t="s">
        <v>881</v>
      </c>
      <c r="E268" t="s">
        <v>20</v>
      </c>
      <c r="F268" t="s">
        <v>18</v>
      </c>
      <c r="G268" t="s">
        <v>39</v>
      </c>
      <c r="H268" t="s">
        <v>21</v>
      </c>
      <c r="I268">
        <v>3</v>
      </c>
      <c r="J268">
        <v>15</v>
      </c>
      <c r="K268">
        <v>25</v>
      </c>
      <c r="L268" t="s">
        <v>194</v>
      </c>
      <c r="M268" t="s">
        <v>154</v>
      </c>
      <c r="N268" t="s">
        <v>622</v>
      </c>
      <c r="O268" t="s">
        <v>882</v>
      </c>
      <c r="P268" t="s">
        <v>883</v>
      </c>
      <c r="Q268">
        <f t="shared" si="72"/>
        <v>2</v>
      </c>
      <c r="R268">
        <f t="shared" si="73"/>
        <v>4</v>
      </c>
      <c r="S268">
        <f t="shared" si="74"/>
        <v>5</v>
      </c>
      <c r="T268">
        <f t="shared" si="75"/>
        <v>1</v>
      </c>
      <c r="U268">
        <v>25</v>
      </c>
      <c r="V268">
        <f t="shared" si="76"/>
        <v>0</v>
      </c>
      <c r="W268">
        <f t="shared" si="77"/>
        <v>0</v>
      </c>
      <c r="X268">
        <f t="shared" si="78"/>
        <v>0</v>
      </c>
      <c r="Y268">
        <f t="shared" si="79"/>
        <v>1</v>
      </c>
      <c r="Z268">
        <f t="shared" si="80"/>
        <v>1</v>
      </c>
      <c r="AA268">
        <f t="shared" si="81"/>
        <v>1</v>
      </c>
      <c r="AB268">
        <f t="shared" si="82"/>
        <v>0</v>
      </c>
      <c r="AC268">
        <f t="shared" si="83"/>
        <v>1</v>
      </c>
      <c r="AD268">
        <f t="shared" si="84"/>
        <v>0</v>
      </c>
      <c r="AE268">
        <f t="shared" si="85"/>
        <v>0</v>
      </c>
      <c r="AF268">
        <f t="shared" si="86"/>
        <v>0</v>
      </c>
      <c r="AG268">
        <f t="shared" si="87"/>
        <v>1</v>
      </c>
      <c r="AH268">
        <f t="shared" si="88"/>
        <v>0</v>
      </c>
      <c r="AI268">
        <f t="shared" si="89"/>
        <v>1</v>
      </c>
    </row>
    <row r="269" spans="1:35" x14ac:dyDescent="0.2">
      <c r="A269">
        <v>47</v>
      </c>
      <c r="B269" t="s">
        <v>749</v>
      </c>
      <c r="C269">
        <v>8</v>
      </c>
      <c r="D269" t="s">
        <v>884</v>
      </c>
      <c r="E269" t="s">
        <v>20</v>
      </c>
      <c r="F269" t="s">
        <v>21</v>
      </c>
      <c r="G269" t="s">
        <v>21</v>
      </c>
      <c r="H269" t="s">
        <v>18</v>
      </c>
      <c r="I269">
        <v>3</v>
      </c>
      <c r="J269">
        <v>5</v>
      </c>
      <c r="K269">
        <v>100</v>
      </c>
      <c r="L269" t="s">
        <v>53</v>
      </c>
      <c r="M269" t="s">
        <v>219</v>
      </c>
      <c r="N269" t="s">
        <v>24</v>
      </c>
      <c r="O269" t="s">
        <v>885</v>
      </c>
      <c r="P269" t="s">
        <v>886</v>
      </c>
      <c r="Q269">
        <f t="shared" si="72"/>
        <v>2</v>
      </c>
      <c r="R269">
        <f t="shared" si="73"/>
        <v>1</v>
      </c>
      <c r="S269">
        <f t="shared" si="74"/>
        <v>1</v>
      </c>
      <c r="T269">
        <f t="shared" si="75"/>
        <v>4</v>
      </c>
      <c r="U269">
        <v>100</v>
      </c>
      <c r="V269">
        <f t="shared" si="76"/>
        <v>0</v>
      </c>
      <c r="W269">
        <f t="shared" si="77"/>
        <v>0</v>
      </c>
      <c r="X269">
        <f t="shared" si="78"/>
        <v>1</v>
      </c>
      <c r="Y269">
        <f t="shared" si="79"/>
        <v>0</v>
      </c>
      <c r="Z269">
        <f t="shared" si="80"/>
        <v>0</v>
      </c>
      <c r="AA269">
        <f t="shared" si="81"/>
        <v>0</v>
      </c>
      <c r="AB269">
        <f t="shared" si="82"/>
        <v>0</v>
      </c>
      <c r="AC269">
        <f t="shared" si="83"/>
        <v>0</v>
      </c>
      <c r="AD269">
        <f t="shared" si="84"/>
        <v>0</v>
      </c>
      <c r="AE269">
        <f t="shared" si="85"/>
        <v>1</v>
      </c>
      <c r="AF269">
        <f t="shared" si="86"/>
        <v>0</v>
      </c>
      <c r="AG269">
        <f t="shared" si="87"/>
        <v>0</v>
      </c>
      <c r="AH269">
        <f t="shared" si="88"/>
        <v>1</v>
      </c>
      <c r="AI269">
        <f t="shared" si="89"/>
        <v>0</v>
      </c>
    </row>
    <row r="270" spans="1:35" x14ac:dyDescent="0.2">
      <c r="A270">
        <v>48</v>
      </c>
      <c r="B270" t="s">
        <v>749</v>
      </c>
      <c r="C270">
        <v>6</v>
      </c>
      <c r="D270" t="s">
        <v>887</v>
      </c>
      <c r="E270" t="s">
        <v>21</v>
      </c>
      <c r="F270" t="s">
        <v>20</v>
      </c>
      <c r="G270" t="s">
        <v>39</v>
      </c>
      <c r="H270" t="s">
        <v>21</v>
      </c>
      <c r="I270">
        <v>2</v>
      </c>
      <c r="J270">
        <v>2</v>
      </c>
      <c r="K270">
        <v>500</v>
      </c>
      <c r="L270" t="s">
        <v>776</v>
      </c>
      <c r="M270" t="s">
        <v>123</v>
      </c>
      <c r="N270" t="s">
        <v>84</v>
      </c>
      <c r="O270" t="s">
        <v>112</v>
      </c>
      <c r="P270" t="s">
        <v>888</v>
      </c>
      <c r="Q270">
        <f t="shared" si="72"/>
        <v>1</v>
      </c>
      <c r="R270">
        <f t="shared" si="73"/>
        <v>2</v>
      </c>
      <c r="S270">
        <f t="shared" si="74"/>
        <v>5</v>
      </c>
      <c r="T270">
        <f t="shared" si="75"/>
        <v>1</v>
      </c>
      <c r="U270">
        <v>500</v>
      </c>
      <c r="V270">
        <f t="shared" si="76"/>
        <v>0</v>
      </c>
      <c r="W270">
        <f t="shared" si="77"/>
        <v>1</v>
      </c>
      <c r="X270">
        <f t="shared" si="78"/>
        <v>0</v>
      </c>
      <c r="Y270">
        <f t="shared" si="79"/>
        <v>1</v>
      </c>
      <c r="Z270">
        <f t="shared" si="80"/>
        <v>0</v>
      </c>
      <c r="AA270">
        <f t="shared" si="81"/>
        <v>0</v>
      </c>
      <c r="AB270">
        <f t="shared" si="82"/>
        <v>1</v>
      </c>
      <c r="AC270">
        <f t="shared" si="83"/>
        <v>1</v>
      </c>
      <c r="AD270">
        <f t="shared" si="84"/>
        <v>0</v>
      </c>
      <c r="AE270">
        <f t="shared" si="85"/>
        <v>0</v>
      </c>
      <c r="AF270">
        <f t="shared" si="86"/>
        <v>0</v>
      </c>
      <c r="AG270">
        <f t="shared" si="87"/>
        <v>1</v>
      </c>
      <c r="AH270">
        <f t="shared" si="88"/>
        <v>0</v>
      </c>
      <c r="AI270">
        <f t="shared" si="89"/>
        <v>0</v>
      </c>
    </row>
    <row r="271" spans="1:35" x14ac:dyDescent="0.2">
      <c r="A271">
        <v>49</v>
      </c>
      <c r="B271" t="s">
        <v>749</v>
      </c>
      <c r="C271">
        <v>4</v>
      </c>
      <c r="D271" t="s">
        <v>889</v>
      </c>
      <c r="E271" t="s">
        <v>18</v>
      </c>
      <c r="F271" t="s">
        <v>20</v>
      </c>
      <c r="G271" t="s">
        <v>18</v>
      </c>
      <c r="H271" t="s">
        <v>20</v>
      </c>
      <c r="I271">
        <v>3</v>
      </c>
      <c r="J271">
        <v>3</v>
      </c>
      <c r="K271" s="1">
        <v>50</v>
      </c>
      <c r="L271" t="s">
        <v>601</v>
      </c>
      <c r="M271" t="s">
        <v>123</v>
      </c>
      <c r="N271" t="s">
        <v>36</v>
      </c>
      <c r="O271" t="s">
        <v>890</v>
      </c>
      <c r="P271" t="s">
        <v>891</v>
      </c>
      <c r="Q271">
        <f t="shared" si="72"/>
        <v>4</v>
      </c>
      <c r="R271">
        <f t="shared" si="73"/>
        <v>2</v>
      </c>
      <c r="S271">
        <f t="shared" si="74"/>
        <v>4</v>
      </c>
      <c r="T271">
        <f t="shared" si="75"/>
        <v>2</v>
      </c>
      <c r="U271">
        <v>50</v>
      </c>
      <c r="V271">
        <f t="shared" si="76"/>
        <v>0</v>
      </c>
      <c r="W271">
        <f t="shared" si="77"/>
        <v>1</v>
      </c>
      <c r="X271">
        <f t="shared" si="78"/>
        <v>0</v>
      </c>
      <c r="Y271">
        <f t="shared" si="79"/>
        <v>1</v>
      </c>
      <c r="Z271">
        <f t="shared" si="80"/>
        <v>1</v>
      </c>
      <c r="AA271">
        <f t="shared" si="81"/>
        <v>0</v>
      </c>
      <c r="AB271">
        <f t="shared" si="82"/>
        <v>1</v>
      </c>
      <c r="AC271">
        <f t="shared" si="83"/>
        <v>1</v>
      </c>
      <c r="AD271">
        <f t="shared" si="84"/>
        <v>0</v>
      </c>
      <c r="AE271">
        <f t="shared" si="85"/>
        <v>0</v>
      </c>
      <c r="AF271">
        <f t="shared" si="86"/>
        <v>0</v>
      </c>
      <c r="AG271">
        <f t="shared" si="87"/>
        <v>0</v>
      </c>
      <c r="AH271">
        <f t="shared" si="88"/>
        <v>0</v>
      </c>
      <c r="AI271">
        <f t="shared" si="89"/>
        <v>1</v>
      </c>
    </row>
    <row r="272" spans="1:35" x14ac:dyDescent="0.2">
      <c r="A272">
        <v>50</v>
      </c>
      <c r="B272" t="s">
        <v>749</v>
      </c>
      <c r="C272">
        <v>5</v>
      </c>
      <c r="D272" t="s">
        <v>892</v>
      </c>
      <c r="E272" t="s">
        <v>20</v>
      </c>
      <c r="F272" t="s">
        <v>18</v>
      </c>
      <c r="G272" t="s">
        <v>39</v>
      </c>
      <c r="H272" t="s">
        <v>21</v>
      </c>
      <c r="I272">
        <v>2</v>
      </c>
      <c r="J272">
        <v>3</v>
      </c>
      <c r="K272" s="2">
        <v>600000000</v>
      </c>
      <c r="L272" t="s">
        <v>70</v>
      </c>
      <c r="M272" t="s">
        <v>48</v>
      </c>
      <c r="N272" t="s">
        <v>36</v>
      </c>
      <c r="O272" t="s">
        <v>893</v>
      </c>
      <c r="P272" t="s">
        <v>894</v>
      </c>
      <c r="Q272">
        <f t="shared" si="72"/>
        <v>2</v>
      </c>
      <c r="R272">
        <f t="shared" si="73"/>
        <v>4</v>
      </c>
      <c r="S272">
        <f t="shared" si="74"/>
        <v>5</v>
      </c>
      <c r="T272">
        <f t="shared" si="75"/>
        <v>1</v>
      </c>
      <c r="U272">
        <v>600000000</v>
      </c>
      <c r="V272">
        <f t="shared" si="76"/>
        <v>0</v>
      </c>
      <c r="W272">
        <f t="shared" si="77"/>
        <v>0</v>
      </c>
      <c r="X272">
        <f t="shared" si="78"/>
        <v>0</v>
      </c>
      <c r="Y272">
        <f t="shared" si="79"/>
        <v>1</v>
      </c>
      <c r="Z272">
        <f t="shared" si="80"/>
        <v>0</v>
      </c>
      <c r="AA272">
        <f t="shared" si="81"/>
        <v>1</v>
      </c>
      <c r="AB272">
        <f t="shared" si="82"/>
        <v>1</v>
      </c>
      <c r="AC272">
        <f t="shared" si="83"/>
        <v>1</v>
      </c>
      <c r="AD272">
        <f t="shared" si="84"/>
        <v>0</v>
      </c>
      <c r="AE272">
        <f t="shared" si="85"/>
        <v>0</v>
      </c>
      <c r="AF272">
        <f t="shared" si="86"/>
        <v>0</v>
      </c>
      <c r="AG272">
        <f t="shared" si="87"/>
        <v>0</v>
      </c>
      <c r="AH272">
        <f t="shared" si="88"/>
        <v>0</v>
      </c>
      <c r="AI272">
        <f t="shared" si="89"/>
        <v>1</v>
      </c>
    </row>
    <row r="273" spans="1:35" x14ac:dyDescent="0.2">
      <c r="A273">
        <v>51</v>
      </c>
      <c r="B273" t="s">
        <v>749</v>
      </c>
      <c r="C273">
        <v>8</v>
      </c>
      <c r="D273" t="s">
        <v>895</v>
      </c>
      <c r="E273" t="s">
        <v>19</v>
      </c>
      <c r="F273" t="s">
        <v>39</v>
      </c>
      <c r="G273" t="s">
        <v>39</v>
      </c>
      <c r="H273" t="s">
        <v>21</v>
      </c>
      <c r="I273">
        <v>3</v>
      </c>
      <c r="J273">
        <v>3</v>
      </c>
      <c r="K273">
        <v>5000</v>
      </c>
      <c r="L273" t="s">
        <v>494</v>
      </c>
      <c r="M273" t="s">
        <v>468</v>
      </c>
      <c r="N273" t="s">
        <v>215</v>
      </c>
      <c r="O273" t="s">
        <v>896</v>
      </c>
      <c r="P273" t="s">
        <v>897</v>
      </c>
      <c r="Q273">
        <f t="shared" si="72"/>
        <v>3</v>
      </c>
      <c r="R273">
        <f t="shared" si="73"/>
        <v>5</v>
      </c>
      <c r="S273">
        <f t="shared" si="74"/>
        <v>5</v>
      </c>
      <c r="T273">
        <f t="shared" si="75"/>
        <v>1</v>
      </c>
      <c r="U273">
        <v>5000</v>
      </c>
      <c r="V273">
        <f t="shared" si="76"/>
        <v>0</v>
      </c>
      <c r="W273">
        <f t="shared" si="77"/>
        <v>1</v>
      </c>
      <c r="X273">
        <f t="shared" si="78"/>
        <v>1</v>
      </c>
      <c r="Y273">
        <f t="shared" si="79"/>
        <v>1</v>
      </c>
      <c r="Z273">
        <f t="shared" si="80"/>
        <v>1</v>
      </c>
      <c r="AA273">
        <f t="shared" si="81"/>
        <v>1</v>
      </c>
      <c r="AB273">
        <f t="shared" si="82"/>
        <v>1</v>
      </c>
      <c r="AC273">
        <f t="shared" si="83"/>
        <v>1</v>
      </c>
      <c r="AD273">
        <f t="shared" si="84"/>
        <v>1</v>
      </c>
      <c r="AE273">
        <f t="shared" si="85"/>
        <v>1</v>
      </c>
      <c r="AF273">
        <f t="shared" si="86"/>
        <v>1</v>
      </c>
      <c r="AG273">
        <f t="shared" si="87"/>
        <v>0</v>
      </c>
      <c r="AH273">
        <f t="shared" si="88"/>
        <v>0</v>
      </c>
      <c r="AI273">
        <f t="shared" si="89"/>
        <v>0</v>
      </c>
    </row>
    <row r="274" spans="1:35" ht="51" x14ac:dyDescent="0.2">
      <c r="A274">
        <v>52</v>
      </c>
      <c r="B274" t="s">
        <v>749</v>
      </c>
      <c r="C274">
        <v>7</v>
      </c>
      <c r="D274" t="s">
        <v>898</v>
      </c>
      <c r="E274" t="s">
        <v>18</v>
      </c>
      <c r="F274" t="s">
        <v>39</v>
      </c>
      <c r="G274" t="s">
        <v>39</v>
      </c>
      <c r="H274" t="s">
        <v>21</v>
      </c>
      <c r="I274">
        <v>3</v>
      </c>
      <c r="J274">
        <v>4</v>
      </c>
      <c r="K274">
        <v>25</v>
      </c>
      <c r="L274" t="s">
        <v>562</v>
      </c>
      <c r="M274" t="s">
        <v>468</v>
      </c>
      <c r="N274" t="s">
        <v>84</v>
      </c>
      <c r="O274" s="3" t="s">
        <v>899</v>
      </c>
      <c r="P274" t="s">
        <v>900</v>
      </c>
      <c r="Q274">
        <f t="shared" si="72"/>
        <v>4</v>
      </c>
      <c r="R274">
        <f t="shared" si="73"/>
        <v>5</v>
      </c>
      <c r="S274">
        <f t="shared" si="74"/>
        <v>5</v>
      </c>
      <c r="T274">
        <f t="shared" si="75"/>
        <v>1</v>
      </c>
      <c r="U274">
        <v>25</v>
      </c>
      <c r="V274">
        <f t="shared" si="76"/>
        <v>0</v>
      </c>
      <c r="W274">
        <f t="shared" si="77"/>
        <v>1</v>
      </c>
      <c r="X274">
        <f t="shared" si="78"/>
        <v>1</v>
      </c>
      <c r="Y274">
        <f t="shared" si="79"/>
        <v>0</v>
      </c>
      <c r="Z274">
        <f t="shared" si="80"/>
        <v>1</v>
      </c>
      <c r="AA274">
        <f t="shared" si="81"/>
        <v>1</v>
      </c>
      <c r="AB274">
        <f t="shared" si="82"/>
        <v>1</v>
      </c>
      <c r="AC274">
        <f t="shared" si="83"/>
        <v>1</v>
      </c>
      <c r="AD274">
        <f t="shared" si="84"/>
        <v>1</v>
      </c>
      <c r="AE274">
        <f t="shared" si="85"/>
        <v>1</v>
      </c>
      <c r="AF274">
        <f t="shared" si="86"/>
        <v>0</v>
      </c>
      <c r="AG274">
        <f t="shared" si="87"/>
        <v>1</v>
      </c>
      <c r="AH274">
        <f t="shared" si="88"/>
        <v>0</v>
      </c>
      <c r="AI274">
        <f t="shared" si="89"/>
        <v>0</v>
      </c>
    </row>
    <row r="275" spans="1:35" x14ac:dyDescent="0.2">
      <c r="A275">
        <v>53</v>
      </c>
      <c r="B275" t="s">
        <v>749</v>
      </c>
      <c r="C275">
        <v>5</v>
      </c>
      <c r="D275" t="s">
        <v>901</v>
      </c>
      <c r="E275" t="s">
        <v>18</v>
      </c>
      <c r="F275" t="s">
        <v>18</v>
      </c>
      <c r="G275" t="s">
        <v>18</v>
      </c>
      <c r="H275" t="s">
        <v>21</v>
      </c>
      <c r="I275">
        <v>3</v>
      </c>
      <c r="J275">
        <v>3</v>
      </c>
      <c r="K275">
        <v>75</v>
      </c>
      <c r="L275" t="s">
        <v>230</v>
      </c>
      <c r="M275" t="s">
        <v>48</v>
      </c>
      <c r="N275" t="s">
        <v>24</v>
      </c>
      <c r="O275" t="s">
        <v>902</v>
      </c>
      <c r="P275" t="s">
        <v>903</v>
      </c>
      <c r="Q275">
        <f t="shared" si="72"/>
        <v>4</v>
      </c>
      <c r="R275">
        <f t="shared" si="73"/>
        <v>4</v>
      </c>
      <c r="S275">
        <f t="shared" si="74"/>
        <v>4</v>
      </c>
      <c r="T275">
        <f t="shared" si="75"/>
        <v>1</v>
      </c>
      <c r="U275">
        <v>75</v>
      </c>
      <c r="V275">
        <f t="shared" si="76"/>
        <v>1</v>
      </c>
      <c r="W275">
        <f t="shared" si="77"/>
        <v>1</v>
      </c>
      <c r="X275">
        <f t="shared" si="78"/>
        <v>1</v>
      </c>
      <c r="Y275">
        <f t="shared" si="79"/>
        <v>1</v>
      </c>
      <c r="Z275">
        <f t="shared" si="80"/>
        <v>1</v>
      </c>
      <c r="AA275">
        <f t="shared" si="81"/>
        <v>1</v>
      </c>
      <c r="AB275">
        <f t="shared" si="82"/>
        <v>1</v>
      </c>
      <c r="AC275">
        <f t="shared" si="83"/>
        <v>1</v>
      </c>
      <c r="AD275">
        <f t="shared" si="84"/>
        <v>0</v>
      </c>
      <c r="AE275">
        <f t="shared" si="85"/>
        <v>0</v>
      </c>
      <c r="AF275">
        <f t="shared" si="86"/>
        <v>0</v>
      </c>
      <c r="AG275">
        <f t="shared" si="87"/>
        <v>0</v>
      </c>
      <c r="AH275">
        <f t="shared" si="88"/>
        <v>1</v>
      </c>
      <c r="AI275">
        <f t="shared" si="89"/>
        <v>0</v>
      </c>
    </row>
    <row r="276" spans="1:35" x14ac:dyDescent="0.2">
      <c r="A276">
        <v>54</v>
      </c>
      <c r="B276" t="s">
        <v>749</v>
      </c>
      <c r="C276">
        <v>9</v>
      </c>
      <c r="D276" t="s">
        <v>904</v>
      </c>
      <c r="E276" t="s">
        <v>18</v>
      </c>
      <c r="F276" t="s">
        <v>20</v>
      </c>
      <c r="G276" t="s">
        <v>18</v>
      </c>
      <c r="H276" t="s">
        <v>18</v>
      </c>
      <c r="I276">
        <v>9</v>
      </c>
      <c r="J276">
        <v>15</v>
      </c>
      <c r="K276" t="s">
        <v>905</v>
      </c>
      <c r="L276" t="s">
        <v>70</v>
      </c>
      <c r="M276" t="s">
        <v>23</v>
      </c>
      <c r="N276" t="s">
        <v>36</v>
      </c>
      <c r="O276" t="s">
        <v>906</v>
      </c>
      <c r="P276" t="s">
        <v>907</v>
      </c>
      <c r="Q276">
        <f t="shared" si="72"/>
        <v>4</v>
      </c>
      <c r="R276">
        <f t="shared" si="73"/>
        <v>2</v>
      </c>
      <c r="S276">
        <f t="shared" si="74"/>
        <v>4</v>
      </c>
      <c r="T276">
        <f t="shared" si="75"/>
        <v>4</v>
      </c>
      <c r="U276">
        <v>2000</v>
      </c>
      <c r="V276">
        <f t="shared" si="76"/>
        <v>0</v>
      </c>
      <c r="W276">
        <f t="shared" si="77"/>
        <v>0</v>
      </c>
      <c r="X276">
        <f t="shared" si="78"/>
        <v>0</v>
      </c>
      <c r="Y276">
        <f t="shared" si="79"/>
        <v>1</v>
      </c>
      <c r="Z276">
        <f t="shared" si="80"/>
        <v>0</v>
      </c>
      <c r="AA276">
        <f t="shared" si="81"/>
        <v>1</v>
      </c>
      <c r="AB276">
        <f t="shared" si="82"/>
        <v>0</v>
      </c>
      <c r="AC276">
        <f t="shared" si="83"/>
        <v>0</v>
      </c>
      <c r="AD276">
        <f t="shared" si="84"/>
        <v>0</v>
      </c>
      <c r="AE276">
        <f t="shared" si="85"/>
        <v>0</v>
      </c>
      <c r="AF276">
        <f t="shared" si="86"/>
        <v>0</v>
      </c>
      <c r="AG276">
        <f t="shared" si="87"/>
        <v>0</v>
      </c>
      <c r="AH276">
        <f t="shared" si="88"/>
        <v>0</v>
      </c>
      <c r="AI276">
        <f t="shared" si="89"/>
        <v>1</v>
      </c>
    </row>
    <row r="277" spans="1:35" x14ac:dyDescent="0.2">
      <c r="A277">
        <v>55</v>
      </c>
      <c r="B277" t="s">
        <v>749</v>
      </c>
      <c r="C277">
        <v>9</v>
      </c>
      <c r="D277" t="s">
        <v>908</v>
      </c>
      <c r="E277" t="s">
        <v>18</v>
      </c>
      <c r="F277" t="s">
        <v>20</v>
      </c>
      <c r="G277" t="s">
        <v>19</v>
      </c>
      <c r="H277" t="s">
        <v>21</v>
      </c>
      <c r="I277">
        <v>2</v>
      </c>
      <c r="J277">
        <v>2</v>
      </c>
      <c r="K277" s="1">
        <v>1000</v>
      </c>
      <c r="L277" t="s">
        <v>79</v>
      </c>
      <c r="M277" t="s">
        <v>123</v>
      </c>
      <c r="N277" t="s">
        <v>36</v>
      </c>
      <c r="O277" t="s">
        <v>909</v>
      </c>
      <c r="P277" t="s">
        <v>910</v>
      </c>
      <c r="Q277">
        <f t="shared" si="72"/>
        <v>4</v>
      </c>
      <c r="R277">
        <f t="shared" si="73"/>
        <v>2</v>
      </c>
      <c r="S277">
        <f t="shared" si="74"/>
        <v>3</v>
      </c>
      <c r="T277">
        <f t="shared" si="75"/>
        <v>1</v>
      </c>
      <c r="U277">
        <v>1000</v>
      </c>
      <c r="V277">
        <f t="shared" si="76"/>
        <v>0</v>
      </c>
      <c r="W277">
        <f t="shared" si="77"/>
        <v>1</v>
      </c>
      <c r="X277">
        <f t="shared" si="78"/>
        <v>0</v>
      </c>
      <c r="Y277">
        <f t="shared" si="79"/>
        <v>0</v>
      </c>
      <c r="Z277">
        <f t="shared" si="80"/>
        <v>1</v>
      </c>
      <c r="AA277">
        <f t="shared" si="81"/>
        <v>0</v>
      </c>
      <c r="AB277">
        <f t="shared" si="82"/>
        <v>1</v>
      </c>
      <c r="AC277">
        <f t="shared" si="83"/>
        <v>1</v>
      </c>
      <c r="AD277">
        <f t="shared" si="84"/>
        <v>0</v>
      </c>
      <c r="AE277">
        <f t="shared" si="85"/>
        <v>0</v>
      </c>
      <c r="AF277">
        <f t="shared" si="86"/>
        <v>0</v>
      </c>
      <c r="AG277">
        <f t="shared" si="87"/>
        <v>0</v>
      </c>
      <c r="AH277">
        <f t="shared" si="88"/>
        <v>0</v>
      </c>
      <c r="AI277">
        <f t="shared" si="89"/>
        <v>1</v>
      </c>
    </row>
    <row r="278" spans="1:35" x14ac:dyDescent="0.2">
      <c r="A278">
        <v>56</v>
      </c>
      <c r="B278" t="s">
        <v>749</v>
      </c>
      <c r="C278">
        <v>7</v>
      </c>
      <c r="D278" t="s">
        <v>911</v>
      </c>
      <c r="E278" t="s">
        <v>20</v>
      </c>
      <c r="F278" t="s">
        <v>18</v>
      </c>
      <c r="G278" t="s">
        <v>18</v>
      </c>
      <c r="H278" t="s">
        <v>20</v>
      </c>
      <c r="I278">
        <v>5</v>
      </c>
      <c r="J278">
        <v>7</v>
      </c>
      <c r="K278">
        <v>5000000</v>
      </c>
      <c r="L278" t="s">
        <v>194</v>
      </c>
      <c r="M278" t="s">
        <v>777</v>
      </c>
      <c r="N278" t="s">
        <v>36</v>
      </c>
      <c r="O278" t="s">
        <v>912</v>
      </c>
      <c r="P278" t="s">
        <v>913</v>
      </c>
      <c r="Q278">
        <f t="shared" si="72"/>
        <v>2</v>
      </c>
      <c r="R278">
        <f t="shared" si="73"/>
        <v>4</v>
      </c>
      <c r="S278">
        <f t="shared" si="74"/>
        <v>4</v>
      </c>
      <c r="T278">
        <f t="shared" si="75"/>
        <v>2</v>
      </c>
      <c r="U278">
        <v>5000000</v>
      </c>
      <c r="V278">
        <f t="shared" si="76"/>
        <v>0</v>
      </c>
      <c r="W278">
        <f t="shared" si="77"/>
        <v>0</v>
      </c>
      <c r="X278">
        <f t="shared" si="78"/>
        <v>0</v>
      </c>
      <c r="Y278">
        <f t="shared" si="79"/>
        <v>1</v>
      </c>
      <c r="Z278">
        <f t="shared" si="80"/>
        <v>1</v>
      </c>
      <c r="AA278">
        <f t="shared" si="81"/>
        <v>0</v>
      </c>
      <c r="AB278">
        <f t="shared" si="82"/>
        <v>1</v>
      </c>
      <c r="AC278">
        <f t="shared" si="83"/>
        <v>0</v>
      </c>
      <c r="AD278">
        <f t="shared" si="84"/>
        <v>0</v>
      </c>
      <c r="AE278">
        <f t="shared" si="85"/>
        <v>1</v>
      </c>
      <c r="AF278">
        <f t="shared" si="86"/>
        <v>0</v>
      </c>
      <c r="AG278">
        <f t="shared" si="87"/>
        <v>0</v>
      </c>
      <c r="AH278">
        <f t="shared" si="88"/>
        <v>0</v>
      </c>
      <c r="AI278">
        <f t="shared" si="89"/>
        <v>1</v>
      </c>
    </row>
    <row r="279" spans="1:35" x14ac:dyDescent="0.2">
      <c r="A279">
        <v>57</v>
      </c>
      <c r="B279" t="s">
        <v>749</v>
      </c>
      <c r="C279">
        <v>7</v>
      </c>
      <c r="D279" t="s">
        <v>914</v>
      </c>
      <c r="E279" t="s">
        <v>18</v>
      </c>
      <c r="F279" t="s">
        <v>39</v>
      </c>
      <c r="G279" t="s">
        <v>18</v>
      </c>
      <c r="H279" t="s">
        <v>19</v>
      </c>
      <c r="I279">
        <v>3</v>
      </c>
      <c r="J279">
        <v>3</v>
      </c>
      <c r="K279" t="s">
        <v>915</v>
      </c>
      <c r="L279" t="s">
        <v>47</v>
      </c>
      <c r="M279" t="s">
        <v>48</v>
      </c>
      <c r="N279" t="s">
        <v>622</v>
      </c>
      <c r="O279" t="s">
        <v>916</v>
      </c>
      <c r="P279" t="s">
        <v>917</v>
      </c>
      <c r="Q279">
        <f t="shared" si="72"/>
        <v>4</v>
      </c>
      <c r="R279">
        <f t="shared" si="73"/>
        <v>5</v>
      </c>
      <c r="S279">
        <f t="shared" si="74"/>
        <v>4</v>
      </c>
      <c r="T279">
        <f t="shared" si="75"/>
        <v>3</v>
      </c>
      <c r="U279">
        <v>150</v>
      </c>
      <c r="V279">
        <f t="shared" si="76"/>
        <v>0</v>
      </c>
      <c r="W279">
        <f t="shared" si="77"/>
        <v>0</v>
      </c>
      <c r="X279">
        <f t="shared" si="78"/>
        <v>1</v>
      </c>
      <c r="Y279">
        <f t="shared" si="79"/>
        <v>0</v>
      </c>
      <c r="Z279">
        <f t="shared" si="80"/>
        <v>1</v>
      </c>
      <c r="AA279">
        <f t="shared" si="81"/>
        <v>1</v>
      </c>
      <c r="AB279">
        <f t="shared" si="82"/>
        <v>1</v>
      </c>
      <c r="AC279">
        <f t="shared" si="83"/>
        <v>1</v>
      </c>
      <c r="AD279">
        <f t="shared" si="84"/>
        <v>0</v>
      </c>
      <c r="AE279">
        <f t="shared" si="85"/>
        <v>0</v>
      </c>
      <c r="AF279">
        <f t="shared" si="86"/>
        <v>0</v>
      </c>
      <c r="AG279">
        <f t="shared" si="87"/>
        <v>1</v>
      </c>
      <c r="AH279">
        <f t="shared" si="88"/>
        <v>0</v>
      </c>
      <c r="AI279">
        <f t="shared" si="89"/>
        <v>1</v>
      </c>
    </row>
    <row r="280" spans="1:35" x14ac:dyDescent="0.2">
      <c r="A280">
        <v>58</v>
      </c>
      <c r="B280" t="s">
        <v>749</v>
      </c>
      <c r="C280">
        <v>5</v>
      </c>
      <c r="D280" t="s">
        <v>918</v>
      </c>
      <c r="E280" t="s">
        <v>18</v>
      </c>
      <c r="F280" t="s">
        <v>20</v>
      </c>
      <c r="G280" t="s">
        <v>39</v>
      </c>
      <c r="H280" t="s">
        <v>21</v>
      </c>
      <c r="I280">
        <v>3</v>
      </c>
      <c r="J280">
        <v>3</v>
      </c>
      <c r="K280">
        <v>6000</v>
      </c>
      <c r="L280" t="s">
        <v>194</v>
      </c>
      <c r="M280" t="s">
        <v>135</v>
      </c>
      <c r="N280" t="s">
        <v>36</v>
      </c>
      <c r="O280" t="s">
        <v>67</v>
      </c>
      <c r="P280" t="s">
        <v>919</v>
      </c>
      <c r="Q280">
        <f t="shared" si="72"/>
        <v>4</v>
      </c>
      <c r="R280">
        <f t="shared" si="73"/>
        <v>2</v>
      </c>
      <c r="S280">
        <f t="shared" si="74"/>
        <v>5</v>
      </c>
      <c r="T280">
        <f t="shared" si="75"/>
        <v>1</v>
      </c>
      <c r="U280">
        <v>6000</v>
      </c>
      <c r="V280">
        <f t="shared" si="76"/>
        <v>0</v>
      </c>
      <c r="W280">
        <f t="shared" si="77"/>
        <v>0</v>
      </c>
      <c r="X280">
        <f t="shared" si="78"/>
        <v>0</v>
      </c>
      <c r="Y280">
        <f t="shared" si="79"/>
        <v>1</v>
      </c>
      <c r="Z280">
        <f t="shared" si="80"/>
        <v>1</v>
      </c>
      <c r="AA280">
        <f t="shared" si="81"/>
        <v>1</v>
      </c>
      <c r="AB280">
        <f t="shared" si="82"/>
        <v>1</v>
      </c>
      <c r="AC280">
        <f t="shared" si="83"/>
        <v>0</v>
      </c>
      <c r="AD280">
        <f t="shared" si="84"/>
        <v>0</v>
      </c>
      <c r="AE280">
        <f t="shared" si="85"/>
        <v>0</v>
      </c>
      <c r="AF280">
        <f t="shared" si="86"/>
        <v>0</v>
      </c>
      <c r="AG280">
        <f t="shared" si="87"/>
        <v>0</v>
      </c>
      <c r="AH280">
        <f t="shared" si="88"/>
        <v>0</v>
      </c>
      <c r="AI280">
        <f t="shared" si="89"/>
        <v>1</v>
      </c>
    </row>
    <row r="281" spans="1:35" x14ac:dyDescent="0.2">
      <c r="A281">
        <v>59</v>
      </c>
      <c r="B281" t="s">
        <v>749</v>
      </c>
      <c r="C281">
        <v>10</v>
      </c>
      <c r="D281" t="s">
        <v>920</v>
      </c>
      <c r="E281" t="s">
        <v>21</v>
      </c>
      <c r="F281" t="s">
        <v>39</v>
      </c>
      <c r="G281" t="s">
        <v>18</v>
      </c>
      <c r="H281" t="s">
        <v>21</v>
      </c>
      <c r="I281">
        <v>3</v>
      </c>
      <c r="J281">
        <v>2</v>
      </c>
      <c r="K281" s="1">
        <v>50000000</v>
      </c>
      <c r="L281" t="s">
        <v>79</v>
      </c>
      <c r="M281" t="s">
        <v>123</v>
      </c>
      <c r="N281" t="s">
        <v>147</v>
      </c>
      <c r="O281" t="s">
        <v>921</v>
      </c>
      <c r="P281" t="s">
        <v>922</v>
      </c>
      <c r="Q281">
        <f t="shared" si="72"/>
        <v>1</v>
      </c>
      <c r="R281">
        <f t="shared" si="73"/>
        <v>5</v>
      </c>
      <c r="S281">
        <f t="shared" si="74"/>
        <v>4</v>
      </c>
      <c r="T281">
        <f t="shared" si="75"/>
        <v>1</v>
      </c>
      <c r="U281">
        <v>50000000</v>
      </c>
      <c r="V281">
        <f t="shared" si="76"/>
        <v>0</v>
      </c>
      <c r="W281">
        <f t="shared" si="77"/>
        <v>1</v>
      </c>
      <c r="X281">
        <f t="shared" si="78"/>
        <v>0</v>
      </c>
      <c r="Y281">
        <f t="shared" si="79"/>
        <v>0</v>
      </c>
      <c r="Z281">
        <f t="shared" si="80"/>
        <v>1</v>
      </c>
      <c r="AA281">
        <f t="shared" si="81"/>
        <v>0</v>
      </c>
      <c r="AB281">
        <f t="shared" si="82"/>
        <v>1</v>
      </c>
      <c r="AC281">
        <f t="shared" si="83"/>
        <v>1</v>
      </c>
      <c r="AD281">
        <f t="shared" si="84"/>
        <v>0</v>
      </c>
      <c r="AE281">
        <f t="shared" si="85"/>
        <v>0</v>
      </c>
      <c r="AF281">
        <f t="shared" si="86"/>
        <v>0</v>
      </c>
      <c r="AG281">
        <f t="shared" si="87"/>
        <v>0</v>
      </c>
      <c r="AH281">
        <f t="shared" si="88"/>
        <v>1</v>
      </c>
      <c r="AI281">
        <f t="shared" si="89"/>
        <v>1</v>
      </c>
    </row>
    <row r="282" spans="1:35" x14ac:dyDescent="0.2">
      <c r="A282">
        <v>60</v>
      </c>
      <c r="B282" t="s">
        <v>749</v>
      </c>
      <c r="C282">
        <v>8</v>
      </c>
      <c r="D282" t="s">
        <v>923</v>
      </c>
      <c r="E282" t="s">
        <v>20</v>
      </c>
      <c r="F282" t="s">
        <v>18</v>
      </c>
      <c r="G282" t="s">
        <v>39</v>
      </c>
      <c r="H282" t="s">
        <v>21</v>
      </c>
      <c r="I282">
        <v>5</v>
      </c>
      <c r="J282">
        <v>4</v>
      </c>
      <c r="K282">
        <v>100</v>
      </c>
      <c r="L282" t="s">
        <v>494</v>
      </c>
      <c r="M282" t="s">
        <v>468</v>
      </c>
      <c r="N282" t="s">
        <v>36</v>
      </c>
      <c r="O282" t="s">
        <v>924</v>
      </c>
      <c r="P282" t="s">
        <v>925</v>
      </c>
      <c r="Q282">
        <f t="shared" si="72"/>
        <v>2</v>
      </c>
      <c r="R282">
        <f t="shared" si="73"/>
        <v>4</v>
      </c>
      <c r="S282">
        <f t="shared" si="74"/>
        <v>5</v>
      </c>
      <c r="T282">
        <f t="shared" si="75"/>
        <v>1</v>
      </c>
      <c r="U282">
        <v>100</v>
      </c>
      <c r="V282">
        <f t="shared" si="76"/>
        <v>0</v>
      </c>
      <c r="W282">
        <f t="shared" si="77"/>
        <v>1</v>
      </c>
      <c r="X282">
        <f t="shared" si="78"/>
        <v>1</v>
      </c>
      <c r="Y282">
        <f t="shared" si="79"/>
        <v>1</v>
      </c>
      <c r="Z282">
        <f t="shared" si="80"/>
        <v>1</v>
      </c>
      <c r="AA282">
        <f t="shared" si="81"/>
        <v>1</v>
      </c>
      <c r="AB282">
        <f t="shared" si="82"/>
        <v>1</v>
      </c>
      <c r="AC282">
        <f t="shared" si="83"/>
        <v>1</v>
      </c>
      <c r="AD282">
        <f t="shared" si="84"/>
        <v>1</v>
      </c>
      <c r="AE282">
        <f t="shared" si="85"/>
        <v>1</v>
      </c>
      <c r="AF282">
        <f t="shared" si="86"/>
        <v>0</v>
      </c>
      <c r="AG282">
        <f t="shared" si="87"/>
        <v>0</v>
      </c>
      <c r="AH282">
        <f t="shared" si="88"/>
        <v>0</v>
      </c>
      <c r="AI282">
        <f t="shared" si="89"/>
        <v>1</v>
      </c>
    </row>
    <row r="283" spans="1:35" x14ac:dyDescent="0.2">
      <c r="A283">
        <v>61</v>
      </c>
      <c r="B283" t="s">
        <v>749</v>
      </c>
      <c r="C283">
        <v>6</v>
      </c>
      <c r="D283" t="s">
        <v>926</v>
      </c>
      <c r="E283" t="s">
        <v>20</v>
      </c>
      <c r="F283" t="s">
        <v>18</v>
      </c>
      <c r="G283" t="s">
        <v>39</v>
      </c>
      <c r="H283" t="s">
        <v>21</v>
      </c>
      <c r="I283">
        <v>3</v>
      </c>
      <c r="J283">
        <v>5</v>
      </c>
      <c r="K283" t="s">
        <v>240</v>
      </c>
      <c r="L283" t="s">
        <v>194</v>
      </c>
      <c r="M283" t="s">
        <v>777</v>
      </c>
      <c r="N283" t="s">
        <v>622</v>
      </c>
      <c r="O283" t="s">
        <v>927</v>
      </c>
      <c r="P283" t="s">
        <v>928</v>
      </c>
      <c r="Q283">
        <f t="shared" si="72"/>
        <v>2</v>
      </c>
      <c r="R283">
        <f t="shared" si="73"/>
        <v>4</v>
      </c>
      <c r="S283">
        <f t="shared" si="74"/>
        <v>5</v>
      </c>
      <c r="T283">
        <f t="shared" si="75"/>
        <v>1</v>
      </c>
      <c r="U283">
        <v>10000</v>
      </c>
      <c r="V283">
        <f t="shared" si="76"/>
        <v>0</v>
      </c>
      <c r="W283">
        <f t="shared" si="77"/>
        <v>0</v>
      </c>
      <c r="X283">
        <f t="shared" si="78"/>
        <v>0</v>
      </c>
      <c r="Y283">
        <f t="shared" si="79"/>
        <v>1</v>
      </c>
      <c r="Z283">
        <f t="shared" si="80"/>
        <v>1</v>
      </c>
      <c r="AA283">
        <f t="shared" si="81"/>
        <v>0</v>
      </c>
      <c r="AB283">
        <f t="shared" si="82"/>
        <v>1</v>
      </c>
      <c r="AC283">
        <f t="shared" si="83"/>
        <v>0</v>
      </c>
      <c r="AD283">
        <f t="shared" si="84"/>
        <v>0</v>
      </c>
      <c r="AE283">
        <f t="shared" si="85"/>
        <v>1</v>
      </c>
      <c r="AF283">
        <f t="shared" si="86"/>
        <v>0</v>
      </c>
      <c r="AG283">
        <f t="shared" si="87"/>
        <v>1</v>
      </c>
      <c r="AH283">
        <f t="shared" si="88"/>
        <v>0</v>
      </c>
      <c r="AI283">
        <f t="shared" si="89"/>
        <v>1</v>
      </c>
    </row>
    <row r="284" spans="1:35" x14ac:dyDescent="0.2">
      <c r="A284">
        <v>62</v>
      </c>
      <c r="B284" t="s">
        <v>749</v>
      </c>
      <c r="C284">
        <v>6</v>
      </c>
      <c r="D284" t="s">
        <v>929</v>
      </c>
      <c r="E284" t="s">
        <v>18</v>
      </c>
      <c r="F284" t="s">
        <v>19</v>
      </c>
      <c r="G284" t="s">
        <v>19</v>
      </c>
      <c r="H284" t="s">
        <v>20</v>
      </c>
      <c r="I284">
        <v>3</v>
      </c>
      <c r="J284">
        <v>3</v>
      </c>
      <c r="K284">
        <v>4500</v>
      </c>
      <c r="L284" t="s">
        <v>53</v>
      </c>
      <c r="M284" t="s">
        <v>23</v>
      </c>
      <c r="N284" t="s">
        <v>36</v>
      </c>
      <c r="O284" t="s">
        <v>792</v>
      </c>
      <c r="P284" t="s">
        <v>930</v>
      </c>
      <c r="Q284">
        <f t="shared" si="72"/>
        <v>4</v>
      </c>
      <c r="R284">
        <f t="shared" si="73"/>
        <v>3</v>
      </c>
      <c r="S284">
        <f t="shared" si="74"/>
        <v>3</v>
      </c>
      <c r="T284">
        <f t="shared" si="75"/>
        <v>2</v>
      </c>
      <c r="U284">
        <v>4500</v>
      </c>
      <c r="V284">
        <f t="shared" si="76"/>
        <v>0</v>
      </c>
      <c r="W284">
        <f t="shared" si="77"/>
        <v>0</v>
      </c>
      <c r="X284">
        <f t="shared" si="78"/>
        <v>1</v>
      </c>
      <c r="Y284">
        <f t="shared" si="79"/>
        <v>0</v>
      </c>
      <c r="Z284">
        <f t="shared" si="80"/>
        <v>0</v>
      </c>
      <c r="AA284">
        <f t="shared" si="81"/>
        <v>1</v>
      </c>
      <c r="AB284">
        <f t="shared" si="82"/>
        <v>0</v>
      </c>
      <c r="AC284">
        <f t="shared" si="83"/>
        <v>0</v>
      </c>
      <c r="AD284">
        <f t="shared" si="84"/>
        <v>0</v>
      </c>
      <c r="AE284">
        <f t="shared" si="85"/>
        <v>0</v>
      </c>
      <c r="AF284">
        <f t="shared" si="86"/>
        <v>0</v>
      </c>
      <c r="AG284">
        <f t="shared" si="87"/>
        <v>0</v>
      </c>
      <c r="AH284">
        <f t="shared" si="88"/>
        <v>0</v>
      </c>
      <c r="AI284">
        <f t="shared" si="89"/>
        <v>1</v>
      </c>
    </row>
    <row r="285" spans="1:35" x14ac:dyDescent="0.2">
      <c r="A285">
        <v>63</v>
      </c>
      <c r="B285" t="s">
        <v>749</v>
      </c>
      <c r="C285">
        <v>8</v>
      </c>
      <c r="D285" t="s">
        <v>931</v>
      </c>
      <c r="E285" t="s">
        <v>20</v>
      </c>
      <c r="F285" t="s">
        <v>18</v>
      </c>
      <c r="G285" t="s">
        <v>20</v>
      </c>
      <c r="H285" t="s">
        <v>18</v>
      </c>
      <c r="I285">
        <v>4</v>
      </c>
      <c r="J285">
        <v>3</v>
      </c>
      <c r="K285" s="1">
        <v>40000000</v>
      </c>
      <c r="L285" t="s">
        <v>194</v>
      </c>
      <c r="M285" t="s">
        <v>99</v>
      </c>
      <c r="N285" t="s">
        <v>215</v>
      </c>
      <c r="O285" t="s">
        <v>932</v>
      </c>
      <c r="P285" t="s">
        <v>933</v>
      </c>
      <c r="Q285">
        <f t="shared" si="72"/>
        <v>2</v>
      </c>
      <c r="R285">
        <f t="shared" si="73"/>
        <v>4</v>
      </c>
      <c r="S285">
        <f t="shared" si="74"/>
        <v>2</v>
      </c>
      <c r="T285">
        <f t="shared" si="75"/>
        <v>4</v>
      </c>
      <c r="U285">
        <v>40000000</v>
      </c>
      <c r="V285">
        <f t="shared" si="76"/>
        <v>0</v>
      </c>
      <c r="W285">
        <f t="shared" si="77"/>
        <v>0</v>
      </c>
      <c r="X285">
        <f t="shared" si="78"/>
        <v>0</v>
      </c>
      <c r="Y285">
        <f t="shared" si="79"/>
        <v>1</v>
      </c>
      <c r="Z285">
        <f t="shared" si="80"/>
        <v>1</v>
      </c>
      <c r="AA285">
        <f t="shared" si="81"/>
        <v>1</v>
      </c>
      <c r="AB285">
        <f t="shared" si="82"/>
        <v>0</v>
      </c>
      <c r="AC285">
        <f t="shared" si="83"/>
        <v>0</v>
      </c>
      <c r="AD285">
        <f t="shared" si="84"/>
        <v>0</v>
      </c>
      <c r="AE285">
        <f t="shared" si="85"/>
        <v>1</v>
      </c>
      <c r="AF285">
        <f t="shared" si="86"/>
        <v>1</v>
      </c>
      <c r="AG285">
        <f t="shared" si="87"/>
        <v>0</v>
      </c>
      <c r="AH285">
        <f t="shared" si="88"/>
        <v>0</v>
      </c>
      <c r="AI285">
        <f t="shared" si="89"/>
        <v>0</v>
      </c>
    </row>
    <row r="286" spans="1:35" x14ac:dyDescent="0.2">
      <c r="A286">
        <v>64</v>
      </c>
      <c r="B286" t="s">
        <v>749</v>
      </c>
      <c r="C286">
        <v>6</v>
      </c>
      <c r="D286" t="s">
        <v>934</v>
      </c>
      <c r="E286" t="s">
        <v>39</v>
      </c>
      <c r="F286" t="s">
        <v>18</v>
      </c>
      <c r="G286" t="s">
        <v>18</v>
      </c>
      <c r="H286" t="s">
        <v>21</v>
      </c>
      <c r="I286">
        <v>3</v>
      </c>
      <c r="J286">
        <v>4</v>
      </c>
      <c r="K286">
        <v>500</v>
      </c>
      <c r="L286" t="s">
        <v>562</v>
      </c>
      <c r="M286" t="s">
        <v>781</v>
      </c>
      <c r="N286" t="s">
        <v>847</v>
      </c>
      <c r="O286" t="s">
        <v>935</v>
      </c>
      <c r="P286" t="s">
        <v>936</v>
      </c>
      <c r="Q286">
        <f t="shared" si="72"/>
        <v>5</v>
      </c>
      <c r="R286">
        <f t="shared" si="73"/>
        <v>4</v>
      </c>
      <c r="S286">
        <f t="shared" si="74"/>
        <v>4</v>
      </c>
      <c r="T286">
        <f t="shared" si="75"/>
        <v>1</v>
      </c>
      <c r="U286">
        <v>500</v>
      </c>
      <c r="V286">
        <f t="shared" si="76"/>
        <v>0</v>
      </c>
      <c r="W286">
        <f t="shared" si="77"/>
        <v>1</v>
      </c>
      <c r="X286">
        <f t="shared" si="78"/>
        <v>1</v>
      </c>
      <c r="Y286">
        <f t="shared" si="79"/>
        <v>0</v>
      </c>
      <c r="Z286">
        <f t="shared" si="80"/>
        <v>1</v>
      </c>
      <c r="AA286">
        <f t="shared" si="81"/>
        <v>0</v>
      </c>
      <c r="AB286">
        <f t="shared" si="82"/>
        <v>1</v>
      </c>
      <c r="AC286">
        <f t="shared" si="83"/>
        <v>1</v>
      </c>
      <c r="AD286">
        <f t="shared" si="84"/>
        <v>1</v>
      </c>
      <c r="AE286">
        <f t="shared" si="85"/>
        <v>1</v>
      </c>
      <c r="AF286">
        <f t="shared" si="86"/>
        <v>1</v>
      </c>
      <c r="AG286">
        <f t="shared" si="87"/>
        <v>0</v>
      </c>
      <c r="AH286">
        <f t="shared" si="88"/>
        <v>0</v>
      </c>
      <c r="AI286">
        <f t="shared" si="89"/>
        <v>1</v>
      </c>
    </row>
    <row r="287" spans="1:35" x14ac:dyDescent="0.2">
      <c r="A287">
        <v>65</v>
      </c>
      <c r="B287" t="s">
        <v>749</v>
      </c>
      <c r="C287">
        <v>7</v>
      </c>
      <c r="D287" t="s">
        <v>937</v>
      </c>
      <c r="E287" t="s">
        <v>20</v>
      </c>
      <c r="F287" t="s">
        <v>18</v>
      </c>
      <c r="G287" t="s">
        <v>18</v>
      </c>
      <c r="H287" t="s">
        <v>21</v>
      </c>
      <c r="I287">
        <v>4</v>
      </c>
      <c r="J287">
        <v>4</v>
      </c>
      <c r="K287">
        <v>10000</v>
      </c>
      <c r="L287" t="s">
        <v>230</v>
      </c>
      <c r="M287" t="s">
        <v>468</v>
      </c>
      <c r="N287" t="s">
        <v>84</v>
      </c>
      <c r="O287" t="s">
        <v>938</v>
      </c>
      <c r="P287" t="s">
        <v>939</v>
      </c>
      <c r="Q287">
        <f t="shared" si="72"/>
        <v>2</v>
      </c>
      <c r="R287">
        <f t="shared" si="73"/>
        <v>4</v>
      </c>
      <c r="S287">
        <f t="shared" si="74"/>
        <v>4</v>
      </c>
      <c r="T287">
        <f t="shared" si="75"/>
        <v>1</v>
      </c>
      <c r="U287">
        <v>10000</v>
      </c>
      <c r="V287">
        <f t="shared" si="76"/>
        <v>1</v>
      </c>
      <c r="W287">
        <f t="shared" si="77"/>
        <v>1</v>
      </c>
      <c r="X287">
        <f t="shared" si="78"/>
        <v>1</v>
      </c>
      <c r="Y287">
        <f t="shared" si="79"/>
        <v>1</v>
      </c>
      <c r="Z287">
        <f t="shared" si="80"/>
        <v>1</v>
      </c>
      <c r="AA287">
        <f t="shared" si="81"/>
        <v>1</v>
      </c>
      <c r="AB287">
        <f t="shared" si="82"/>
        <v>1</v>
      </c>
      <c r="AC287">
        <f t="shared" si="83"/>
        <v>1</v>
      </c>
      <c r="AD287">
        <f t="shared" si="84"/>
        <v>1</v>
      </c>
      <c r="AE287">
        <f t="shared" si="85"/>
        <v>1</v>
      </c>
      <c r="AF287">
        <f t="shared" si="86"/>
        <v>0</v>
      </c>
      <c r="AG287">
        <f t="shared" si="87"/>
        <v>1</v>
      </c>
      <c r="AH287">
        <f t="shared" si="88"/>
        <v>0</v>
      </c>
      <c r="AI287">
        <f t="shared" si="89"/>
        <v>0</v>
      </c>
    </row>
    <row r="288" spans="1:35" x14ac:dyDescent="0.2">
      <c r="A288">
        <v>66</v>
      </c>
      <c r="B288" t="s">
        <v>749</v>
      </c>
      <c r="C288">
        <v>4</v>
      </c>
      <c r="D288" t="s">
        <v>940</v>
      </c>
      <c r="E288" t="s">
        <v>21</v>
      </c>
      <c r="F288" t="s">
        <v>18</v>
      </c>
      <c r="G288" t="s">
        <v>39</v>
      </c>
      <c r="H288" t="s">
        <v>21</v>
      </c>
      <c r="I288">
        <v>3</v>
      </c>
      <c r="J288">
        <v>5</v>
      </c>
      <c r="K288" t="s">
        <v>941</v>
      </c>
      <c r="L288" t="s">
        <v>194</v>
      </c>
      <c r="M288" t="s">
        <v>123</v>
      </c>
      <c r="N288" t="s">
        <v>942</v>
      </c>
      <c r="O288" t="s">
        <v>943</v>
      </c>
      <c r="P288" t="s">
        <v>944</v>
      </c>
      <c r="Q288">
        <f t="shared" si="72"/>
        <v>1</v>
      </c>
      <c r="R288">
        <f t="shared" si="73"/>
        <v>4</v>
      </c>
      <c r="S288">
        <f t="shared" si="74"/>
        <v>5</v>
      </c>
      <c r="T288">
        <f t="shared" si="75"/>
        <v>1</v>
      </c>
      <c r="U288">
        <v>50</v>
      </c>
      <c r="V288">
        <f t="shared" si="76"/>
        <v>0</v>
      </c>
      <c r="W288">
        <f t="shared" si="77"/>
        <v>0</v>
      </c>
      <c r="X288">
        <f t="shared" si="78"/>
        <v>0</v>
      </c>
      <c r="Y288">
        <f t="shared" si="79"/>
        <v>1</v>
      </c>
      <c r="Z288">
        <f t="shared" si="80"/>
        <v>1</v>
      </c>
      <c r="AA288">
        <f t="shared" si="81"/>
        <v>0</v>
      </c>
      <c r="AB288">
        <f t="shared" si="82"/>
        <v>1</v>
      </c>
      <c r="AC288">
        <f t="shared" si="83"/>
        <v>1</v>
      </c>
      <c r="AD288">
        <f t="shared" si="84"/>
        <v>0</v>
      </c>
      <c r="AE288">
        <f t="shared" si="85"/>
        <v>0</v>
      </c>
      <c r="AF288">
        <f t="shared" si="86"/>
        <v>1</v>
      </c>
      <c r="AG288">
        <f t="shared" si="87"/>
        <v>1</v>
      </c>
      <c r="AH288">
        <f t="shared" si="88"/>
        <v>0</v>
      </c>
      <c r="AI288">
        <f t="shared" si="89"/>
        <v>1</v>
      </c>
    </row>
    <row r="289" spans="1:35" x14ac:dyDescent="0.2">
      <c r="A289">
        <v>67</v>
      </c>
      <c r="B289" t="s">
        <v>749</v>
      </c>
      <c r="C289">
        <v>7</v>
      </c>
      <c r="D289" t="s">
        <v>945</v>
      </c>
      <c r="E289" t="s">
        <v>20</v>
      </c>
      <c r="F289" t="s">
        <v>18</v>
      </c>
      <c r="G289" t="s">
        <v>20</v>
      </c>
      <c r="H289" t="s">
        <v>20</v>
      </c>
      <c r="I289">
        <v>3</v>
      </c>
      <c r="J289">
        <v>3</v>
      </c>
      <c r="K289">
        <v>350</v>
      </c>
      <c r="L289" t="s">
        <v>946</v>
      </c>
      <c r="M289" t="s">
        <v>154</v>
      </c>
      <c r="N289" t="s">
        <v>84</v>
      </c>
      <c r="O289" t="s">
        <v>947</v>
      </c>
      <c r="P289" t="s">
        <v>948</v>
      </c>
      <c r="Q289">
        <f t="shared" si="72"/>
        <v>2</v>
      </c>
      <c r="R289">
        <f t="shared" si="73"/>
        <v>4</v>
      </c>
      <c r="S289">
        <f t="shared" si="74"/>
        <v>2</v>
      </c>
      <c r="T289">
        <f t="shared" si="75"/>
        <v>2</v>
      </c>
      <c r="U289">
        <v>350</v>
      </c>
      <c r="V289">
        <f t="shared" si="76"/>
        <v>0</v>
      </c>
      <c r="W289">
        <f t="shared" si="77"/>
        <v>1</v>
      </c>
      <c r="X289">
        <f t="shared" si="78"/>
        <v>1</v>
      </c>
      <c r="Y289">
        <f t="shared" si="79"/>
        <v>1</v>
      </c>
      <c r="Z289">
        <f t="shared" si="80"/>
        <v>0</v>
      </c>
      <c r="AA289">
        <f t="shared" si="81"/>
        <v>1</v>
      </c>
      <c r="AB289">
        <f t="shared" si="82"/>
        <v>0</v>
      </c>
      <c r="AC289">
        <f t="shared" si="83"/>
        <v>1</v>
      </c>
      <c r="AD289">
        <f t="shared" si="84"/>
        <v>0</v>
      </c>
      <c r="AE289">
        <f t="shared" si="85"/>
        <v>0</v>
      </c>
      <c r="AF289">
        <f t="shared" si="86"/>
        <v>0</v>
      </c>
      <c r="AG289">
        <f t="shared" si="87"/>
        <v>1</v>
      </c>
      <c r="AH289">
        <f t="shared" si="88"/>
        <v>0</v>
      </c>
      <c r="AI289">
        <f t="shared" si="89"/>
        <v>0</v>
      </c>
    </row>
    <row r="290" spans="1:35" x14ac:dyDescent="0.2">
      <c r="A290">
        <v>68</v>
      </c>
      <c r="B290" t="s">
        <v>749</v>
      </c>
      <c r="C290">
        <v>10</v>
      </c>
      <c r="D290" t="s">
        <v>949</v>
      </c>
      <c r="E290" t="s">
        <v>20</v>
      </c>
      <c r="F290" t="s">
        <v>19</v>
      </c>
      <c r="G290" t="s">
        <v>18</v>
      </c>
      <c r="H290" t="s">
        <v>19</v>
      </c>
      <c r="I290">
        <v>3</v>
      </c>
      <c r="J290">
        <v>4</v>
      </c>
      <c r="K290">
        <v>100000</v>
      </c>
      <c r="L290" t="s">
        <v>41</v>
      </c>
      <c r="M290" t="s">
        <v>468</v>
      </c>
      <c r="N290" t="s">
        <v>84</v>
      </c>
      <c r="O290" t="s">
        <v>943</v>
      </c>
      <c r="P290" t="s">
        <v>950</v>
      </c>
      <c r="Q290">
        <f t="shared" si="72"/>
        <v>2</v>
      </c>
      <c r="R290">
        <f t="shared" si="73"/>
        <v>3</v>
      </c>
      <c r="S290">
        <f t="shared" si="74"/>
        <v>4</v>
      </c>
      <c r="T290">
        <f t="shared" si="75"/>
        <v>3</v>
      </c>
      <c r="U290">
        <v>100000</v>
      </c>
      <c r="V290">
        <f t="shared" si="76"/>
        <v>0</v>
      </c>
      <c r="W290">
        <f t="shared" si="77"/>
        <v>0</v>
      </c>
      <c r="X290">
        <f t="shared" si="78"/>
        <v>0</v>
      </c>
      <c r="Y290">
        <f t="shared" si="79"/>
        <v>0</v>
      </c>
      <c r="Z290">
        <f t="shared" si="80"/>
        <v>1</v>
      </c>
      <c r="AA290">
        <f t="shared" si="81"/>
        <v>1</v>
      </c>
      <c r="AB290">
        <f t="shared" si="82"/>
        <v>1</v>
      </c>
      <c r="AC290">
        <f t="shared" si="83"/>
        <v>1</v>
      </c>
      <c r="AD290">
        <f t="shared" si="84"/>
        <v>1</v>
      </c>
      <c r="AE290">
        <f t="shared" si="85"/>
        <v>1</v>
      </c>
      <c r="AF290">
        <f t="shared" si="86"/>
        <v>0</v>
      </c>
      <c r="AG290">
        <f t="shared" si="87"/>
        <v>1</v>
      </c>
      <c r="AH290">
        <f t="shared" si="88"/>
        <v>0</v>
      </c>
      <c r="AI290">
        <f t="shared" si="89"/>
        <v>0</v>
      </c>
    </row>
    <row r="291" spans="1:35" x14ac:dyDescent="0.2">
      <c r="A291">
        <v>69</v>
      </c>
      <c r="B291" t="s">
        <v>749</v>
      </c>
      <c r="C291">
        <v>10</v>
      </c>
      <c r="D291" t="s">
        <v>951</v>
      </c>
      <c r="E291" t="s">
        <v>19</v>
      </c>
      <c r="F291" t="s">
        <v>18</v>
      </c>
      <c r="G291" t="s">
        <v>18</v>
      </c>
      <c r="H291" t="s">
        <v>20</v>
      </c>
      <c r="I291">
        <v>2</v>
      </c>
      <c r="J291">
        <v>5</v>
      </c>
      <c r="K291">
        <v>10000000</v>
      </c>
      <c r="L291" t="s">
        <v>53</v>
      </c>
      <c r="M291" t="s">
        <v>468</v>
      </c>
      <c r="N291" t="s">
        <v>84</v>
      </c>
      <c r="O291" t="s">
        <v>952</v>
      </c>
      <c r="P291" t="s">
        <v>953</v>
      </c>
      <c r="Q291">
        <f t="shared" si="72"/>
        <v>3</v>
      </c>
      <c r="R291">
        <f t="shared" si="73"/>
        <v>4</v>
      </c>
      <c r="S291">
        <f t="shared" si="74"/>
        <v>4</v>
      </c>
      <c r="T291">
        <f t="shared" si="75"/>
        <v>2</v>
      </c>
      <c r="U291">
        <v>10000000</v>
      </c>
      <c r="V291">
        <f t="shared" si="76"/>
        <v>0</v>
      </c>
      <c r="W291">
        <f t="shared" si="77"/>
        <v>0</v>
      </c>
      <c r="X291">
        <f t="shared" si="78"/>
        <v>1</v>
      </c>
      <c r="Y291">
        <f t="shared" si="79"/>
        <v>0</v>
      </c>
      <c r="Z291">
        <f t="shared" si="80"/>
        <v>0</v>
      </c>
      <c r="AA291">
        <f t="shared" si="81"/>
        <v>1</v>
      </c>
      <c r="AB291">
        <f t="shared" si="82"/>
        <v>1</v>
      </c>
      <c r="AC291">
        <f t="shared" si="83"/>
        <v>1</v>
      </c>
      <c r="AD291">
        <f t="shared" si="84"/>
        <v>1</v>
      </c>
      <c r="AE291">
        <f t="shared" si="85"/>
        <v>1</v>
      </c>
      <c r="AF291">
        <f t="shared" si="86"/>
        <v>0</v>
      </c>
      <c r="AG291">
        <f t="shared" si="87"/>
        <v>1</v>
      </c>
      <c r="AH291">
        <f t="shared" si="88"/>
        <v>0</v>
      </c>
      <c r="AI291">
        <f t="shared" si="89"/>
        <v>0</v>
      </c>
    </row>
    <row r="292" spans="1:35" x14ac:dyDescent="0.2">
      <c r="A292">
        <v>70</v>
      </c>
      <c r="B292" t="s">
        <v>749</v>
      </c>
      <c r="C292">
        <v>7</v>
      </c>
      <c r="D292" t="s">
        <v>954</v>
      </c>
      <c r="E292" t="s">
        <v>19</v>
      </c>
      <c r="F292" t="s">
        <v>19</v>
      </c>
      <c r="G292" t="s">
        <v>20</v>
      </c>
      <c r="H292" t="s">
        <v>18</v>
      </c>
      <c r="I292">
        <v>4</v>
      </c>
      <c r="J292">
        <v>3</v>
      </c>
      <c r="K292">
        <v>10</v>
      </c>
      <c r="L292" t="s">
        <v>194</v>
      </c>
      <c r="M292" t="s">
        <v>123</v>
      </c>
      <c r="N292" t="s">
        <v>622</v>
      </c>
      <c r="O292" t="s">
        <v>955</v>
      </c>
      <c r="P292" t="s">
        <v>956</v>
      </c>
      <c r="Q292">
        <f t="shared" si="72"/>
        <v>3</v>
      </c>
      <c r="R292">
        <f t="shared" si="73"/>
        <v>3</v>
      </c>
      <c r="S292">
        <f t="shared" si="74"/>
        <v>2</v>
      </c>
      <c r="T292">
        <f t="shared" si="75"/>
        <v>4</v>
      </c>
      <c r="U292">
        <v>10</v>
      </c>
      <c r="V292">
        <f t="shared" si="76"/>
        <v>0</v>
      </c>
      <c r="W292">
        <f t="shared" si="77"/>
        <v>0</v>
      </c>
      <c r="X292">
        <f t="shared" si="78"/>
        <v>0</v>
      </c>
      <c r="Y292">
        <f t="shared" si="79"/>
        <v>1</v>
      </c>
      <c r="Z292">
        <f t="shared" si="80"/>
        <v>1</v>
      </c>
      <c r="AA292">
        <f t="shared" si="81"/>
        <v>0</v>
      </c>
      <c r="AB292">
        <f t="shared" si="82"/>
        <v>1</v>
      </c>
      <c r="AC292">
        <f t="shared" si="83"/>
        <v>1</v>
      </c>
      <c r="AD292">
        <f t="shared" si="84"/>
        <v>0</v>
      </c>
      <c r="AE292">
        <f t="shared" si="85"/>
        <v>0</v>
      </c>
      <c r="AF292">
        <f t="shared" si="86"/>
        <v>0</v>
      </c>
      <c r="AG292">
        <f t="shared" si="87"/>
        <v>1</v>
      </c>
      <c r="AH292">
        <f t="shared" si="88"/>
        <v>0</v>
      </c>
      <c r="AI292">
        <f t="shared" si="89"/>
        <v>1</v>
      </c>
    </row>
    <row r="293" spans="1:35" x14ac:dyDescent="0.2">
      <c r="A293">
        <v>71</v>
      </c>
      <c r="B293" t="s">
        <v>749</v>
      </c>
      <c r="C293">
        <v>9</v>
      </c>
      <c r="D293" t="s">
        <v>957</v>
      </c>
      <c r="E293" t="s">
        <v>21</v>
      </c>
      <c r="F293" t="s">
        <v>19</v>
      </c>
      <c r="G293" t="s">
        <v>39</v>
      </c>
      <c r="H293" t="s">
        <v>20</v>
      </c>
      <c r="I293">
        <v>3</v>
      </c>
      <c r="J293">
        <v>2</v>
      </c>
      <c r="K293">
        <v>20</v>
      </c>
      <c r="L293" t="s">
        <v>601</v>
      </c>
      <c r="M293" t="s">
        <v>958</v>
      </c>
      <c r="N293" t="s">
        <v>36</v>
      </c>
      <c r="O293" t="s">
        <v>959</v>
      </c>
      <c r="P293" t="s">
        <v>960</v>
      </c>
      <c r="Q293">
        <f t="shared" si="72"/>
        <v>1</v>
      </c>
      <c r="R293">
        <f t="shared" si="73"/>
        <v>3</v>
      </c>
      <c r="S293">
        <f t="shared" si="74"/>
        <v>5</v>
      </c>
      <c r="T293">
        <f t="shared" si="75"/>
        <v>2</v>
      </c>
      <c r="U293">
        <v>20</v>
      </c>
      <c r="V293">
        <f t="shared" si="76"/>
        <v>0</v>
      </c>
      <c r="W293">
        <f t="shared" si="77"/>
        <v>1</v>
      </c>
      <c r="X293">
        <f t="shared" si="78"/>
        <v>0</v>
      </c>
      <c r="Y293">
        <f t="shared" si="79"/>
        <v>1</v>
      </c>
      <c r="Z293">
        <f t="shared" si="80"/>
        <v>1</v>
      </c>
      <c r="AA293">
        <f t="shared" si="81"/>
        <v>1</v>
      </c>
      <c r="AB293">
        <f t="shared" si="82"/>
        <v>0</v>
      </c>
      <c r="AC293">
        <f t="shared" si="83"/>
        <v>1</v>
      </c>
      <c r="AD293">
        <f t="shared" si="84"/>
        <v>0</v>
      </c>
      <c r="AE293">
        <f t="shared" si="85"/>
        <v>1</v>
      </c>
      <c r="AF293">
        <f t="shared" si="86"/>
        <v>0</v>
      </c>
      <c r="AG293">
        <f t="shared" si="87"/>
        <v>0</v>
      </c>
      <c r="AH293">
        <f t="shared" si="88"/>
        <v>0</v>
      </c>
      <c r="AI293">
        <f t="shared" si="89"/>
        <v>1</v>
      </c>
    </row>
    <row r="294" spans="1:35" x14ac:dyDescent="0.2">
      <c r="A294">
        <v>72</v>
      </c>
      <c r="B294" t="s">
        <v>749</v>
      </c>
      <c r="C294">
        <v>9</v>
      </c>
      <c r="D294" t="s">
        <v>961</v>
      </c>
      <c r="E294" t="s">
        <v>20</v>
      </c>
      <c r="F294" t="s">
        <v>18</v>
      </c>
      <c r="G294" t="s">
        <v>18</v>
      </c>
      <c r="H294" t="s">
        <v>20</v>
      </c>
      <c r="I294">
        <v>3</v>
      </c>
      <c r="J294">
        <v>3</v>
      </c>
      <c r="K294" t="s">
        <v>962</v>
      </c>
      <c r="L294" t="s">
        <v>276</v>
      </c>
      <c r="M294" t="s">
        <v>48</v>
      </c>
      <c r="N294" t="s">
        <v>43</v>
      </c>
      <c r="O294" t="s">
        <v>963</v>
      </c>
      <c r="P294" t="s">
        <v>964</v>
      </c>
      <c r="Q294">
        <f t="shared" si="72"/>
        <v>2</v>
      </c>
      <c r="R294">
        <f t="shared" si="73"/>
        <v>4</v>
      </c>
      <c r="S294">
        <f t="shared" si="74"/>
        <v>4</v>
      </c>
      <c r="T294">
        <f t="shared" si="75"/>
        <v>2</v>
      </c>
      <c r="U294">
        <v>2000</v>
      </c>
      <c r="V294">
        <f t="shared" si="76"/>
        <v>1</v>
      </c>
      <c r="W294">
        <f t="shared" si="77"/>
        <v>1</v>
      </c>
      <c r="X294">
        <f t="shared" si="78"/>
        <v>0</v>
      </c>
      <c r="Y294">
        <f t="shared" si="79"/>
        <v>1</v>
      </c>
      <c r="Z294">
        <f t="shared" si="80"/>
        <v>1</v>
      </c>
      <c r="AA294">
        <f t="shared" si="81"/>
        <v>1</v>
      </c>
      <c r="AB294">
        <f t="shared" si="82"/>
        <v>1</v>
      </c>
      <c r="AC294">
        <f t="shared" si="83"/>
        <v>1</v>
      </c>
      <c r="AD294">
        <f t="shared" si="84"/>
        <v>0</v>
      </c>
      <c r="AE294">
        <f t="shared" si="85"/>
        <v>0</v>
      </c>
      <c r="AF294">
        <f t="shared" si="86"/>
        <v>1</v>
      </c>
      <c r="AG294">
        <f t="shared" si="87"/>
        <v>1</v>
      </c>
      <c r="AH294">
        <f t="shared" si="88"/>
        <v>0</v>
      </c>
      <c r="AI294">
        <f t="shared" si="89"/>
        <v>0</v>
      </c>
    </row>
    <row r="295" spans="1:35" x14ac:dyDescent="0.2">
      <c r="A295">
        <v>73</v>
      </c>
      <c r="B295" t="s">
        <v>749</v>
      </c>
      <c r="C295">
        <v>5</v>
      </c>
      <c r="D295" t="s">
        <v>965</v>
      </c>
      <c r="E295" t="s">
        <v>18</v>
      </c>
      <c r="F295" t="s">
        <v>19</v>
      </c>
      <c r="G295" t="s">
        <v>19</v>
      </c>
      <c r="H295" t="s">
        <v>18</v>
      </c>
      <c r="I295">
        <v>4</v>
      </c>
      <c r="J295">
        <v>4</v>
      </c>
      <c r="K295">
        <v>10000000</v>
      </c>
      <c r="L295" t="s">
        <v>276</v>
      </c>
      <c r="M295" t="s">
        <v>280</v>
      </c>
      <c r="N295" t="s">
        <v>43</v>
      </c>
      <c r="O295" t="s">
        <v>593</v>
      </c>
      <c r="P295" t="s">
        <v>966</v>
      </c>
      <c r="Q295">
        <f t="shared" si="72"/>
        <v>4</v>
      </c>
      <c r="R295">
        <f t="shared" si="73"/>
        <v>3</v>
      </c>
      <c r="S295">
        <f t="shared" si="74"/>
        <v>3</v>
      </c>
      <c r="T295">
        <f t="shared" si="75"/>
        <v>4</v>
      </c>
      <c r="U295">
        <v>10000000</v>
      </c>
      <c r="V295">
        <f t="shared" si="76"/>
        <v>1</v>
      </c>
      <c r="W295">
        <f t="shared" si="77"/>
        <v>1</v>
      </c>
      <c r="X295">
        <f t="shared" si="78"/>
        <v>0</v>
      </c>
      <c r="Y295">
        <f t="shared" si="79"/>
        <v>1</v>
      </c>
      <c r="Z295">
        <f t="shared" si="80"/>
        <v>1</v>
      </c>
      <c r="AA295">
        <f t="shared" si="81"/>
        <v>0</v>
      </c>
      <c r="AB295">
        <f t="shared" si="82"/>
        <v>1</v>
      </c>
      <c r="AC295">
        <f t="shared" si="83"/>
        <v>1</v>
      </c>
      <c r="AD295">
        <f t="shared" si="84"/>
        <v>1</v>
      </c>
      <c r="AE295">
        <f t="shared" si="85"/>
        <v>0</v>
      </c>
      <c r="AF295">
        <f t="shared" si="86"/>
        <v>1</v>
      </c>
      <c r="AG295">
        <f t="shared" si="87"/>
        <v>1</v>
      </c>
      <c r="AH295">
        <f t="shared" si="88"/>
        <v>0</v>
      </c>
      <c r="AI295">
        <f t="shared" si="89"/>
        <v>0</v>
      </c>
    </row>
    <row r="296" spans="1:35" x14ac:dyDescent="0.2">
      <c r="A296">
        <v>74</v>
      </c>
      <c r="B296" t="s">
        <v>749</v>
      </c>
      <c r="C296">
        <v>9</v>
      </c>
      <c r="D296" t="s">
        <v>967</v>
      </c>
      <c r="E296" t="s">
        <v>20</v>
      </c>
      <c r="F296" t="s">
        <v>18</v>
      </c>
      <c r="G296" t="s">
        <v>18</v>
      </c>
      <c r="H296" t="s">
        <v>20</v>
      </c>
      <c r="I296">
        <v>13</v>
      </c>
      <c r="J296">
        <v>14</v>
      </c>
      <c r="K296">
        <v>30000000</v>
      </c>
      <c r="L296" t="s">
        <v>230</v>
      </c>
      <c r="M296" t="s">
        <v>161</v>
      </c>
      <c r="N296" t="s">
        <v>36</v>
      </c>
      <c r="O296" t="s">
        <v>968</v>
      </c>
      <c r="P296" t="s">
        <v>969</v>
      </c>
      <c r="Q296">
        <f t="shared" si="72"/>
        <v>2</v>
      </c>
      <c r="R296">
        <f t="shared" si="73"/>
        <v>4</v>
      </c>
      <c r="S296">
        <f t="shared" si="74"/>
        <v>4</v>
      </c>
      <c r="T296">
        <f t="shared" si="75"/>
        <v>2</v>
      </c>
      <c r="U296">
        <v>30000000</v>
      </c>
      <c r="V296">
        <f t="shared" si="76"/>
        <v>1</v>
      </c>
      <c r="W296">
        <f t="shared" si="77"/>
        <v>1</v>
      </c>
      <c r="X296">
        <f t="shared" si="78"/>
        <v>1</v>
      </c>
      <c r="Y296">
        <f t="shared" si="79"/>
        <v>1</v>
      </c>
      <c r="Z296">
        <f t="shared" si="80"/>
        <v>1</v>
      </c>
      <c r="AA296">
        <f t="shared" si="81"/>
        <v>1</v>
      </c>
      <c r="AB296">
        <f t="shared" si="82"/>
        <v>1</v>
      </c>
      <c r="AC296">
        <f t="shared" si="83"/>
        <v>1</v>
      </c>
      <c r="AD296">
        <f t="shared" si="84"/>
        <v>1</v>
      </c>
      <c r="AE296">
        <f t="shared" si="85"/>
        <v>0</v>
      </c>
      <c r="AF296">
        <f t="shared" si="86"/>
        <v>0</v>
      </c>
      <c r="AG296">
        <f t="shared" si="87"/>
        <v>0</v>
      </c>
      <c r="AH296">
        <f t="shared" si="88"/>
        <v>0</v>
      </c>
      <c r="AI296">
        <f t="shared" si="89"/>
        <v>1</v>
      </c>
    </row>
    <row r="297" spans="1:35" x14ac:dyDescent="0.2">
      <c r="A297">
        <v>75</v>
      </c>
      <c r="B297" t="s">
        <v>749</v>
      </c>
      <c r="C297">
        <v>7</v>
      </c>
      <c r="D297" t="s">
        <v>970</v>
      </c>
      <c r="E297" t="s">
        <v>18</v>
      </c>
      <c r="F297" t="s">
        <v>19</v>
      </c>
      <c r="G297" t="s">
        <v>18</v>
      </c>
      <c r="H297" t="s">
        <v>20</v>
      </c>
      <c r="I297">
        <v>3</v>
      </c>
      <c r="J297">
        <v>4</v>
      </c>
      <c r="K297">
        <v>40</v>
      </c>
      <c r="L297" t="s">
        <v>75</v>
      </c>
      <c r="M297" t="s">
        <v>268</v>
      </c>
      <c r="N297" t="s">
        <v>84</v>
      </c>
      <c r="O297" t="s">
        <v>368</v>
      </c>
      <c r="P297" t="s">
        <v>971</v>
      </c>
      <c r="Q297">
        <f t="shared" si="72"/>
        <v>4</v>
      </c>
      <c r="R297">
        <f t="shared" si="73"/>
        <v>3</v>
      </c>
      <c r="S297">
        <f t="shared" si="74"/>
        <v>4</v>
      </c>
      <c r="T297">
        <f t="shared" si="75"/>
        <v>2</v>
      </c>
      <c r="U297">
        <v>40</v>
      </c>
      <c r="V297">
        <f t="shared" si="76"/>
        <v>0</v>
      </c>
      <c r="W297">
        <f t="shared" si="77"/>
        <v>0</v>
      </c>
      <c r="X297">
        <f t="shared" si="78"/>
        <v>1</v>
      </c>
      <c r="Y297">
        <f t="shared" si="79"/>
        <v>1</v>
      </c>
      <c r="Z297">
        <f t="shared" si="80"/>
        <v>0</v>
      </c>
      <c r="AA297">
        <f t="shared" si="81"/>
        <v>1</v>
      </c>
      <c r="AB297">
        <f t="shared" si="82"/>
        <v>1</v>
      </c>
      <c r="AC297">
        <f t="shared" si="83"/>
        <v>0</v>
      </c>
      <c r="AD297">
        <f t="shared" si="84"/>
        <v>1</v>
      </c>
      <c r="AE297">
        <f t="shared" si="85"/>
        <v>0</v>
      </c>
      <c r="AF297">
        <f t="shared" si="86"/>
        <v>0</v>
      </c>
      <c r="AG297">
        <f t="shared" si="87"/>
        <v>1</v>
      </c>
      <c r="AH297">
        <f t="shared" si="88"/>
        <v>0</v>
      </c>
      <c r="AI297">
        <f t="shared" si="89"/>
        <v>0</v>
      </c>
    </row>
    <row r="298" spans="1:35" x14ac:dyDescent="0.2">
      <c r="A298">
        <v>76</v>
      </c>
      <c r="B298" t="s">
        <v>749</v>
      </c>
      <c r="C298">
        <v>7</v>
      </c>
      <c r="D298" t="s">
        <v>972</v>
      </c>
      <c r="E298" t="s">
        <v>18</v>
      </c>
      <c r="F298" t="s">
        <v>19</v>
      </c>
      <c r="G298" t="s">
        <v>18</v>
      </c>
      <c r="H298" t="s">
        <v>20</v>
      </c>
      <c r="I298">
        <v>3</v>
      </c>
      <c r="J298">
        <v>3</v>
      </c>
      <c r="K298" t="s">
        <v>973</v>
      </c>
      <c r="L298" t="s">
        <v>194</v>
      </c>
      <c r="M298" t="s">
        <v>280</v>
      </c>
      <c r="N298" t="s">
        <v>36</v>
      </c>
      <c r="O298" t="s">
        <v>974</v>
      </c>
      <c r="P298" t="s">
        <v>975</v>
      </c>
      <c r="Q298">
        <f t="shared" si="72"/>
        <v>4</v>
      </c>
      <c r="R298">
        <f t="shared" si="73"/>
        <v>3</v>
      </c>
      <c r="S298">
        <f t="shared" si="74"/>
        <v>4</v>
      </c>
      <c r="T298">
        <f t="shared" si="75"/>
        <v>2</v>
      </c>
      <c r="U298">
        <v>10000</v>
      </c>
      <c r="V298">
        <f t="shared" si="76"/>
        <v>0</v>
      </c>
      <c r="W298">
        <f t="shared" si="77"/>
        <v>0</v>
      </c>
      <c r="X298">
        <f t="shared" si="78"/>
        <v>0</v>
      </c>
      <c r="Y298">
        <f t="shared" si="79"/>
        <v>1</v>
      </c>
      <c r="Z298">
        <f t="shared" si="80"/>
        <v>1</v>
      </c>
      <c r="AA298">
        <f t="shared" si="81"/>
        <v>0</v>
      </c>
      <c r="AB298">
        <f t="shared" si="82"/>
        <v>1</v>
      </c>
      <c r="AC298">
        <f t="shared" si="83"/>
        <v>1</v>
      </c>
      <c r="AD298">
        <f t="shared" si="84"/>
        <v>1</v>
      </c>
      <c r="AE298">
        <f t="shared" si="85"/>
        <v>0</v>
      </c>
      <c r="AF298">
        <f t="shared" si="86"/>
        <v>0</v>
      </c>
      <c r="AG298">
        <f t="shared" si="87"/>
        <v>0</v>
      </c>
      <c r="AH298">
        <f t="shared" si="88"/>
        <v>0</v>
      </c>
      <c r="AI298">
        <f t="shared" si="89"/>
        <v>1</v>
      </c>
    </row>
    <row r="299" spans="1:35" x14ac:dyDescent="0.2">
      <c r="A299">
        <v>77</v>
      </c>
      <c r="B299" t="s">
        <v>749</v>
      </c>
      <c r="C299">
        <v>8</v>
      </c>
      <c r="D299" t="s">
        <v>976</v>
      </c>
      <c r="E299" t="s">
        <v>18</v>
      </c>
      <c r="F299" t="s">
        <v>18</v>
      </c>
      <c r="G299" t="s">
        <v>39</v>
      </c>
      <c r="H299" t="s">
        <v>20</v>
      </c>
      <c r="I299">
        <v>4</v>
      </c>
      <c r="J299">
        <v>3</v>
      </c>
      <c r="K299">
        <v>100</v>
      </c>
      <c r="L299" t="s">
        <v>70</v>
      </c>
      <c r="M299" t="s">
        <v>23</v>
      </c>
      <c r="N299" t="s">
        <v>84</v>
      </c>
      <c r="O299" t="s">
        <v>977</v>
      </c>
      <c r="P299" t="s">
        <v>978</v>
      </c>
      <c r="Q299">
        <f t="shared" si="72"/>
        <v>4</v>
      </c>
      <c r="R299">
        <f t="shared" si="73"/>
        <v>4</v>
      </c>
      <c r="S299">
        <f t="shared" si="74"/>
        <v>5</v>
      </c>
      <c r="T299">
        <f t="shared" si="75"/>
        <v>2</v>
      </c>
      <c r="U299">
        <v>100</v>
      </c>
      <c r="V299">
        <f t="shared" si="76"/>
        <v>0</v>
      </c>
      <c r="W299">
        <f t="shared" si="77"/>
        <v>0</v>
      </c>
      <c r="X299">
        <f t="shared" si="78"/>
        <v>0</v>
      </c>
      <c r="Y299">
        <f t="shared" si="79"/>
        <v>1</v>
      </c>
      <c r="Z299">
        <f t="shared" si="80"/>
        <v>0</v>
      </c>
      <c r="AA299">
        <f t="shared" si="81"/>
        <v>1</v>
      </c>
      <c r="AB299">
        <f t="shared" si="82"/>
        <v>0</v>
      </c>
      <c r="AC299">
        <f t="shared" si="83"/>
        <v>0</v>
      </c>
      <c r="AD299">
        <f t="shared" si="84"/>
        <v>0</v>
      </c>
      <c r="AE299">
        <f t="shared" si="85"/>
        <v>0</v>
      </c>
      <c r="AF299">
        <f t="shared" si="86"/>
        <v>0</v>
      </c>
      <c r="AG299">
        <f t="shared" si="87"/>
        <v>1</v>
      </c>
      <c r="AH299">
        <f t="shared" si="88"/>
        <v>0</v>
      </c>
      <c r="AI299">
        <f t="shared" si="89"/>
        <v>0</v>
      </c>
    </row>
    <row r="300" spans="1:35" x14ac:dyDescent="0.2">
      <c r="A300">
        <v>78</v>
      </c>
      <c r="B300" t="s">
        <v>749</v>
      </c>
      <c r="C300">
        <v>9</v>
      </c>
      <c r="D300" t="s">
        <v>979</v>
      </c>
      <c r="E300" t="s">
        <v>39</v>
      </c>
      <c r="F300" t="s">
        <v>20</v>
      </c>
      <c r="G300" t="s">
        <v>20</v>
      </c>
      <c r="H300" t="s">
        <v>39</v>
      </c>
      <c r="I300">
        <v>5</v>
      </c>
      <c r="J300">
        <v>22</v>
      </c>
      <c r="K300" s="1">
        <v>100000</v>
      </c>
      <c r="L300" t="s">
        <v>714</v>
      </c>
      <c r="M300" t="s">
        <v>980</v>
      </c>
      <c r="N300" t="s">
        <v>622</v>
      </c>
      <c r="O300" t="s">
        <v>129</v>
      </c>
      <c r="P300" t="s">
        <v>981</v>
      </c>
      <c r="Q300">
        <f t="shared" si="72"/>
        <v>5</v>
      </c>
      <c r="R300">
        <f t="shared" si="73"/>
        <v>2</v>
      </c>
      <c r="S300">
        <f t="shared" si="74"/>
        <v>2</v>
      </c>
      <c r="T300">
        <f t="shared" si="75"/>
        <v>5</v>
      </c>
      <c r="U300">
        <v>100000</v>
      </c>
      <c r="V300">
        <f t="shared" si="76"/>
        <v>0</v>
      </c>
      <c r="W300">
        <f t="shared" si="77"/>
        <v>0</v>
      </c>
      <c r="X300">
        <f t="shared" si="78"/>
        <v>1</v>
      </c>
      <c r="Y300">
        <f t="shared" si="79"/>
        <v>1</v>
      </c>
      <c r="Z300">
        <f t="shared" si="80"/>
        <v>1</v>
      </c>
      <c r="AA300">
        <f t="shared" si="81"/>
        <v>1</v>
      </c>
      <c r="AB300">
        <f t="shared" si="82"/>
        <v>0</v>
      </c>
      <c r="AC300">
        <f t="shared" si="83"/>
        <v>1</v>
      </c>
      <c r="AD300">
        <f t="shared" si="84"/>
        <v>1</v>
      </c>
      <c r="AE300">
        <f t="shared" si="85"/>
        <v>0</v>
      </c>
      <c r="AF300">
        <f t="shared" si="86"/>
        <v>0</v>
      </c>
      <c r="AG300">
        <f t="shared" si="87"/>
        <v>1</v>
      </c>
      <c r="AH300">
        <f t="shared" si="88"/>
        <v>0</v>
      </c>
      <c r="AI300">
        <f t="shared" si="89"/>
        <v>1</v>
      </c>
    </row>
    <row r="301" spans="1:35" x14ac:dyDescent="0.2">
      <c r="A301">
        <v>79</v>
      </c>
      <c r="B301" t="s">
        <v>749</v>
      </c>
      <c r="C301">
        <v>5</v>
      </c>
      <c r="D301" t="s">
        <v>982</v>
      </c>
      <c r="E301" t="s">
        <v>20</v>
      </c>
      <c r="F301" t="s">
        <v>18</v>
      </c>
      <c r="G301" t="s">
        <v>18</v>
      </c>
      <c r="H301" t="s">
        <v>20</v>
      </c>
      <c r="I301">
        <v>5</v>
      </c>
      <c r="J301">
        <v>20</v>
      </c>
      <c r="K301" t="s">
        <v>301</v>
      </c>
      <c r="L301" t="s">
        <v>70</v>
      </c>
      <c r="M301" t="s">
        <v>115</v>
      </c>
      <c r="N301" t="s">
        <v>84</v>
      </c>
      <c r="O301" t="s">
        <v>983</v>
      </c>
      <c r="P301" t="s">
        <v>984</v>
      </c>
      <c r="Q301">
        <f t="shared" si="72"/>
        <v>2</v>
      </c>
      <c r="R301">
        <f t="shared" si="73"/>
        <v>4</v>
      </c>
      <c r="S301">
        <f t="shared" si="74"/>
        <v>4</v>
      </c>
      <c r="T301">
        <f t="shared" si="75"/>
        <v>2</v>
      </c>
      <c r="U301">
        <v>1000000</v>
      </c>
      <c r="V301">
        <f t="shared" si="76"/>
        <v>0</v>
      </c>
      <c r="W301">
        <f t="shared" si="77"/>
        <v>0</v>
      </c>
      <c r="X301">
        <f t="shared" si="78"/>
        <v>0</v>
      </c>
      <c r="Y301">
        <f t="shared" si="79"/>
        <v>1</v>
      </c>
      <c r="Z301">
        <f t="shared" si="80"/>
        <v>0</v>
      </c>
      <c r="AA301">
        <f t="shared" si="81"/>
        <v>0</v>
      </c>
      <c r="AB301">
        <f t="shared" si="82"/>
        <v>0</v>
      </c>
      <c r="AC301">
        <f t="shared" si="83"/>
        <v>1</v>
      </c>
      <c r="AD301">
        <f t="shared" si="84"/>
        <v>0</v>
      </c>
      <c r="AE301">
        <f t="shared" si="85"/>
        <v>0</v>
      </c>
      <c r="AF301">
        <f t="shared" si="86"/>
        <v>0</v>
      </c>
      <c r="AG301">
        <f t="shared" si="87"/>
        <v>1</v>
      </c>
      <c r="AH301">
        <f t="shared" si="88"/>
        <v>0</v>
      </c>
      <c r="AI301">
        <f t="shared" si="89"/>
        <v>0</v>
      </c>
    </row>
    <row r="302" spans="1:35" ht="187" x14ac:dyDescent="0.2">
      <c r="A302">
        <v>80</v>
      </c>
      <c r="B302" t="s">
        <v>749</v>
      </c>
      <c r="C302">
        <v>5</v>
      </c>
      <c r="D302" s="3" t="s">
        <v>985</v>
      </c>
      <c r="E302" t="s">
        <v>21</v>
      </c>
      <c r="F302" t="s">
        <v>39</v>
      </c>
      <c r="G302" t="s">
        <v>39</v>
      </c>
      <c r="H302" t="s">
        <v>21</v>
      </c>
      <c r="I302">
        <v>3</v>
      </c>
      <c r="J302">
        <v>2</v>
      </c>
      <c r="K302" s="1">
        <v>1000</v>
      </c>
      <c r="L302" t="s">
        <v>230</v>
      </c>
      <c r="M302" t="s">
        <v>468</v>
      </c>
      <c r="N302" t="s">
        <v>43</v>
      </c>
      <c r="O302" t="s">
        <v>986</v>
      </c>
      <c r="P302" s="3" t="s">
        <v>987</v>
      </c>
      <c r="Q302">
        <f t="shared" si="72"/>
        <v>1</v>
      </c>
      <c r="R302">
        <f t="shared" si="73"/>
        <v>5</v>
      </c>
      <c r="S302">
        <f t="shared" si="74"/>
        <v>5</v>
      </c>
      <c r="T302">
        <f t="shared" si="75"/>
        <v>1</v>
      </c>
      <c r="U302">
        <v>1000</v>
      </c>
      <c r="V302">
        <f t="shared" si="76"/>
        <v>1</v>
      </c>
      <c r="W302">
        <f t="shared" si="77"/>
        <v>1</v>
      </c>
      <c r="X302">
        <f t="shared" si="78"/>
        <v>1</v>
      </c>
      <c r="Y302">
        <f t="shared" si="79"/>
        <v>1</v>
      </c>
      <c r="Z302">
        <f t="shared" si="80"/>
        <v>1</v>
      </c>
      <c r="AA302">
        <f t="shared" si="81"/>
        <v>1</v>
      </c>
      <c r="AB302">
        <f t="shared" si="82"/>
        <v>1</v>
      </c>
      <c r="AC302">
        <f t="shared" si="83"/>
        <v>1</v>
      </c>
      <c r="AD302">
        <f t="shared" si="84"/>
        <v>1</v>
      </c>
      <c r="AE302">
        <f t="shared" si="85"/>
        <v>1</v>
      </c>
      <c r="AF302">
        <f t="shared" si="86"/>
        <v>1</v>
      </c>
      <c r="AG302">
        <f t="shared" si="87"/>
        <v>1</v>
      </c>
      <c r="AH302">
        <f t="shared" si="88"/>
        <v>0</v>
      </c>
      <c r="AI302">
        <f t="shared" si="89"/>
        <v>0</v>
      </c>
    </row>
    <row r="303" spans="1:35" x14ac:dyDescent="0.2">
      <c r="A303">
        <v>81</v>
      </c>
      <c r="B303" t="s">
        <v>749</v>
      </c>
      <c r="C303">
        <v>8</v>
      </c>
      <c r="D303" t="s">
        <v>988</v>
      </c>
      <c r="E303" t="s">
        <v>39</v>
      </c>
      <c r="F303" t="s">
        <v>18</v>
      </c>
      <c r="G303" t="s">
        <v>39</v>
      </c>
      <c r="H303" t="s">
        <v>21</v>
      </c>
      <c r="I303">
        <v>2</v>
      </c>
      <c r="J303">
        <v>3</v>
      </c>
      <c r="K303" t="s">
        <v>989</v>
      </c>
      <c r="L303" t="s">
        <v>194</v>
      </c>
      <c r="M303" t="s">
        <v>23</v>
      </c>
      <c r="N303" t="s">
        <v>651</v>
      </c>
      <c r="O303" t="s">
        <v>990</v>
      </c>
      <c r="P303" t="s">
        <v>991</v>
      </c>
      <c r="Q303">
        <f t="shared" si="72"/>
        <v>5</v>
      </c>
      <c r="R303">
        <f t="shared" si="73"/>
        <v>4</v>
      </c>
      <c r="S303">
        <f t="shared" si="74"/>
        <v>5</v>
      </c>
      <c r="T303">
        <f t="shared" si="75"/>
        <v>1</v>
      </c>
      <c r="U303">
        <v>500</v>
      </c>
      <c r="V303">
        <f t="shared" si="76"/>
        <v>0</v>
      </c>
      <c r="W303">
        <f t="shared" si="77"/>
        <v>0</v>
      </c>
      <c r="X303">
        <f t="shared" si="78"/>
        <v>0</v>
      </c>
      <c r="Y303">
        <f t="shared" si="79"/>
        <v>1</v>
      </c>
      <c r="Z303">
        <f t="shared" si="80"/>
        <v>1</v>
      </c>
      <c r="AA303">
        <f t="shared" si="81"/>
        <v>1</v>
      </c>
      <c r="AB303">
        <f t="shared" si="82"/>
        <v>0</v>
      </c>
      <c r="AC303">
        <f t="shared" si="83"/>
        <v>0</v>
      </c>
      <c r="AD303">
        <f t="shared" si="84"/>
        <v>0</v>
      </c>
      <c r="AE303">
        <f t="shared" si="85"/>
        <v>0</v>
      </c>
      <c r="AF303">
        <f t="shared" si="86"/>
        <v>1</v>
      </c>
      <c r="AG303">
        <f t="shared" si="87"/>
        <v>0</v>
      </c>
      <c r="AH303">
        <f t="shared" si="88"/>
        <v>1</v>
      </c>
      <c r="AI303">
        <f t="shared" si="89"/>
        <v>0</v>
      </c>
    </row>
    <row r="304" spans="1:35" ht="409.6" x14ac:dyDescent="0.2">
      <c r="A304">
        <v>82</v>
      </c>
      <c r="B304" t="s">
        <v>749</v>
      </c>
      <c r="C304">
        <v>9</v>
      </c>
      <c r="D304" t="s">
        <v>992</v>
      </c>
      <c r="E304" t="s">
        <v>19</v>
      </c>
      <c r="F304" t="s">
        <v>39</v>
      </c>
      <c r="G304" t="s">
        <v>18</v>
      </c>
      <c r="H304" t="s">
        <v>20</v>
      </c>
      <c r="I304">
        <v>4</v>
      </c>
      <c r="J304">
        <v>3</v>
      </c>
      <c r="K304">
        <v>500</v>
      </c>
      <c r="L304" t="s">
        <v>70</v>
      </c>
      <c r="M304" t="s">
        <v>23</v>
      </c>
      <c r="N304" t="s">
        <v>84</v>
      </c>
      <c r="O304" t="s">
        <v>993</v>
      </c>
      <c r="P304" s="3" t="s">
        <v>994</v>
      </c>
      <c r="Q304">
        <f t="shared" si="72"/>
        <v>3</v>
      </c>
      <c r="R304">
        <f t="shared" si="73"/>
        <v>5</v>
      </c>
      <c r="S304">
        <f t="shared" si="74"/>
        <v>4</v>
      </c>
      <c r="T304">
        <f t="shared" si="75"/>
        <v>2</v>
      </c>
      <c r="U304">
        <v>500</v>
      </c>
      <c r="V304">
        <f t="shared" si="76"/>
        <v>0</v>
      </c>
      <c r="W304">
        <f t="shared" si="77"/>
        <v>0</v>
      </c>
      <c r="X304">
        <f t="shared" si="78"/>
        <v>0</v>
      </c>
      <c r="Y304">
        <f t="shared" si="79"/>
        <v>1</v>
      </c>
      <c r="Z304">
        <f t="shared" si="80"/>
        <v>0</v>
      </c>
      <c r="AA304">
        <f t="shared" si="81"/>
        <v>1</v>
      </c>
      <c r="AB304">
        <f t="shared" si="82"/>
        <v>0</v>
      </c>
      <c r="AC304">
        <f t="shared" si="83"/>
        <v>0</v>
      </c>
      <c r="AD304">
        <f t="shared" si="84"/>
        <v>0</v>
      </c>
      <c r="AE304">
        <f t="shared" si="85"/>
        <v>0</v>
      </c>
      <c r="AF304">
        <f t="shared" si="86"/>
        <v>0</v>
      </c>
      <c r="AG304">
        <f t="shared" si="87"/>
        <v>1</v>
      </c>
      <c r="AH304">
        <f t="shared" si="88"/>
        <v>0</v>
      </c>
      <c r="AI304">
        <f t="shared" si="89"/>
        <v>0</v>
      </c>
    </row>
    <row r="305" spans="1:35" x14ac:dyDescent="0.2">
      <c r="A305">
        <v>83</v>
      </c>
      <c r="B305" t="s">
        <v>749</v>
      </c>
      <c r="C305">
        <v>10</v>
      </c>
      <c r="D305" t="s">
        <v>995</v>
      </c>
      <c r="E305" t="s">
        <v>18</v>
      </c>
      <c r="F305" t="s">
        <v>19</v>
      </c>
      <c r="G305" t="s">
        <v>19</v>
      </c>
      <c r="H305" t="s">
        <v>19</v>
      </c>
      <c r="I305">
        <v>2</v>
      </c>
      <c r="J305">
        <v>2</v>
      </c>
      <c r="K305" s="2">
        <v>1000000</v>
      </c>
      <c r="L305" t="s">
        <v>194</v>
      </c>
      <c r="M305" t="s">
        <v>23</v>
      </c>
      <c r="N305" t="s">
        <v>651</v>
      </c>
      <c r="O305" t="s">
        <v>977</v>
      </c>
      <c r="P305" t="s">
        <v>996</v>
      </c>
      <c r="Q305">
        <f t="shared" si="72"/>
        <v>4</v>
      </c>
      <c r="R305">
        <f t="shared" si="73"/>
        <v>3</v>
      </c>
      <c r="S305">
        <f t="shared" si="74"/>
        <v>3</v>
      </c>
      <c r="T305">
        <f t="shared" si="75"/>
        <v>3</v>
      </c>
      <c r="U305">
        <v>1000000</v>
      </c>
      <c r="V305">
        <f t="shared" si="76"/>
        <v>0</v>
      </c>
      <c r="W305">
        <f t="shared" si="77"/>
        <v>0</v>
      </c>
      <c r="X305">
        <f t="shared" si="78"/>
        <v>0</v>
      </c>
      <c r="Y305">
        <f t="shared" si="79"/>
        <v>1</v>
      </c>
      <c r="Z305">
        <f t="shared" si="80"/>
        <v>1</v>
      </c>
      <c r="AA305">
        <f t="shared" si="81"/>
        <v>1</v>
      </c>
      <c r="AB305">
        <f t="shared" si="82"/>
        <v>0</v>
      </c>
      <c r="AC305">
        <f t="shared" si="83"/>
        <v>0</v>
      </c>
      <c r="AD305">
        <f t="shared" si="84"/>
        <v>0</v>
      </c>
      <c r="AE305">
        <f t="shared" si="85"/>
        <v>0</v>
      </c>
      <c r="AF305">
        <f t="shared" si="86"/>
        <v>1</v>
      </c>
      <c r="AG305">
        <f t="shared" si="87"/>
        <v>0</v>
      </c>
      <c r="AH305">
        <f t="shared" si="88"/>
        <v>1</v>
      </c>
      <c r="AI305">
        <f t="shared" si="89"/>
        <v>0</v>
      </c>
    </row>
    <row r="306" spans="1:35" x14ac:dyDescent="0.2">
      <c r="A306">
        <v>84</v>
      </c>
      <c r="B306" t="s">
        <v>749</v>
      </c>
      <c r="C306">
        <v>7</v>
      </c>
      <c r="D306" t="s">
        <v>997</v>
      </c>
      <c r="E306" t="s">
        <v>19</v>
      </c>
      <c r="F306" t="s">
        <v>20</v>
      </c>
      <c r="G306" t="s">
        <v>18</v>
      </c>
      <c r="H306" t="s">
        <v>20</v>
      </c>
      <c r="I306">
        <v>2</v>
      </c>
      <c r="J306">
        <v>2</v>
      </c>
      <c r="K306">
        <v>100</v>
      </c>
      <c r="L306" t="s">
        <v>98</v>
      </c>
      <c r="M306" t="s">
        <v>99</v>
      </c>
      <c r="N306" t="s">
        <v>147</v>
      </c>
      <c r="O306" t="s">
        <v>817</v>
      </c>
      <c r="P306" t="s">
        <v>998</v>
      </c>
      <c r="Q306">
        <f t="shared" si="72"/>
        <v>3</v>
      </c>
      <c r="R306">
        <f t="shared" si="73"/>
        <v>2</v>
      </c>
      <c r="S306">
        <f t="shared" si="74"/>
        <v>4</v>
      </c>
      <c r="T306">
        <f t="shared" si="75"/>
        <v>2</v>
      </c>
      <c r="U306">
        <v>100</v>
      </c>
      <c r="V306">
        <f t="shared" si="76"/>
        <v>0</v>
      </c>
      <c r="W306">
        <f t="shared" si="77"/>
        <v>1</v>
      </c>
      <c r="X306">
        <f t="shared" si="78"/>
        <v>0</v>
      </c>
      <c r="Y306">
        <f t="shared" si="79"/>
        <v>0</v>
      </c>
      <c r="Z306">
        <f t="shared" si="80"/>
        <v>0</v>
      </c>
      <c r="AA306">
        <f t="shared" si="81"/>
        <v>1</v>
      </c>
      <c r="AB306">
        <f t="shared" si="82"/>
        <v>0</v>
      </c>
      <c r="AC306">
        <f t="shared" si="83"/>
        <v>0</v>
      </c>
      <c r="AD306">
        <f t="shared" si="84"/>
        <v>0</v>
      </c>
      <c r="AE306">
        <f t="shared" si="85"/>
        <v>1</v>
      </c>
      <c r="AF306">
        <f t="shared" si="86"/>
        <v>0</v>
      </c>
      <c r="AG306">
        <f t="shared" si="87"/>
        <v>0</v>
      </c>
      <c r="AH306">
        <f t="shared" si="88"/>
        <v>1</v>
      </c>
      <c r="AI306">
        <f t="shared" si="89"/>
        <v>1</v>
      </c>
    </row>
    <row r="307" spans="1:35" x14ac:dyDescent="0.2">
      <c r="A307">
        <v>85</v>
      </c>
      <c r="B307" t="s">
        <v>749</v>
      </c>
      <c r="C307">
        <v>8</v>
      </c>
      <c r="D307" t="s">
        <v>999</v>
      </c>
      <c r="E307" t="s">
        <v>20</v>
      </c>
      <c r="F307" t="s">
        <v>18</v>
      </c>
      <c r="G307" t="s">
        <v>21</v>
      </c>
      <c r="H307" t="s">
        <v>19</v>
      </c>
      <c r="I307">
        <v>2</v>
      </c>
      <c r="J307">
        <v>2</v>
      </c>
      <c r="K307">
        <v>8000</v>
      </c>
      <c r="L307" t="s">
        <v>562</v>
      </c>
      <c r="M307" t="s">
        <v>42</v>
      </c>
      <c r="N307" t="s">
        <v>622</v>
      </c>
      <c r="O307" t="s">
        <v>1000</v>
      </c>
      <c r="P307" t="s">
        <v>1001</v>
      </c>
      <c r="Q307">
        <f t="shared" si="72"/>
        <v>2</v>
      </c>
      <c r="R307">
        <f t="shared" si="73"/>
        <v>4</v>
      </c>
      <c r="S307">
        <f t="shared" si="74"/>
        <v>1</v>
      </c>
      <c r="T307">
        <f t="shared" si="75"/>
        <v>3</v>
      </c>
      <c r="U307">
        <v>8000</v>
      </c>
      <c r="V307">
        <f t="shared" si="76"/>
        <v>0</v>
      </c>
      <c r="W307">
        <f t="shared" si="77"/>
        <v>1</v>
      </c>
      <c r="X307">
        <f t="shared" si="78"/>
        <v>1</v>
      </c>
      <c r="Y307">
        <f t="shared" si="79"/>
        <v>0</v>
      </c>
      <c r="Z307">
        <f t="shared" si="80"/>
        <v>1</v>
      </c>
      <c r="AA307">
        <f t="shared" si="81"/>
        <v>0</v>
      </c>
      <c r="AB307">
        <f t="shared" si="82"/>
        <v>1</v>
      </c>
      <c r="AC307">
        <f t="shared" si="83"/>
        <v>0</v>
      </c>
      <c r="AD307">
        <f t="shared" si="84"/>
        <v>0</v>
      </c>
      <c r="AE307">
        <f t="shared" si="85"/>
        <v>0</v>
      </c>
      <c r="AF307">
        <f t="shared" si="86"/>
        <v>0</v>
      </c>
      <c r="AG307">
        <f t="shared" si="87"/>
        <v>1</v>
      </c>
      <c r="AH307">
        <f t="shared" si="88"/>
        <v>0</v>
      </c>
      <c r="AI307">
        <f t="shared" si="89"/>
        <v>1</v>
      </c>
    </row>
    <row r="308" spans="1:35" ht="356" x14ac:dyDescent="0.2">
      <c r="A308">
        <v>86</v>
      </c>
      <c r="B308" t="s">
        <v>749</v>
      </c>
      <c r="C308">
        <v>7</v>
      </c>
      <c r="D308" t="s">
        <v>1002</v>
      </c>
      <c r="E308" t="s">
        <v>19</v>
      </c>
      <c r="F308" t="s">
        <v>18</v>
      </c>
      <c r="G308" t="s">
        <v>18</v>
      </c>
      <c r="H308" t="s">
        <v>20</v>
      </c>
      <c r="I308">
        <v>4</v>
      </c>
      <c r="J308">
        <v>5</v>
      </c>
      <c r="K308">
        <v>100000</v>
      </c>
      <c r="L308" t="s">
        <v>70</v>
      </c>
      <c r="M308" t="s">
        <v>123</v>
      </c>
      <c r="N308" t="s">
        <v>215</v>
      </c>
      <c r="O308" s="3" t="s">
        <v>1003</v>
      </c>
      <c r="P308" t="s">
        <v>1004</v>
      </c>
      <c r="Q308">
        <f t="shared" si="72"/>
        <v>3</v>
      </c>
      <c r="R308">
        <f t="shared" si="73"/>
        <v>4</v>
      </c>
      <c r="S308">
        <f t="shared" si="74"/>
        <v>4</v>
      </c>
      <c r="T308">
        <f t="shared" si="75"/>
        <v>2</v>
      </c>
      <c r="U308">
        <v>100000</v>
      </c>
      <c r="V308">
        <f t="shared" si="76"/>
        <v>0</v>
      </c>
      <c r="W308">
        <f t="shared" si="77"/>
        <v>0</v>
      </c>
      <c r="X308">
        <f t="shared" si="78"/>
        <v>0</v>
      </c>
      <c r="Y308">
        <f t="shared" si="79"/>
        <v>1</v>
      </c>
      <c r="Z308">
        <f t="shared" si="80"/>
        <v>0</v>
      </c>
      <c r="AA308">
        <f t="shared" si="81"/>
        <v>0</v>
      </c>
      <c r="AB308">
        <f t="shared" si="82"/>
        <v>1</v>
      </c>
      <c r="AC308">
        <f t="shared" si="83"/>
        <v>1</v>
      </c>
      <c r="AD308">
        <f t="shared" si="84"/>
        <v>0</v>
      </c>
      <c r="AE308">
        <f t="shared" si="85"/>
        <v>0</v>
      </c>
      <c r="AF308">
        <f t="shared" si="86"/>
        <v>1</v>
      </c>
      <c r="AG308">
        <f t="shared" si="87"/>
        <v>0</v>
      </c>
      <c r="AH308">
        <f t="shared" si="88"/>
        <v>0</v>
      </c>
      <c r="AI308">
        <f t="shared" si="89"/>
        <v>0</v>
      </c>
    </row>
    <row r="309" spans="1:35" x14ac:dyDescent="0.2">
      <c r="A309">
        <v>87</v>
      </c>
      <c r="B309" t="s">
        <v>749</v>
      </c>
      <c r="C309">
        <v>10</v>
      </c>
      <c r="D309" t="s">
        <v>1005</v>
      </c>
      <c r="E309" t="s">
        <v>21</v>
      </c>
      <c r="F309" t="s">
        <v>18</v>
      </c>
      <c r="G309" t="s">
        <v>18</v>
      </c>
      <c r="H309" t="s">
        <v>20</v>
      </c>
      <c r="I309">
        <v>3</v>
      </c>
      <c r="J309">
        <v>3</v>
      </c>
      <c r="K309">
        <v>200000</v>
      </c>
      <c r="L309" t="s">
        <v>98</v>
      </c>
      <c r="M309" t="s">
        <v>42</v>
      </c>
      <c r="N309" t="s">
        <v>36</v>
      </c>
      <c r="O309" t="s">
        <v>955</v>
      </c>
      <c r="P309" t="s">
        <v>1006</v>
      </c>
      <c r="Q309">
        <f t="shared" si="72"/>
        <v>1</v>
      </c>
      <c r="R309">
        <f t="shared" si="73"/>
        <v>4</v>
      </c>
      <c r="S309">
        <f t="shared" si="74"/>
        <v>4</v>
      </c>
      <c r="T309">
        <f t="shared" si="75"/>
        <v>2</v>
      </c>
      <c r="U309">
        <v>200000</v>
      </c>
      <c r="V309">
        <f t="shared" si="76"/>
        <v>0</v>
      </c>
      <c r="W309">
        <f t="shared" si="77"/>
        <v>1</v>
      </c>
      <c r="X309">
        <f t="shared" si="78"/>
        <v>0</v>
      </c>
      <c r="Y309">
        <f t="shared" si="79"/>
        <v>0</v>
      </c>
      <c r="Z309">
        <f t="shared" si="80"/>
        <v>0</v>
      </c>
      <c r="AA309">
        <f t="shared" si="81"/>
        <v>0</v>
      </c>
      <c r="AB309">
        <f t="shared" si="82"/>
        <v>1</v>
      </c>
      <c r="AC309">
        <f t="shared" si="83"/>
        <v>0</v>
      </c>
      <c r="AD309">
        <f t="shared" si="84"/>
        <v>0</v>
      </c>
      <c r="AE309">
        <f t="shared" si="85"/>
        <v>0</v>
      </c>
      <c r="AF309">
        <f t="shared" si="86"/>
        <v>0</v>
      </c>
      <c r="AG309">
        <f t="shared" si="87"/>
        <v>0</v>
      </c>
      <c r="AH309">
        <f t="shared" si="88"/>
        <v>0</v>
      </c>
      <c r="AI309">
        <f t="shared" si="89"/>
        <v>1</v>
      </c>
    </row>
    <row r="310" spans="1:35" x14ac:dyDescent="0.2">
      <c r="A310">
        <v>88</v>
      </c>
      <c r="B310" t="s">
        <v>749</v>
      </c>
      <c r="C310">
        <v>9</v>
      </c>
      <c r="D310" t="s">
        <v>1007</v>
      </c>
      <c r="E310" t="s">
        <v>39</v>
      </c>
      <c r="F310" t="s">
        <v>21</v>
      </c>
      <c r="G310" t="s">
        <v>21</v>
      </c>
      <c r="H310" t="s">
        <v>39</v>
      </c>
      <c r="I310">
        <v>3</v>
      </c>
      <c r="J310">
        <v>3</v>
      </c>
      <c r="K310">
        <v>0</v>
      </c>
      <c r="L310" t="s">
        <v>70</v>
      </c>
      <c r="M310" t="s">
        <v>115</v>
      </c>
      <c r="N310" t="s">
        <v>36</v>
      </c>
      <c r="O310" t="s">
        <v>1008</v>
      </c>
      <c r="P310" t="s">
        <v>1009</v>
      </c>
      <c r="Q310">
        <f t="shared" si="72"/>
        <v>5</v>
      </c>
      <c r="R310">
        <f t="shared" si="73"/>
        <v>1</v>
      </c>
      <c r="S310">
        <f t="shared" si="74"/>
        <v>1</v>
      </c>
      <c r="T310">
        <f t="shared" si="75"/>
        <v>5</v>
      </c>
      <c r="U310">
        <v>0</v>
      </c>
      <c r="V310">
        <f t="shared" si="76"/>
        <v>0</v>
      </c>
      <c r="W310">
        <f t="shared" si="77"/>
        <v>0</v>
      </c>
      <c r="X310">
        <f t="shared" si="78"/>
        <v>0</v>
      </c>
      <c r="Y310">
        <f t="shared" si="79"/>
        <v>1</v>
      </c>
      <c r="Z310">
        <f t="shared" si="80"/>
        <v>0</v>
      </c>
      <c r="AA310">
        <f t="shared" si="81"/>
        <v>0</v>
      </c>
      <c r="AB310">
        <f t="shared" si="82"/>
        <v>0</v>
      </c>
      <c r="AC310">
        <f t="shared" si="83"/>
        <v>1</v>
      </c>
      <c r="AD310">
        <f t="shared" si="84"/>
        <v>0</v>
      </c>
      <c r="AE310">
        <f t="shared" si="85"/>
        <v>0</v>
      </c>
      <c r="AF310">
        <f t="shared" si="86"/>
        <v>0</v>
      </c>
      <c r="AG310">
        <f t="shared" si="87"/>
        <v>0</v>
      </c>
      <c r="AH310">
        <f t="shared" si="88"/>
        <v>0</v>
      </c>
      <c r="AI310">
        <f t="shared" si="89"/>
        <v>1</v>
      </c>
    </row>
    <row r="311" spans="1:35" x14ac:dyDescent="0.2">
      <c r="A311">
        <v>89</v>
      </c>
      <c r="B311" t="s">
        <v>749</v>
      </c>
      <c r="C311">
        <v>9</v>
      </c>
      <c r="D311" t="s">
        <v>1010</v>
      </c>
      <c r="E311" t="s">
        <v>19</v>
      </c>
      <c r="F311" t="s">
        <v>39</v>
      </c>
      <c r="G311" t="s">
        <v>18</v>
      </c>
      <c r="H311" t="s">
        <v>20</v>
      </c>
      <c r="I311">
        <v>3</v>
      </c>
      <c r="J311">
        <v>3</v>
      </c>
      <c r="K311" s="2">
        <v>10000000</v>
      </c>
      <c r="L311" t="s">
        <v>70</v>
      </c>
      <c r="M311" t="s">
        <v>123</v>
      </c>
      <c r="N311" t="s">
        <v>84</v>
      </c>
      <c r="O311" t="s">
        <v>1011</v>
      </c>
      <c r="P311" t="s">
        <v>1012</v>
      </c>
      <c r="Q311">
        <f t="shared" si="72"/>
        <v>3</v>
      </c>
      <c r="R311">
        <f t="shared" si="73"/>
        <v>5</v>
      </c>
      <c r="S311">
        <f t="shared" si="74"/>
        <v>4</v>
      </c>
      <c r="T311">
        <f t="shared" si="75"/>
        <v>2</v>
      </c>
      <c r="U311">
        <v>10000000</v>
      </c>
      <c r="V311">
        <f t="shared" si="76"/>
        <v>0</v>
      </c>
      <c r="W311">
        <f t="shared" si="77"/>
        <v>0</v>
      </c>
      <c r="X311">
        <f t="shared" si="78"/>
        <v>0</v>
      </c>
      <c r="Y311">
        <f t="shared" si="79"/>
        <v>1</v>
      </c>
      <c r="Z311">
        <f t="shared" si="80"/>
        <v>0</v>
      </c>
      <c r="AA311">
        <f t="shared" si="81"/>
        <v>0</v>
      </c>
      <c r="AB311">
        <f t="shared" si="82"/>
        <v>1</v>
      </c>
      <c r="AC311">
        <f t="shared" si="83"/>
        <v>1</v>
      </c>
      <c r="AD311">
        <f t="shared" si="84"/>
        <v>0</v>
      </c>
      <c r="AE311">
        <f t="shared" si="85"/>
        <v>0</v>
      </c>
      <c r="AF311">
        <f t="shared" si="86"/>
        <v>0</v>
      </c>
      <c r="AG311">
        <f t="shared" si="87"/>
        <v>1</v>
      </c>
      <c r="AH311">
        <f t="shared" si="88"/>
        <v>0</v>
      </c>
      <c r="AI311">
        <f t="shared" si="89"/>
        <v>0</v>
      </c>
    </row>
    <row r="312" spans="1:35" x14ac:dyDescent="0.2">
      <c r="A312">
        <v>90</v>
      </c>
      <c r="B312" t="s">
        <v>749</v>
      </c>
      <c r="C312">
        <v>6</v>
      </c>
      <c r="D312" t="s">
        <v>1013</v>
      </c>
      <c r="E312" t="s">
        <v>20</v>
      </c>
      <c r="F312" t="s">
        <v>18</v>
      </c>
      <c r="G312" t="s">
        <v>18</v>
      </c>
      <c r="H312" t="s">
        <v>20</v>
      </c>
      <c r="I312">
        <v>3</v>
      </c>
      <c r="J312">
        <v>2</v>
      </c>
      <c r="K312">
        <v>75</v>
      </c>
      <c r="L312" t="s">
        <v>601</v>
      </c>
      <c r="M312" t="s">
        <v>161</v>
      </c>
      <c r="N312" t="s">
        <v>36</v>
      </c>
      <c r="O312" t="s">
        <v>1014</v>
      </c>
      <c r="P312" t="s">
        <v>1015</v>
      </c>
      <c r="Q312">
        <f t="shared" si="72"/>
        <v>2</v>
      </c>
      <c r="R312">
        <f t="shared" si="73"/>
        <v>4</v>
      </c>
      <c r="S312">
        <f t="shared" si="74"/>
        <v>4</v>
      </c>
      <c r="T312">
        <f t="shared" si="75"/>
        <v>2</v>
      </c>
      <c r="U312">
        <v>75</v>
      </c>
      <c r="V312">
        <f t="shared" si="76"/>
        <v>0</v>
      </c>
      <c r="W312">
        <f t="shared" si="77"/>
        <v>1</v>
      </c>
      <c r="X312">
        <f t="shared" si="78"/>
        <v>0</v>
      </c>
      <c r="Y312">
        <f t="shared" si="79"/>
        <v>1</v>
      </c>
      <c r="Z312">
        <f t="shared" si="80"/>
        <v>1</v>
      </c>
      <c r="AA312">
        <f t="shared" si="81"/>
        <v>1</v>
      </c>
      <c r="AB312">
        <f t="shared" si="82"/>
        <v>1</v>
      </c>
      <c r="AC312">
        <f t="shared" si="83"/>
        <v>1</v>
      </c>
      <c r="AD312">
        <f t="shared" si="84"/>
        <v>1</v>
      </c>
      <c r="AE312">
        <f t="shared" si="85"/>
        <v>0</v>
      </c>
      <c r="AF312">
        <f t="shared" si="86"/>
        <v>0</v>
      </c>
      <c r="AG312">
        <f t="shared" si="87"/>
        <v>0</v>
      </c>
      <c r="AH312">
        <f t="shared" si="88"/>
        <v>0</v>
      </c>
      <c r="AI312">
        <f t="shared" si="89"/>
        <v>1</v>
      </c>
    </row>
    <row r="313" spans="1:35" x14ac:dyDescent="0.2">
      <c r="A313">
        <v>91</v>
      </c>
      <c r="B313" t="s">
        <v>749</v>
      </c>
      <c r="C313">
        <v>6</v>
      </c>
      <c r="D313" t="s">
        <v>1016</v>
      </c>
      <c r="E313" t="s">
        <v>20</v>
      </c>
      <c r="F313" t="s">
        <v>18</v>
      </c>
      <c r="G313" t="s">
        <v>18</v>
      </c>
      <c r="H313" t="s">
        <v>20</v>
      </c>
      <c r="I313">
        <v>8</v>
      </c>
      <c r="J313">
        <v>3</v>
      </c>
      <c r="K313">
        <v>150000</v>
      </c>
      <c r="L313" t="s">
        <v>79</v>
      </c>
      <c r="M313" t="s">
        <v>48</v>
      </c>
      <c r="N313" t="s">
        <v>36</v>
      </c>
      <c r="O313" t="s">
        <v>1017</v>
      </c>
      <c r="P313" t="s">
        <v>1018</v>
      </c>
      <c r="Q313">
        <f t="shared" si="72"/>
        <v>2</v>
      </c>
      <c r="R313">
        <f t="shared" si="73"/>
        <v>4</v>
      </c>
      <c r="S313">
        <f t="shared" si="74"/>
        <v>4</v>
      </c>
      <c r="T313">
        <f t="shared" si="75"/>
        <v>2</v>
      </c>
      <c r="U313">
        <v>150000</v>
      </c>
      <c r="V313">
        <f t="shared" si="76"/>
        <v>0</v>
      </c>
      <c r="W313">
        <f t="shared" si="77"/>
        <v>1</v>
      </c>
      <c r="X313">
        <f t="shared" si="78"/>
        <v>0</v>
      </c>
      <c r="Y313">
        <f t="shared" si="79"/>
        <v>0</v>
      </c>
      <c r="Z313">
        <f t="shared" si="80"/>
        <v>1</v>
      </c>
      <c r="AA313">
        <f t="shared" si="81"/>
        <v>1</v>
      </c>
      <c r="AB313">
        <f t="shared" si="82"/>
        <v>1</v>
      </c>
      <c r="AC313">
        <f t="shared" si="83"/>
        <v>1</v>
      </c>
      <c r="AD313">
        <f t="shared" si="84"/>
        <v>0</v>
      </c>
      <c r="AE313">
        <f t="shared" si="85"/>
        <v>0</v>
      </c>
      <c r="AF313">
        <f t="shared" si="86"/>
        <v>0</v>
      </c>
      <c r="AG313">
        <f t="shared" si="87"/>
        <v>0</v>
      </c>
      <c r="AH313">
        <f t="shared" si="88"/>
        <v>0</v>
      </c>
      <c r="AI313">
        <f t="shared" si="89"/>
        <v>1</v>
      </c>
    </row>
    <row r="314" spans="1:35" x14ac:dyDescent="0.2">
      <c r="A314">
        <v>92</v>
      </c>
      <c r="B314" t="s">
        <v>749</v>
      </c>
      <c r="C314">
        <v>4</v>
      </c>
      <c r="D314" t="s">
        <v>1019</v>
      </c>
      <c r="E314" t="s">
        <v>18</v>
      </c>
      <c r="F314" t="s">
        <v>19</v>
      </c>
      <c r="G314" t="s">
        <v>19</v>
      </c>
      <c r="H314" t="s">
        <v>20</v>
      </c>
      <c r="I314">
        <v>7</v>
      </c>
      <c r="J314">
        <v>7</v>
      </c>
      <c r="K314">
        <v>150</v>
      </c>
      <c r="L314" t="s">
        <v>70</v>
      </c>
      <c r="M314" t="s">
        <v>99</v>
      </c>
      <c r="N314" t="s">
        <v>36</v>
      </c>
      <c r="O314" t="s">
        <v>1020</v>
      </c>
      <c r="P314" t="s">
        <v>1021</v>
      </c>
      <c r="Q314">
        <f t="shared" si="72"/>
        <v>4</v>
      </c>
      <c r="R314">
        <f t="shared" si="73"/>
        <v>3</v>
      </c>
      <c r="S314">
        <f t="shared" si="74"/>
        <v>3</v>
      </c>
      <c r="T314">
        <f t="shared" si="75"/>
        <v>2</v>
      </c>
      <c r="U314">
        <v>150</v>
      </c>
      <c r="V314">
        <f t="shared" si="76"/>
        <v>0</v>
      </c>
      <c r="W314">
        <f t="shared" si="77"/>
        <v>0</v>
      </c>
      <c r="X314">
        <f t="shared" si="78"/>
        <v>0</v>
      </c>
      <c r="Y314">
        <f t="shared" si="79"/>
        <v>1</v>
      </c>
      <c r="Z314">
        <f t="shared" si="80"/>
        <v>0</v>
      </c>
      <c r="AA314">
        <f t="shared" si="81"/>
        <v>1</v>
      </c>
      <c r="AB314">
        <f t="shared" si="82"/>
        <v>0</v>
      </c>
      <c r="AC314">
        <f t="shared" si="83"/>
        <v>0</v>
      </c>
      <c r="AD314">
        <f t="shared" si="84"/>
        <v>0</v>
      </c>
      <c r="AE314">
        <f t="shared" si="85"/>
        <v>1</v>
      </c>
      <c r="AF314">
        <f t="shared" si="86"/>
        <v>0</v>
      </c>
      <c r="AG314">
        <f t="shared" si="87"/>
        <v>0</v>
      </c>
      <c r="AH314">
        <f t="shared" si="88"/>
        <v>0</v>
      </c>
      <c r="AI314">
        <f t="shared" si="89"/>
        <v>1</v>
      </c>
    </row>
    <row r="315" spans="1:35" x14ac:dyDescent="0.2">
      <c r="A315">
        <v>93</v>
      </c>
      <c r="B315" t="s">
        <v>749</v>
      </c>
      <c r="C315">
        <v>7</v>
      </c>
      <c r="D315" t="s">
        <v>1022</v>
      </c>
      <c r="E315" t="s">
        <v>21</v>
      </c>
      <c r="F315" t="s">
        <v>18</v>
      </c>
      <c r="G315" t="s">
        <v>39</v>
      </c>
      <c r="H315" t="s">
        <v>21</v>
      </c>
      <c r="I315">
        <v>2</v>
      </c>
      <c r="J315">
        <v>2</v>
      </c>
      <c r="K315" s="1">
        <v>5000</v>
      </c>
      <c r="L315" t="s">
        <v>70</v>
      </c>
      <c r="M315" t="s">
        <v>48</v>
      </c>
      <c r="N315" t="s">
        <v>84</v>
      </c>
      <c r="O315" t="s">
        <v>1023</v>
      </c>
      <c r="P315" t="s">
        <v>1024</v>
      </c>
      <c r="Q315">
        <f t="shared" si="72"/>
        <v>1</v>
      </c>
      <c r="R315">
        <f t="shared" si="73"/>
        <v>4</v>
      </c>
      <c r="S315">
        <f t="shared" si="74"/>
        <v>5</v>
      </c>
      <c r="T315">
        <f t="shared" si="75"/>
        <v>1</v>
      </c>
      <c r="U315">
        <v>5000</v>
      </c>
      <c r="V315">
        <f t="shared" si="76"/>
        <v>0</v>
      </c>
      <c r="W315">
        <f t="shared" si="77"/>
        <v>0</v>
      </c>
      <c r="X315">
        <f t="shared" si="78"/>
        <v>0</v>
      </c>
      <c r="Y315">
        <f t="shared" si="79"/>
        <v>1</v>
      </c>
      <c r="Z315">
        <f t="shared" si="80"/>
        <v>0</v>
      </c>
      <c r="AA315">
        <f t="shared" si="81"/>
        <v>1</v>
      </c>
      <c r="AB315">
        <f t="shared" si="82"/>
        <v>1</v>
      </c>
      <c r="AC315">
        <f t="shared" si="83"/>
        <v>1</v>
      </c>
      <c r="AD315">
        <f t="shared" si="84"/>
        <v>0</v>
      </c>
      <c r="AE315">
        <f t="shared" si="85"/>
        <v>0</v>
      </c>
      <c r="AF315">
        <f t="shared" si="86"/>
        <v>0</v>
      </c>
      <c r="AG315">
        <f t="shared" si="87"/>
        <v>1</v>
      </c>
      <c r="AH315">
        <f t="shared" si="88"/>
        <v>0</v>
      </c>
      <c r="AI315">
        <f t="shared" si="89"/>
        <v>0</v>
      </c>
    </row>
    <row r="316" spans="1:35" x14ac:dyDescent="0.2">
      <c r="A316">
        <v>94</v>
      </c>
      <c r="B316" t="s">
        <v>749</v>
      </c>
      <c r="C316">
        <v>9</v>
      </c>
      <c r="D316" t="s">
        <v>1025</v>
      </c>
      <c r="E316" t="s">
        <v>19</v>
      </c>
      <c r="F316" t="s">
        <v>20</v>
      </c>
      <c r="G316" t="s">
        <v>21</v>
      </c>
      <c r="H316" t="s">
        <v>39</v>
      </c>
      <c r="I316">
        <v>3</v>
      </c>
      <c r="J316">
        <v>6</v>
      </c>
      <c r="K316">
        <v>500</v>
      </c>
      <c r="L316" t="s">
        <v>41</v>
      </c>
      <c r="M316" t="s">
        <v>42</v>
      </c>
      <c r="N316" t="s">
        <v>36</v>
      </c>
      <c r="O316" t="s">
        <v>1026</v>
      </c>
      <c r="P316" t="s">
        <v>1027</v>
      </c>
      <c r="Q316">
        <f t="shared" si="72"/>
        <v>3</v>
      </c>
      <c r="R316">
        <f t="shared" si="73"/>
        <v>2</v>
      </c>
      <c r="S316">
        <f t="shared" si="74"/>
        <v>1</v>
      </c>
      <c r="T316">
        <f t="shared" si="75"/>
        <v>5</v>
      </c>
      <c r="U316">
        <v>500</v>
      </c>
      <c r="V316">
        <f t="shared" si="76"/>
        <v>0</v>
      </c>
      <c r="W316">
        <f t="shared" si="77"/>
        <v>0</v>
      </c>
      <c r="X316">
        <f t="shared" si="78"/>
        <v>0</v>
      </c>
      <c r="Y316">
        <f t="shared" si="79"/>
        <v>0</v>
      </c>
      <c r="Z316">
        <f t="shared" si="80"/>
        <v>1</v>
      </c>
      <c r="AA316">
        <f t="shared" si="81"/>
        <v>0</v>
      </c>
      <c r="AB316">
        <f t="shared" si="82"/>
        <v>1</v>
      </c>
      <c r="AC316">
        <f t="shared" si="83"/>
        <v>0</v>
      </c>
      <c r="AD316">
        <f t="shared" si="84"/>
        <v>0</v>
      </c>
      <c r="AE316">
        <f t="shared" si="85"/>
        <v>0</v>
      </c>
      <c r="AF316">
        <f t="shared" si="86"/>
        <v>0</v>
      </c>
      <c r="AG316">
        <f t="shared" si="87"/>
        <v>0</v>
      </c>
      <c r="AH316">
        <f t="shared" si="88"/>
        <v>0</v>
      </c>
      <c r="AI316">
        <f t="shared" si="89"/>
        <v>1</v>
      </c>
    </row>
    <row r="317" spans="1:35" x14ac:dyDescent="0.2">
      <c r="A317">
        <v>95</v>
      </c>
      <c r="B317" t="s">
        <v>749</v>
      </c>
      <c r="C317">
        <v>9</v>
      </c>
      <c r="D317" t="s">
        <v>1028</v>
      </c>
      <c r="E317" t="s">
        <v>20</v>
      </c>
      <c r="F317" t="s">
        <v>18</v>
      </c>
      <c r="G317" t="s">
        <v>18</v>
      </c>
      <c r="H317" t="s">
        <v>20</v>
      </c>
      <c r="I317">
        <v>4</v>
      </c>
      <c r="J317">
        <v>4</v>
      </c>
      <c r="K317">
        <v>60</v>
      </c>
      <c r="L317" t="s">
        <v>41</v>
      </c>
      <c r="M317" t="s">
        <v>23</v>
      </c>
      <c r="N317" t="s">
        <v>651</v>
      </c>
      <c r="O317" t="s">
        <v>124</v>
      </c>
      <c r="P317" t="s">
        <v>1029</v>
      </c>
      <c r="Q317">
        <f t="shared" si="72"/>
        <v>2</v>
      </c>
      <c r="R317">
        <f t="shared" si="73"/>
        <v>4</v>
      </c>
      <c r="S317">
        <f t="shared" si="74"/>
        <v>4</v>
      </c>
      <c r="T317">
        <f t="shared" si="75"/>
        <v>2</v>
      </c>
      <c r="U317">
        <v>60</v>
      </c>
      <c r="V317">
        <f t="shared" si="76"/>
        <v>0</v>
      </c>
      <c r="W317">
        <f t="shared" si="77"/>
        <v>0</v>
      </c>
      <c r="X317">
        <f t="shared" si="78"/>
        <v>0</v>
      </c>
      <c r="Y317">
        <f t="shared" si="79"/>
        <v>0</v>
      </c>
      <c r="Z317">
        <f t="shared" si="80"/>
        <v>1</v>
      </c>
      <c r="AA317">
        <f t="shared" si="81"/>
        <v>1</v>
      </c>
      <c r="AB317">
        <f t="shared" si="82"/>
        <v>0</v>
      </c>
      <c r="AC317">
        <f t="shared" si="83"/>
        <v>0</v>
      </c>
      <c r="AD317">
        <f t="shared" si="84"/>
        <v>0</v>
      </c>
      <c r="AE317">
        <f t="shared" si="85"/>
        <v>0</v>
      </c>
      <c r="AF317">
        <f t="shared" si="86"/>
        <v>1</v>
      </c>
      <c r="AG317">
        <f t="shared" si="87"/>
        <v>0</v>
      </c>
      <c r="AH317">
        <f t="shared" si="88"/>
        <v>1</v>
      </c>
      <c r="AI317">
        <f t="shared" si="89"/>
        <v>0</v>
      </c>
    </row>
    <row r="318" spans="1:35" x14ac:dyDescent="0.2">
      <c r="A318">
        <v>96</v>
      </c>
      <c r="B318" t="s">
        <v>749</v>
      </c>
      <c r="C318">
        <v>3</v>
      </c>
      <c r="D318" t="s">
        <v>1030</v>
      </c>
      <c r="E318" t="s">
        <v>19</v>
      </c>
      <c r="F318" t="s">
        <v>18</v>
      </c>
      <c r="G318" t="s">
        <v>39</v>
      </c>
      <c r="H318" t="s">
        <v>21</v>
      </c>
      <c r="I318">
        <v>4</v>
      </c>
      <c r="J318">
        <v>2</v>
      </c>
      <c r="K318" s="2">
        <v>300000</v>
      </c>
      <c r="L318" t="s">
        <v>194</v>
      </c>
      <c r="M318" t="s">
        <v>135</v>
      </c>
      <c r="N318" t="s">
        <v>49</v>
      </c>
      <c r="O318" t="s">
        <v>1031</v>
      </c>
      <c r="P318" t="s">
        <v>1032</v>
      </c>
      <c r="Q318">
        <f t="shared" si="72"/>
        <v>3</v>
      </c>
      <c r="R318">
        <f t="shared" si="73"/>
        <v>4</v>
      </c>
      <c r="S318">
        <f t="shared" si="74"/>
        <v>5</v>
      </c>
      <c r="T318">
        <f t="shared" si="75"/>
        <v>1</v>
      </c>
      <c r="U318">
        <v>300000</v>
      </c>
      <c r="V318">
        <f t="shared" si="76"/>
        <v>0</v>
      </c>
      <c r="W318">
        <f t="shared" si="77"/>
        <v>0</v>
      </c>
      <c r="X318">
        <f t="shared" si="78"/>
        <v>0</v>
      </c>
      <c r="Y318">
        <f t="shared" si="79"/>
        <v>1</v>
      </c>
      <c r="Z318">
        <f t="shared" si="80"/>
        <v>1</v>
      </c>
      <c r="AA318">
        <f t="shared" si="81"/>
        <v>1</v>
      </c>
      <c r="AB318">
        <f t="shared" si="82"/>
        <v>1</v>
      </c>
      <c r="AC318">
        <f t="shared" si="83"/>
        <v>0</v>
      </c>
      <c r="AD318">
        <f t="shared" si="84"/>
        <v>0</v>
      </c>
      <c r="AE318">
        <f t="shared" si="85"/>
        <v>0</v>
      </c>
      <c r="AF318">
        <f t="shared" si="86"/>
        <v>0</v>
      </c>
      <c r="AG318">
        <f t="shared" si="87"/>
        <v>1</v>
      </c>
      <c r="AH318">
        <f t="shared" si="88"/>
        <v>1</v>
      </c>
      <c r="AI318">
        <f t="shared" si="89"/>
        <v>0</v>
      </c>
    </row>
    <row r="319" spans="1:35" x14ac:dyDescent="0.2">
      <c r="A319">
        <v>97</v>
      </c>
      <c r="B319" t="s">
        <v>749</v>
      </c>
      <c r="C319">
        <v>6</v>
      </c>
      <c r="D319" t="s">
        <v>1033</v>
      </c>
      <c r="E319" t="s">
        <v>19</v>
      </c>
      <c r="F319" t="s">
        <v>18</v>
      </c>
      <c r="G319" t="s">
        <v>18</v>
      </c>
      <c r="H319" t="s">
        <v>20</v>
      </c>
      <c r="I319">
        <v>8</v>
      </c>
      <c r="J319">
        <v>2</v>
      </c>
      <c r="K319">
        <v>1000</v>
      </c>
      <c r="L319" t="s">
        <v>776</v>
      </c>
      <c r="M319" t="s">
        <v>115</v>
      </c>
      <c r="N319" t="s">
        <v>622</v>
      </c>
      <c r="O319" t="s">
        <v>1034</v>
      </c>
      <c r="P319" t="s">
        <v>1035</v>
      </c>
      <c r="Q319">
        <f t="shared" si="72"/>
        <v>3</v>
      </c>
      <c r="R319">
        <f t="shared" si="73"/>
        <v>4</v>
      </c>
      <c r="S319">
        <f t="shared" si="74"/>
        <v>4</v>
      </c>
      <c r="T319">
        <f t="shared" si="75"/>
        <v>2</v>
      </c>
      <c r="U319">
        <v>1000</v>
      </c>
      <c r="V319">
        <f t="shared" si="76"/>
        <v>0</v>
      </c>
      <c r="W319">
        <f t="shared" si="77"/>
        <v>1</v>
      </c>
      <c r="X319">
        <f t="shared" si="78"/>
        <v>0</v>
      </c>
      <c r="Y319">
        <f t="shared" si="79"/>
        <v>1</v>
      </c>
      <c r="Z319">
        <f t="shared" si="80"/>
        <v>0</v>
      </c>
      <c r="AA319">
        <f t="shared" si="81"/>
        <v>0</v>
      </c>
      <c r="AB319">
        <f t="shared" si="82"/>
        <v>0</v>
      </c>
      <c r="AC319">
        <f t="shared" si="83"/>
        <v>1</v>
      </c>
      <c r="AD319">
        <f t="shared" si="84"/>
        <v>0</v>
      </c>
      <c r="AE319">
        <f t="shared" si="85"/>
        <v>0</v>
      </c>
      <c r="AF319">
        <f t="shared" si="86"/>
        <v>0</v>
      </c>
      <c r="AG319">
        <f t="shared" si="87"/>
        <v>1</v>
      </c>
      <c r="AH319">
        <f t="shared" si="88"/>
        <v>0</v>
      </c>
      <c r="AI319">
        <f t="shared" si="89"/>
        <v>1</v>
      </c>
    </row>
    <row r="320" spans="1:35" x14ac:dyDescent="0.2">
      <c r="A320">
        <v>98</v>
      </c>
      <c r="B320" t="s">
        <v>749</v>
      </c>
      <c r="C320">
        <v>7</v>
      </c>
      <c r="D320" t="s">
        <v>1036</v>
      </c>
      <c r="E320" t="s">
        <v>20</v>
      </c>
      <c r="F320" t="s">
        <v>18</v>
      </c>
      <c r="G320" t="s">
        <v>19</v>
      </c>
      <c r="H320" t="s">
        <v>20</v>
      </c>
      <c r="I320">
        <v>4</v>
      </c>
      <c r="J320">
        <v>2</v>
      </c>
      <c r="K320">
        <v>20</v>
      </c>
      <c r="L320" t="s">
        <v>41</v>
      </c>
      <c r="M320" t="s">
        <v>23</v>
      </c>
      <c r="N320" t="s">
        <v>36</v>
      </c>
      <c r="O320" t="s">
        <v>1037</v>
      </c>
      <c r="P320" t="s">
        <v>1038</v>
      </c>
      <c r="Q320">
        <f t="shared" si="72"/>
        <v>2</v>
      </c>
      <c r="R320">
        <f t="shared" si="73"/>
        <v>4</v>
      </c>
      <c r="S320">
        <f t="shared" si="74"/>
        <v>3</v>
      </c>
      <c r="T320">
        <f t="shared" si="75"/>
        <v>2</v>
      </c>
      <c r="U320">
        <v>20</v>
      </c>
      <c r="V320">
        <f t="shared" si="76"/>
        <v>0</v>
      </c>
      <c r="W320">
        <f t="shared" si="77"/>
        <v>0</v>
      </c>
      <c r="X320">
        <f t="shared" si="78"/>
        <v>0</v>
      </c>
      <c r="Y320">
        <f t="shared" si="79"/>
        <v>0</v>
      </c>
      <c r="Z320">
        <f t="shared" si="80"/>
        <v>1</v>
      </c>
      <c r="AA320">
        <f t="shared" si="81"/>
        <v>1</v>
      </c>
      <c r="AB320">
        <f t="shared" si="82"/>
        <v>0</v>
      </c>
      <c r="AC320">
        <f t="shared" si="83"/>
        <v>0</v>
      </c>
      <c r="AD320">
        <f t="shared" si="84"/>
        <v>0</v>
      </c>
      <c r="AE320">
        <f t="shared" si="85"/>
        <v>0</v>
      </c>
      <c r="AF320">
        <f t="shared" si="86"/>
        <v>0</v>
      </c>
      <c r="AG320">
        <f t="shared" si="87"/>
        <v>0</v>
      </c>
      <c r="AH320">
        <f t="shared" si="88"/>
        <v>0</v>
      </c>
      <c r="AI320">
        <f t="shared" si="89"/>
        <v>1</v>
      </c>
    </row>
    <row r="321" spans="1:35" x14ac:dyDescent="0.2">
      <c r="A321">
        <v>99</v>
      </c>
      <c r="B321" t="s">
        <v>749</v>
      </c>
      <c r="C321">
        <v>6</v>
      </c>
      <c r="D321" t="s">
        <v>1039</v>
      </c>
      <c r="E321" t="s">
        <v>18</v>
      </c>
      <c r="F321" t="s">
        <v>18</v>
      </c>
      <c r="G321" t="s">
        <v>18</v>
      </c>
      <c r="H321" t="s">
        <v>20</v>
      </c>
      <c r="I321">
        <v>2</v>
      </c>
      <c r="J321">
        <v>2</v>
      </c>
      <c r="K321">
        <v>150</v>
      </c>
      <c r="L321" t="s">
        <v>494</v>
      </c>
      <c r="M321" t="s">
        <v>48</v>
      </c>
      <c r="N321" t="s">
        <v>84</v>
      </c>
      <c r="O321" t="s">
        <v>124</v>
      </c>
      <c r="P321" t="s">
        <v>1040</v>
      </c>
      <c r="Q321">
        <f t="shared" si="72"/>
        <v>4</v>
      </c>
      <c r="R321">
        <f t="shared" si="73"/>
        <v>4</v>
      </c>
      <c r="S321">
        <f t="shared" si="74"/>
        <v>4</v>
      </c>
      <c r="T321">
        <f t="shared" si="75"/>
        <v>2</v>
      </c>
      <c r="U321">
        <v>150</v>
      </c>
      <c r="V321">
        <f t="shared" si="76"/>
        <v>0</v>
      </c>
      <c r="W321">
        <f t="shared" si="77"/>
        <v>1</v>
      </c>
      <c r="X321">
        <f t="shared" si="78"/>
        <v>1</v>
      </c>
      <c r="Y321">
        <f t="shared" si="79"/>
        <v>1</v>
      </c>
      <c r="Z321">
        <f t="shared" si="80"/>
        <v>1</v>
      </c>
      <c r="AA321">
        <f t="shared" si="81"/>
        <v>1</v>
      </c>
      <c r="AB321">
        <f t="shared" si="82"/>
        <v>1</v>
      </c>
      <c r="AC321">
        <f t="shared" si="83"/>
        <v>1</v>
      </c>
      <c r="AD321">
        <f t="shared" si="84"/>
        <v>0</v>
      </c>
      <c r="AE321">
        <f t="shared" si="85"/>
        <v>0</v>
      </c>
      <c r="AF321">
        <f t="shared" si="86"/>
        <v>0</v>
      </c>
      <c r="AG321">
        <f t="shared" si="87"/>
        <v>1</v>
      </c>
      <c r="AH321">
        <f t="shared" si="88"/>
        <v>0</v>
      </c>
      <c r="AI321">
        <f t="shared" si="89"/>
        <v>0</v>
      </c>
    </row>
    <row r="322" spans="1:35" x14ac:dyDescent="0.2">
      <c r="A322">
        <v>100</v>
      </c>
      <c r="B322" t="s">
        <v>749</v>
      </c>
      <c r="C322">
        <v>5</v>
      </c>
      <c r="D322" t="s">
        <v>1041</v>
      </c>
      <c r="E322" t="s">
        <v>18</v>
      </c>
      <c r="F322" t="s">
        <v>18</v>
      </c>
      <c r="G322" t="s">
        <v>18</v>
      </c>
      <c r="H322" t="s">
        <v>21</v>
      </c>
      <c r="I322">
        <v>2</v>
      </c>
      <c r="J322">
        <v>2</v>
      </c>
      <c r="K322">
        <v>20</v>
      </c>
      <c r="L322" t="s">
        <v>22</v>
      </c>
      <c r="M322" t="s">
        <v>35</v>
      </c>
      <c r="N322" t="s">
        <v>36</v>
      </c>
      <c r="O322" t="s">
        <v>1042</v>
      </c>
      <c r="P322" t="s">
        <v>1043</v>
      </c>
      <c r="Q322">
        <f t="shared" si="72"/>
        <v>4</v>
      </c>
      <c r="R322">
        <f t="shared" si="73"/>
        <v>4</v>
      </c>
      <c r="S322">
        <f t="shared" si="74"/>
        <v>4</v>
      </c>
      <c r="T322">
        <f t="shared" si="75"/>
        <v>1</v>
      </c>
      <c r="U322">
        <v>20</v>
      </c>
      <c r="V322">
        <f t="shared" si="76"/>
        <v>1</v>
      </c>
      <c r="W322">
        <f t="shared" si="77"/>
        <v>0</v>
      </c>
      <c r="X322">
        <f t="shared" si="78"/>
        <v>0</v>
      </c>
      <c r="Y322">
        <f t="shared" si="79"/>
        <v>0</v>
      </c>
      <c r="Z322">
        <f t="shared" si="80"/>
        <v>0</v>
      </c>
      <c r="AA322">
        <f t="shared" si="81"/>
        <v>0</v>
      </c>
      <c r="AB322">
        <f t="shared" si="82"/>
        <v>0</v>
      </c>
      <c r="AC322">
        <f t="shared" si="83"/>
        <v>0</v>
      </c>
      <c r="AD322">
        <f t="shared" si="84"/>
        <v>1</v>
      </c>
      <c r="AE322">
        <f t="shared" si="85"/>
        <v>0</v>
      </c>
      <c r="AF322">
        <f t="shared" si="86"/>
        <v>0</v>
      </c>
      <c r="AG322">
        <f t="shared" si="87"/>
        <v>0</v>
      </c>
      <c r="AH322">
        <f t="shared" si="88"/>
        <v>0</v>
      </c>
      <c r="AI322">
        <f t="shared" si="89"/>
        <v>1</v>
      </c>
    </row>
    <row r="323" spans="1:35" x14ac:dyDescent="0.2">
      <c r="A323">
        <v>101</v>
      </c>
      <c r="B323" t="s">
        <v>749</v>
      </c>
      <c r="C323">
        <v>7</v>
      </c>
      <c r="D323" t="s">
        <v>1044</v>
      </c>
      <c r="E323" t="s">
        <v>39</v>
      </c>
      <c r="F323" t="s">
        <v>39</v>
      </c>
      <c r="G323" t="s">
        <v>39</v>
      </c>
      <c r="H323" t="s">
        <v>21</v>
      </c>
      <c r="I323">
        <v>4</v>
      </c>
      <c r="J323">
        <v>5</v>
      </c>
      <c r="K323" t="s">
        <v>1045</v>
      </c>
      <c r="L323" t="s">
        <v>601</v>
      </c>
      <c r="M323" t="s">
        <v>23</v>
      </c>
      <c r="N323" t="s">
        <v>763</v>
      </c>
      <c r="O323" t="s">
        <v>1046</v>
      </c>
      <c r="P323" t="s">
        <v>1047</v>
      </c>
      <c r="Q323">
        <f t="shared" ref="Q323:Q386" si="90">IF(E323="", "", LEFT(E323, 1) * 1)</f>
        <v>5</v>
      </c>
      <c r="R323">
        <f t="shared" ref="R323:R386" si="91">IF(F323="","",VALUE(LEFT(F323,FIND(" ",F323)-1)))</f>
        <v>5</v>
      </c>
      <c r="S323">
        <f t="shared" ref="S323:S386" si="92">IF(G323="","",VALUE(LEFT(G323,FIND(" ",G323)-1)))</f>
        <v>5</v>
      </c>
      <c r="T323">
        <f t="shared" ref="T323:T386" si="93">IF(H323="","",VALUE(LEFT(H323,FIND(" ",H323)-1)))</f>
        <v>1</v>
      </c>
      <c r="U323">
        <v>100000000</v>
      </c>
      <c r="V323">
        <f t="shared" ref="V323:V386" si="94">IF(L323="",0,IF(ISNUMBER(SEARCH("Bathroom",L323)),1,0))</f>
        <v>0</v>
      </c>
      <c r="W323">
        <f t="shared" ref="W323:W386" si="95">IF(L323="",0,IF(ISNUMBER(SEARCH("Dining room",L323)),1,0))</f>
        <v>1</v>
      </c>
      <c r="X323">
        <f t="shared" ref="X323:X386" si="96">IF(L323="",0,IF(ISNUMBER(SEARCH("Office",L323)),1,0))</f>
        <v>0</v>
      </c>
      <c r="Y323">
        <f t="shared" ref="Y323:Y386" si="97">IF(L323="",0,IF(ISNUMBER(SEARCH("Bedroom",L323)),1,0))</f>
        <v>1</v>
      </c>
      <c r="Z323">
        <f t="shared" ref="Z323:Z386" si="98">IF(L323="",0,IF(ISNUMBER(SEARCH("Living room",L323)),1,0))</f>
        <v>1</v>
      </c>
      <c r="AA323">
        <f t="shared" ref="AA323:AA386" si="99">IF(M323="",0, IF(ISNUMBER(SEARCH("By yourself",M323)), 1, 0))</f>
        <v>1</v>
      </c>
      <c r="AB323">
        <f t="shared" ref="AB323:AB386" si="100">IF(M323="", 0, IF(ISNUMBER(SEARCH("Friends", M323)), 1, 0))</f>
        <v>0</v>
      </c>
      <c r="AC323">
        <f t="shared" ref="AC323:AC386" si="101">IF(M323="",0,IF(ISNUMBER(SEARCH("Family members", M323)), 1, 0))</f>
        <v>0</v>
      </c>
      <c r="AD323">
        <f t="shared" ref="AD323:AD386" si="102">IF(M323="", 0, IF(ISNUMBER(SEARCH("Coworkers/Classmates", M323)), 1, 0))</f>
        <v>0</v>
      </c>
      <c r="AE323">
        <f t="shared" ref="AE323:AE386" si="103">IF(M323="", 0, IF(ISNUMBER(SEARCH("Strangers", M323)), 1, 0))</f>
        <v>0</v>
      </c>
      <c r="AF323">
        <f t="shared" ref="AF323:AF386" si="104">IF(N323="", 0, IF(ISNUMBER(SEARCH("Spring", N323)), 1, 0))</f>
        <v>1</v>
      </c>
      <c r="AG323">
        <f t="shared" ref="AG323:AG386" si="105">IF(N323="", 0, IF(ISNUMBER(SEARCH("Summer", N323)), 1, 0))</f>
        <v>1</v>
      </c>
      <c r="AH323">
        <f t="shared" ref="AH323:AH386" si="106">IF(N323="", 0, IF(ISNUMBER(SEARCH("Fall", N323)), 1, 0))</f>
        <v>1</v>
      </c>
      <c r="AI323">
        <f t="shared" ref="AI323:AI386" si="107">IF(N323="", 0, IF(ISNUMBER(SEARCH("Winter", N323)), 1, 0))</f>
        <v>1</v>
      </c>
    </row>
    <row r="324" spans="1:35" x14ac:dyDescent="0.2">
      <c r="A324">
        <v>102</v>
      </c>
      <c r="B324" t="s">
        <v>749</v>
      </c>
      <c r="C324">
        <v>4</v>
      </c>
      <c r="D324" t="s">
        <v>1048</v>
      </c>
      <c r="E324" t="s">
        <v>20</v>
      </c>
      <c r="F324" t="s">
        <v>18</v>
      </c>
      <c r="G324" t="s">
        <v>39</v>
      </c>
      <c r="H324" t="s">
        <v>20</v>
      </c>
      <c r="I324">
        <v>4</v>
      </c>
      <c r="J324">
        <v>7</v>
      </c>
      <c r="K324">
        <v>1000000</v>
      </c>
      <c r="L324" t="s">
        <v>70</v>
      </c>
      <c r="M324" t="s">
        <v>48</v>
      </c>
      <c r="N324" t="s">
        <v>147</v>
      </c>
      <c r="O324" t="s">
        <v>1049</v>
      </c>
      <c r="P324" t="s">
        <v>1050</v>
      </c>
      <c r="Q324">
        <f t="shared" si="90"/>
        <v>2</v>
      </c>
      <c r="R324">
        <f t="shared" si="91"/>
        <v>4</v>
      </c>
      <c r="S324">
        <f t="shared" si="92"/>
        <v>5</v>
      </c>
      <c r="T324">
        <f t="shared" si="93"/>
        <v>2</v>
      </c>
      <c r="U324">
        <v>1000000</v>
      </c>
      <c r="V324">
        <f t="shared" si="94"/>
        <v>0</v>
      </c>
      <c r="W324">
        <f t="shared" si="95"/>
        <v>0</v>
      </c>
      <c r="X324">
        <f t="shared" si="96"/>
        <v>0</v>
      </c>
      <c r="Y324">
        <f t="shared" si="97"/>
        <v>1</v>
      </c>
      <c r="Z324">
        <f t="shared" si="98"/>
        <v>0</v>
      </c>
      <c r="AA324">
        <f t="shared" si="99"/>
        <v>1</v>
      </c>
      <c r="AB324">
        <f t="shared" si="100"/>
        <v>1</v>
      </c>
      <c r="AC324">
        <f t="shared" si="101"/>
        <v>1</v>
      </c>
      <c r="AD324">
        <f t="shared" si="102"/>
        <v>0</v>
      </c>
      <c r="AE324">
        <f t="shared" si="103"/>
        <v>0</v>
      </c>
      <c r="AF324">
        <f t="shared" si="104"/>
        <v>0</v>
      </c>
      <c r="AG324">
        <f t="shared" si="105"/>
        <v>0</v>
      </c>
      <c r="AH324">
        <f t="shared" si="106"/>
        <v>1</v>
      </c>
      <c r="AI324">
        <f t="shared" si="107"/>
        <v>1</v>
      </c>
    </row>
    <row r="325" spans="1:35" x14ac:dyDescent="0.2">
      <c r="A325">
        <v>103</v>
      </c>
      <c r="B325" t="s">
        <v>749</v>
      </c>
      <c r="C325">
        <v>7</v>
      </c>
      <c r="D325" t="s">
        <v>1051</v>
      </c>
      <c r="E325" t="s">
        <v>18</v>
      </c>
      <c r="F325" t="s">
        <v>18</v>
      </c>
      <c r="G325" t="s">
        <v>18</v>
      </c>
      <c r="H325" t="s">
        <v>20</v>
      </c>
      <c r="I325">
        <v>2</v>
      </c>
      <c r="J325">
        <v>2</v>
      </c>
      <c r="K325">
        <v>100000000</v>
      </c>
      <c r="L325" t="s">
        <v>946</v>
      </c>
      <c r="M325" t="s">
        <v>123</v>
      </c>
      <c r="N325" t="s">
        <v>36</v>
      </c>
      <c r="O325" t="s">
        <v>67</v>
      </c>
      <c r="P325" t="s">
        <v>1052</v>
      </c>
      <c r="Q325">
        <f t="shared" si="90"/>
        <v>4</v>
      </c>
      <c r="R325">
        <f t="shared" si="91"/>
        <v>4</v>
      </c>
      <c r="S325">
        <f t="shared" si="92"/>
        <v>4</v>
      </c>
      <c r="T325">
        <f t="shared" si="93"/>
        <v>2</v>
      </c>
      <c r="U325">
        <v>100000000</v>
      </c>
      <c r="V325">
        <f t="shared" si="94"/>
        <v>0</v>
      </c>
      <c r="W325">
        <f t="shared" si="95"/>
        <v>1</v>
      </c>
      <c r="X325">
        <f t="shared" si="96"/>
        <v>1</v>
      </c>
      <c r="Y325">
        <f t="shared" si="97"/>
        <v>1</v>
      </c>
      <c r="Z325">
        <f t="shared" si="98"/>
        <v>0</v>
      </c>
      <c r="AA325">
        <f t="shared" si="99"/>
        <v>0</v>
      </c>
      <c r="AB325">
        <f t="shared" si="100"/>
        <v>1</v>
      </c>
      <c r="AC325">
        <f t="shared" si="101"/>
        <v>1</v>
      </c>
      <c r="AD325">
        <f t="shared" si="102"/>
        <v>0</v>
      </c>
      <c r="AE325">
        <f t="shared" si="103"/>
        <v>0</v>
      </c>
      <c r="AF325">
        <f t="shared" si="104"/>
        <v>0</v>
      </c>
      <c r="AG325">
        <f t="shared" si="105"/>
        <v>0</v>
      </c>
      <c r="AH325">
        <f t="shared" si="106"/>
        <v>0</v>
      </c>
      <c r="AI325">
        <f t="shared" si="107"/>
        <v>1</v>
      </c>
    </row>
    <row r="326" spans="1:35" x14ac:dyDescent="0.2">
      <c r="A326">
        <v>104</v>
      </c>
      <c r="B326" t="s">
        <v>749</v>
      </c>
      <c r="C326">
        <v>7</v>
      </c>
      <c r="D326" t="s">
        <v>1053</v>
      </c>
      <c r="E326" t="s">
        <v>18</v>
      </c>
      <c r="F326" t="s">
        <v>20</v>
      </c>
      <c r="G326" t="s">
        <v>20</v>
      </c>
      <c r="H326" t="s">
        <v>18</v>
      </c>
      <c r="I326">
        <v>5</v>
      </c>
      <c r="J326">
        <v>6</v>
      </c>
      <c r="K326">
        <v>300</v>
      </c>
      <c r="L326" t="s">
        <v>714</v>
      </c>
      <c r="M326" t="s">
        <v>99</v>
      </c>
      <c r="N326" t="s">
        <v>147</v>
      </c>
      <c r="O326" t="s">
        <v>593</v>
      </c>
      <c r="P326" t="s">
        <v>1054</v>
      </c>
      <c r="Q326">
        <f t="shared" si="90"/>
        <v>4</v>
      </c>
      <c r="R326">
        <f t="shared" si="91"/>
        <v>2</v>
      </c>
      <c r="S326">
        <f t="shared" si="92"/>
        <v>2</v>
      </c>
      <c r="T326">
        <f t="shared" si="93"/>
        <v>4</v>
      </c>
      <c r="U326">
        <v>300</v>
      </c>
      <c r="V326">
        <f t="shared" si="94"/>
        <v>0</v>
      </c>
      <c r="W326">
        <f t="shared" si="95"/>
        <v>0</v>
      </c>
      <c r="X326">
        <f t="shared" si="96"/>
        <v>1</v>
      </c>
      <c r="Y326">
        <f t="shared" si="97"/>
        <v>1</v>
      </c>
      <c r="Z326">
        <f t="shared" si="98"/>
        <v>1</v>
      </c>
      <c r="AA326">
        <f t="shared" si="99"/>
        <v>1</v>
      </c>
      <c r="AB326">
        <f t="shared" si="100"/>
        <v>0</v>
      </c>
      <c r="AC326">
        <f t="shared" si="101"/>
        <v>0</v>
      </c>
      <c r="AD326">
        <f t="shared" si="102"/>
        <v>0</v>
      </c>
      <c r="AE326">
        <f t="shared" si="103"/>
        <v>1</v>
      </c>
      <c r="AF326">
        <f t="shared" si="104"/>
        <v>0</v>
      </c>
      <c r="AG326">
        <f t="shared" si="105"/>
        <v>0</v>
      </c>
      <c r="AH326">
        <f t="shared" si="106"/>
        <v>1</v>
      </c>
      <c r="AI326">
        <f t="shared" si="107"/>
        <v>1</v>
      </c>
    </row>
    <row r="327" spans="1:35" x14ac:dyDescent="0.2">
      <c r="A327">
        <v>105</v>
      </c>
      <c r="B327" t="s">
        <v>749</v>
      </c>
      <c r="C327">
        <v>9</v>
      </c>
      <c r="D327" t="s">
        <v>1055</v>
      </c>
      <c r="E327" t="s">
        <v>18</v>
      </c>
      <c r="F327" t="s">
        <v>20</v>
      </c>
      <c r="G327" t="s">
        <v>18</v>
      </c>
      <c r="H327" t="s">
        <v>19</v>
      </c>
      <c r="I327">
        <v>3</v>
      </c>
      <c r="J327">
        <v>2</v>
      </c>
      <c r="K327" s="2">
        <v>3000000</v>
      </c>
      <c r="L327" t="s">
        <v>22</v>
      </c>
      <c r="M327" t="s">
        <v>23</v>
      </c>
      <c r="N327" t="s">
        <v>36</v>
      </c>
      <c r="O327" t="s">
        <v>1056</v>
      </c>
      <c r="P327" t="s">
        <v>1057</v>
      </c>
      <c r="Q327">
        <f t="shared" si="90"/>
        <v>4</v>
      </c>
      <c r="R327">
        <f t="shared" si="91"/>
        <v>2</v>
      </c>
      <c r="S327">
        <f t="shared" si="92"/>
        <v>4</v>
      </c>
      <c r="T327">
        <f t="shared" si="93"/>
        <v>3</v>
      </c>
      <c r="U327">
        <v>3000000</v>
      </c>
      <c r="V327">
        <f t="shared" si="94"/>
        <v>1</v>
      </c>
      <c r="W327">
        <f t="shared" si="95"/>
        <v>0</v>
      </c>
      <c r="X327">
        <f t="shared" si="96"/>
        <v>0</v>
      </c>
      <c r="Y327">
        <f t="shared" si="97"/>
        <v>0</v>
      </c>
      <c r="Z327">
        <f t="shared" si="98"/>
        <v>0</v>
      </c>
      <c r="AA327">
        <f t="shared" si="99"/>
        <v>1</v>
      </c>
      <c r="AB327">
        <f t="shared" si="100"/>
        <v>0</v>
      </c>
      <c r="AC327">
        <f t="shared" si="101"/>
        <v>0</v>
      </c>
      <c r="AD327">
        <f t="shared" si="102"/>
        <v>0</v>
      </c>
      <c r="AE327">
        <f t="shared" si="103"/>
        <v>0</v>
      </c>
      <c r="AF327">
        <f t="shared" si="104"/>
        <v>0</v>
      </c>
      <c r="AG327">
        <f t="shared" si="105"/>
        <v>0</v>
      </c>
      <c r="AH327">
        <f t="shared" si="106"/>
        <v>0</v>
      </c>
      <c r="AI327">
        <f t="shared" si="107"/>
        <v>1</v>
      </c>
    </row>
    <row r="328" spans="1:35" x14ac:dyDescent="0.2">
      <c r="A328">
        <v>106</v>
      </c>
      <c r="B328" t="s">
        <v>749</v>
      </c>
      <c r="C328">
        <v>7</v>
      </c>
      <c r="D328" t="s">
        <v>1058</v>
      </c>
      <c r="E328" t="s">
        <v>20</v>
      </c>
      <c r="F328" t="s">
        <v>18</v>
      </c>
      <c r="G328" t="s">
        <v>18</v>
      </c>
      <c r="H328" t="s">
        <v>20</v>
      </c>
      <c r="I328">
        <v>3</v>
      </c>
      <c r="J328">
        <v>2</v>
      </c>
      <c r="K328" s="1">
        <v>100</v>
      </c>
      <c r="L328" t="s">
        <v>70</v>
      </c>
      <c r="M328" t="s">
        <v>123</v>
      </c>
      <c r="N328" t="s">
        <v>84</v>
      </c>
      <c r="O328" t="s">
        <v>1059</v>
      </c>
      <c r="P328" t="s">
        <v>1060</v>
      </c>
      <c r="Q328">
        <f t="shared" si="90"/>
        <v>2</v>
      </c>
      <c r="R328">
        <f t="shared" si="91"/>
        <v>4</v>
      </c>
      <c r="S328">
        <f t="shared" si="92"/>
        <v>4</v>
      </c>
      <c r="T328">
        <f t="shared" si="93"/>
        <v>2</v>
      </c>
      <c r="U328">
        <v>100</v>
      </c>
      <c r="V328">
        <f t="shared" si="94"/>
        <v>0</v>
      </c>
      <c r="W328">
        <f t="shared" si="95"/>
        <v>0</v>
      </c>
      <c r="X328">
        <f t="shared" si="96"/>
        <v>0</v>
      </c>
      <c r="Y328">
        <f t="shared" si="97"/>
        <v>1</v>
      </c>
      <c r="Z328">
        <f t="shared" si="98"/>
        <v>0</v>
      </c>
      <c r="AA328">
        <f t="shared" si="99"/>
        <v>0</v>
      </c>
      <c r="AB328">
        <f t="shared" si="100"/>
        <v>1</v>
      </c>
      <c r="AC328">
        <f t="shared" si="101"/>
        <v>1</v>
      </c>
      <c r="AD328">
        <f t="shared" si="102"/>
        <v>0</v>
      </c>
      <c r="AE328">
        <f t="shared" si="103"/>
        <v>0</v>
      </c>
      <c r="AF328">
        <f t="shared" si="104"/>
        <v>0</v>
      </c>
      <c r="AG328">
        <f t="shared" si="105"/>
        <v>1</v>
      </c>
      <c r="AH328">
        <f t="shared" si="106"/>
        <v>0</v>
      </c>
      <c r="AI328">
        <f t="shared" si="107"/>
        <v>0</v>
      </c>
    </row>
    <row r="329" spans="1:35" x14ac:dyDescent="0.2">
      <c r="A329">
        <v>107</v>
      </c>
      <c r="B329" t="s">
        <v>749</v>
      </c>
      <c r="C329">
        <v>9</v>
      </c>
      <c r="D329" t="s">
        <v>1061</v>
      </c>
      <c r="E329" t="s">
        <v>18</v>
      </c>
      <c r="F329" t="s">
        <v>18</v>
      </c>
      <c r="G329" t="s">
        <v>20</v>
      </c>
      <c r="H329" t="s">
        <v>18</v>
      </c>
      <c r="I329">
        <v>3</v>
      </c>
      <c r="J329">
        <v>3</v>
      </c>
      <c r="K329">
        <v>10000000</v>
      </c>
      <c r="L329" t="s">
        <v>494</v>
      </c>
      <c r="M329" t="s">
        <v>48</v>
      </c>
      <c r="N329" t="s">
        <v>36</v>
      </c>
      <c r="O329" t="s">
        <v>1062</v>
      </c>
      <c r="P329" t="s">
        <v>1063</v>
      </c>
      <c r="Q329">
        <f t="shared" si="90"/>
        <v>4</v>
      </c>
      <c r="R329">
        <f t="shared" si="91"/>
        <v>4</v>
      </c>
      <c r="S329">
        <f t="shared" si="92"/>
        <v>2</v>
      </c>
      <c r="T329">
        <f t="shared" si="93"/>
        <v>4</v>
      </c>
      <c r="U329">
        <v>10000000</v>
      </c>
      <c r="V329">
        <f t="shared" si="94"/>
        <v>0</v>
      </c>
      <c r="W329">
        <f t="shared" si="95"/>
        <v>1</v>
      </c>
      <c r="X329">
        <f t="shared" si="96"/>
        <v>1</v>
      </c>
      <c r="Y329">
        <f t="shared" si="97"/>
        <v>1</v>
      </c>
      <c r="Z329">
        <f t="shared" si="98"/>
        <v>1</v>
      </c>
      <c r="AA329">
        <f t="shared" si="99"/>
        <v>1</v>
      </c>
      <c r="AB329">
        <f t="shared" si="100"/>
        <v>1</v>
      </c>
      <c r="AC329">
        <f t="shared" si="101"/>
        <v>1</v>
      </c>
      <c r="AD329">
        <f t="shared" si="102"/>
        <v>0</v>
      </c>
      <c r="AE329">
        <f t="shared" si="103"/>
        <v>0</v>
      </c>
      <c r="AF329">
        <f t="shared" si="104"/>
        <v>0</v>
      </c>
      <c r="AG329">
        <f t="shared" si="105"/>
        <v>0</v>
      </c>
      <c r="AH329">
        <f t="shared" si="106"/>
        <v>0</v>
      </c>
      <c r="AI329">
        <f t="shared" si="107"/>
        <v>1</v>
      </c>
    </row>
    <row r="330" spans="1:35" x14ac:dyDescent="0.2">
      <c r="A330">
        <v>108</v>
      </c>
      <c r="B330" t="s">
        <v>749</v>
      </c>
      <c r="C330">
        <v>7</v>
      </c>
      <c r="D330" t="s">
        <v>1064</v>
      </c>
      <c r="E330" t="s">
        <v>20</v>
      </c>
      <c r="F330" t="s">
        <v>18</v>
      </c>
      <c r="G330" t="s">
        <v>18</v>
      </c>
      <c r="H330" t="s">
        <v>20</v>
      </c>
      <c r="I330">
        <v>4</v>
      </c>
      <c r="J330">
        <v>3</v>
      </c>
      <c r="K330">
        <v>2000000</v>
      </c>
      <c r="L330" t="s">
        <v>41</v>
      </c>
      <c r="M330" t="s">
        <v>115</v>
      </c>
      <c r="N330" t="s">
        <v>36</v>
      </c>
      <c r="O330" t="s">
        <v>1065</v>
      </c>
      <c r="P330" t="s">
        <v>1066</v>
      </c>
      <c r="Q330">
        <f t="shared" si="90"/>
        <v>2</v>
      </c>
      <c r="R330">
        <f t="shared" si="91"/>
        <v>4</v>
      </c>
      <c r="S330">
        <f t="shared" si="92"/>
        <v>4</v>
      </c>
      <c r="T330">
        <f t="shared" si="93"/>
        <v>2</v>
      </c>
      <c r="U330">
        <v>2000000</v>
      </c>
      <c r="V330">
        <f t="shared" si="94"/>
        <v>0</v>
      </c>
      <c r="W330">
        <f t="shared" si="95"/>
        <v>0</v>
      </c>
      <c r="X330">
        <f t="shared" si="96"/>
        <v>0</v>
      </c>
      <c r="Y330">
        <f t="shared" si="97"/>
        <v>0</v>
      </c>
      <c r="Z330">
        <f t="shared" si="98"/>
        <v>1</v>
      </c>
      <c r="AA330">
        <f t="shared" si="99"/>
        <v>0</v>
      </c>
      <c r="AB330">
        <f t="shared" si="100"/>
        <v>0</v>
      </c>
      <c r="AC330">
        <f t="shared" si="101"/>
        <v>1</v>
      </c>
      <c r="AD330">
        <f t="shared" si="102"/>
        <v>0</v>
      </c>
      <c r="AE330">
        <f t="shared" si="103"/>
        <v>0</v>
      </c>
      <c r="AF330">
        <f t="shared" si="104"/>
        <v>0</v>
      </c>
      <c r="AG330">
        <f t="shared" si="105"/>
        <v>0</v>
      </c>
      <c r="AH330">
        <f t="shared" si="106"/>
        <v>0</v>
      </c>
      <c r="AI330">
        <f t="shared" si="107"/>
        <v>1</v>
      </c>
    </row>
    <row r="331" spans="1:35" x14ac:dyDescent="0.2">
      <c r="A331">
        <v>109</v>
      </c>
      <c r="B331" t="s">
        <v>749</v>
      </c>
      <c r="C331">
        <v>6.7</v>
      </c>
      <c r="D331" t="s">
        <v>1067</v>
      </c>
      <c r="E331" t="s">
        <v>19</v>
      </c>
      <c r="F331" t="s">
        <v>18</v>
      </c>
      <c r="G331" t="s">
        <v>39</v>
      </c>
      <c r="H331" t="s">
        <v>19</v>
      </c>
      <c r="I331">
        <v>5</v>
      </c>
      <c r="J331">
        <v>4</v>
      </c>
      <c r="K331">
        <v>4000</v>
      </c>
      <c r="L331" t="s">
        <v>194</v>
      </c>
      <c r="M331" t="s">
        <v>48</v>
      </c>
      <c r="N331" t="s">
        <v>36</v>
      </c>
      <c r="O331" t="s">
        <v>1068</v>
      </c>
      <c r="P331" t="s">
        <v>1069</v>
      </c>
      <c r="Q331">
        <f t="shared" si="90"/>
        <v>3</v>
      </c>
      <c r="R331">
        <f t="shared" si="91"/>
        <v>4</v>
      </c>
      <c r="S331">
        <f t="shared" si="92"/>
        <v>5</v>
      </c>
      <c r="T331">
        <f t="shared" si="93"/>
        <v>3</v>
      </c>
      <c r="U331">
        <v>4000</v>
      </c>
      <c r="V331">
        <f t="shared" si="94"/>
        <v>0</v>
      </c>
      <c r="W331">
        <f t="shared" si="95"/>
        <v>0</v>
      </c>
      <c r="X331">
        <f t="shared" si="96"/>
        <v>0</v>
      </c>
      <c r="Y331">
        <f t="shared" si="97"/>
        <v>1</v>
      </c>
      <c r="Z331">
        <f t="shared" si="98"/>
        <v>1</v>
      </c>
      <c r="AA331">
        <f t="shared" si="99"/>
        <v>1</v>
      </c>
      <c r="AB331">
        <f t="shared" si="100"/>
        <v>1</v>
      </c>
      <c r="AC331">
        <f t="shared" si="101"/>
        <v>1</v>
      </c>
      <c r="AD331">
        <f t="shared" si="102"/>
        <v>0</v>
      </c>
      <c r="AE331">
        <f t="shared" si="103"/>
        <v>0</v>
      </c>
      <c r="AF331">
        <f t="shared" si="104"/>
        <v>0</v>
      </c>
      <c r="AG331">
        <f t="shared" si="105"/>
        <v>0</v>
      </c>
      <c r="AH331">
        <f t="shared" si="106"/>
        <v>0</v>
      </c>
      <c r="AI331">
        <f t="shared" si="107"/>
        <v>1</v>
      </c>
    </row>
    <row r="332" spans="1:35" x14ac:dyDescent="0.2">
      <c r="A332">
        <v>110</v>
      </c>
      <c r="B332" t="s">
        <v>749</v>
      </c>
      <c r="C332">
        <v>5</v>
      </c>
      <c r="D332" t="s">
        <v>1070</v>
      </c>
      <c r="E332" t="s">
        <v>20</v>
      </c>
      <c r="F332" t="s">
        <v>18</v>
      </c>
      <c r="G332" t="s">
        <v>39</v>
      </c>
      <c r="H332" t="s">
        <v>20</v>
      </c>
      <c r="I332">
        <v>2</v>
      </c>
      <c r="J332">
        <v>2</v>
      </c>
      <c r="K332">
        <v>500</v>
      </c>
      <c r="L332" t="s">
        <v>1071</v>
      </c>
      <c r="M332" t="s">
        <v>280</v>
      </c>
      <c r="N332" t="s">
        <v>84</v>
      </c>
      <c r="O332" t="s">
        <v>593</v>
      </c>
      <c r="P332" t="s">
        <v>1072</v>
      </c>
      <c r="Q332">
        <f t="shared" si="90"/>
        <v>2</v>
      </c>
      <c r="R332">
        <f t="shared" si="91"/>
        <v>4</v>
      </c>
      <c r="S332">
        <f t="shared" si="92"/>
        <v>5</v>
      </c>
      <c r="T332">
        <f t="shared" si="93"/>
        <v>2</v>
      </c>
      <c r="U332">
        <v>500</v>
      </c>
      <c r="V332">
        <f t="shared" si="94"/>
        <v>1</v>
      </c>
      <c r="W332">
        <f t="shared" si="95"/>
        <v>0</v>
      </c>
      <c r="X332">
        <f t="shared" si="96"/>
        <v>1</v>
      </c>
      <c r="Y332">
        <f t="shared" si="97"/>
        <v>1</v>
      </c>
      <c r="Z332">
        <f t="shared" si="98"/>
        <v>0</v>
      </c>
      <c r="AA332">
        <f t="shared" si="99"/>
        <v>0</v>
      </c>
      <c r="AB332">
        <f t="shared" si="100"/>
        <v>1</v>
      </c>
      <c r="AC332">
        <f t="shared" si="101"/>
        <v>1</v>
      </c>
      <c r="AD332">
        <f t="shared" si="102"/>
        <v>1</v>
      </c>
      <c r="AE332">
        <f t="shared" si="103"/>
        <v>0</v>
      </c>
      <c r="AF332">
        <f t="shared" si="104"/>
        <v>0</v>
      </c>
      <c r="AG332">
        <f t="shared" si="105"/>
        <v>1</v>
      </c>
      <c r="AH332">
        <f t="shared" si="106"/>
        <v>0</v>
      </c>
      <c r="AI332">
        <f t="shared" si="107"/>
        <v>0</v>
      </c>
    </row>
    <row r="333" spans="1:35" x14ac:dyDescent="0.2">
      <c r="A333">
        <v>111</v>
      </c>
      <c r="B333" t="s">
        <v>749</v>
      </c>
      <c r="C333">
        <v>8</v>
      </c>
      <c r="D333" t="s">
        <v>1073</v>
      </c>
      <c r="E333" t="s">
        <v>19</v>
      </c>
      <c r="F333" t="s">
        <v>39</v>
      </c>
      <c r="G333" t="s">
        <v>18</v>
      </c>
      <c r="H333" t="s">
        <v>20</v>
      </c>
      <c r="I333">
        <v>4</v>
      </c>
      <c r="J333">
        <v>12</v>
      </c>
      <c r="K333">
        <v>1000000</v>
      </c>
      <c r="L333" t="s">
        <v>41</v>
      </c>
      <c r="M333" t="s">
        <v>123</v>
      </c>
      <c r="N333" t="s">
        <v>215</v>
      </c>
      <c r="O333" t="s">
        <v>1074</v>
      </c>
      <c r="P333" t="s">
        <v>1075</v>
      </c>
      <c r="Q333">
        <f t="shared" si="90"/>
        <v>3</v>
      </c>
      <c r="R333">
        <f t="shared" si="91"/>
        <v>5</v>
      </c>
      <c r="S333">
        <f t="shared" si="92"/>
        <v>4</v>
      </c>
      <c r="T333">
        <f t="shared" si="93"/>
        <v>2</v>
      </c>
      <c r="U333">
        <v>1000000</v>
      </c>
      <c r="V333">
        <f t="shared" si="94"/>
        <v>0</v>
      </c>
      <c r="W333">
        <f t="shared" si="95"/>
        <v>0</v>
      </c>
      <c r="X333">
        <f t="shared" si="96"/>
        <v>0</v>
      </c>
      <c r="Y333">
        <f t="shared" si="97"/>
        <v>0</v>
      </c>
      <c r="Z333">
        <f t="shared" si="98"/>
        <v>1</v>
      </c>
      <c r="AA333">
        <f t="shared" si="99"/>
        <v>0</v>
      </c>
      <c r="AB333">
        <f t="shared" si="100"/>
        <v>1</v>
      </c>
      <c r="AC333">
        <f t="shared" si="101"/>
        <v>1</v>
      </c>
      <c r="AD333">
        <f t="shared" si="102"/>
        <v>0</v>
      </c>
      <c r="AE333">
        <f t="shared" si="103"/>
        <v>0</v>
      </c>
      <c r="AF333">
        <f t="shared" si="104"/>
        <v>1</v>
      </c>
      <c r="AG333">
        <f t="shared" si="105"/>
        <v>0</v>
      </c>
      <c r="AH333">
        <f t="shared" si="106"/>
        <v>0</v>
      </c>
      <c r="AI333">
        <f t="shared" si="107"/>
        <v>0</v>
      </c>
    </row>
    <row r="334" spans="1:35" x14ac:dyDescent="0.2">
      <c r="A334">
        <v>112</v>
      </c>
      <c r="B334" t="s">
        <v>749</v>
      </c>
      <c r="C334">
        <v>3</v>
      </c>
      <c r="D334" t="s">
        <v>1076</v>
      </c>
      <c r="E334" t="s">
        <v>20</v>
      </c>
      <c r="F334" t="s">
        <v>20</v>
      </c>
      <c r="G334" t="s">
        <v>19</v>
      </c>
      <c r="H334" t="s">
        <v>18</v>
      </c>
      <c r="I334">
        <v>2</v>
      </c>
      <c r="J334">
        <v>2</v>
      </c>
      <c r="K334">
        <v>0</v>
      </c>
      <c r="L334" t="s">
        <v>22</v>
      </c>
      <c r="M334" t="s">
        <v>42</v>
      </c>
      <c r="N334" t="s">
        <v>36</v>
      </c>
      <c r="O334" t="s">
        <v>1077</v>
      </c>
      <c r="P334" t="s">
        <v>1078</v>
      </c>
      <c r="Q334">
        <f t="shared" si="90"/>
        <v>2</v>
      </c>
      <c r="R334">
        <f t="shared" si="91"/>
        <v>2</v>
      </c>
      <c r="S334">
        <f t="shared" si="92"/>
        <v>3</v>
      </c>
      <c r="T334">
        <f t="shared" si="93"/>
        <v>4</v>
      </c>
      <c r="U334">
        <v>0</v>
      </c>
      <c r="V334">
        <f t="shared" si="94"/>
        <v>1</v>
      </c>
      <c r="W334">
        <f t="shared" si="95"/>
        <v>0</v>
      </c>
      <c r="X334">
        <f t="shared" si="96"/>
        <v>0</v>
      </c>
      <c r="Y334">
        <f t="shared" si="97"/>
        <v>0</v>
      </c>
      <c r="Z334">
        <f t="shared" si="98"/>
        <v>0</v>
      </c>
      <c r="AA334">
        <f t="shared" si="99"/>
        <v>0</v>
      </c>
      <c r="AB334">
        <f t="shared" si="100"/>
        <v>1</v>
      </c>
      <c r="AC334">
        <f t="shared" si="101"/>
        <v>0</v>
      </c>
      <c r="AD334">
        <f t="shared" si="102"/>
        <v>0</v>
      </c>
      <c r="AE334">
        <f t="shared" si="103"/>
        <v>0</v>
      </c>
      <c r="AF334">
        <f t="shared" si="104"/>
        <v>0</v>
      </c>
      <c r="AG334">
        <f t="shared" si="105"/>
        <v>0</v>
      </c>
      <c r="AH334">
        <f t="shared" si="106"/>
        <v>0</v>
      </c>
      <c r="AI334">
        <f t="shared" si="107"/>
        <v>1</v>
      </c>
    </row>
    <row r="335" spans="1:35" x14ac:dyDescent="0.2">
      <c r="A335">
        <v>113</v>
      </c>
      <c r="B335" t="s">
        <v>749</v>
      </c>
      <c r="C335">
        <v>8</v>
      </c>
      <c r="D335" t="s">
        <v>1079</v>
      </c>
      <c r="E335" t="s">
        <v>20</v>
      </c>
      <c r="F335" t="s">
        <v>18</v>
      </c>
      <c r="G335" t="s">
        <v>39</v>
      </c>
      <c r="H335" t="s">
        <v>21</v>
      </c>
      <c r="I335">
        <v>3</v>
      </c>
      <c r="J335">
        <v>2</v>
      </c>
      <c r="K335">
        <v>50</v>
      </c>
      <c r="L335" t="s">
        <v>41</v>
      </c>
      <c r="M335" t="s">
        <v>123</v>
      </c>
      <c r="N335" t="s">
        <v>43</v>
      </c>
      <c r="O335" t="s">
        <v>1080</v>
      </c>
      <c r="P335" t="s">
        <v>1081</v>
      </c>
      <c r="Q335">
        <f t="shared" si="90"/>
        <v>2</v>
      </c>
      <c r="R335">
        <f t="shared" si="91"/>
        <v>4</v>
      </c>
      <c r="S335">
        <f t="shared" si="92"/>
        <v>5</v>
      </c>
      <c r="T335">
        <f t="shared" si="93"/>
        <v>1</v>
      </c>
      <c r="U335">
        <v>50</v>
      </c>
      <c r="V335">
        <f t="shared" si="94"/>
        <v>0</v>
      </c>
      <c r="W335">
        <f t="shared" si="95"/>
        <v>0</v>
      </c>
      <c r="X335">
        <f t="shared" si="96"/>
        <v>0</v>
      </c>
      <c r="Y335">
        <f t="shared" si="97"/>
        <v>0</v>
      </c>
      <c r="Z335">
        <f t="shared" si="98"/>
        <v>1</v>
      </c>
      <c r="AA335">
        <f t="shared" si="99"/>
        <v>0</v>
      </c>
      <c r="AB335">
        <f t="shared" si="100"/>
        <v>1</v>
      </c>
      <c r="AC335">
        <f t="shared" si="101"/>
        <v>1</v>
      </c>
      <c r="AD335">
        <f t="shared" si="102"/>
        <v>0</v>
      </c>
      <c r="AE335">
        <f t="shared" si="103"/>
        <v>0</v>
      </c>
      <c r="AF335">
        <f t="shared" si="104"/>
        <v>1</v>
      </c>
      <c r="AG335">
        <f t="shared" si="105"/>
        <v>1</v>
      </c>
      <c r="AH335">
        <f t="shared" si="106"/>
        <v>0</v>
      </c>
      <c r="AI335">
        <f t="shared" si="107"/>
        <v>0</v>
      </c>
    </row>
    <row r="336" spans="1:35" x14ac:dyDescent="0.2">
      <c r="A336">
        <v>114</v>
      </c>
      <c r="B336" t="s">
        <v>749</v>
      </c>
      <c r="C336">
        <v>9</v>
      </c>
      <c r="D336" t="s">
        <v>1082</v>
      </c>
      <c r="E336" t="s">
        <v>20</v>
      </c>
      <c r="F336" t="s">
        <v>18</v>
      </c>
      <c r="G336" t="s">
        <v>19</v>
      </c>
      <c r="H336" t="s">
        <v>20</v>
      </c>
      <c r="I336">
        <v>3</v>
      </c>
      <c r="J336">
        <v>3</v>
      </c>
      <c r="K336" t="s">
        <v>1083</v>
      </c>
      <c r="L336" t="s">
        <v>41</v>
      </c>
      <c r="M336" t="s">
        <v>42</v>
      </c>
      <c r="N336" t="s">
        <v>84</v>
      </c>
      <c r="O336" t="s">
        <v>1084</v>
      </c>
      <c r="P336" t="s">
        <v>1085</v>
      </c>
      <c r="Q336">
        <f t="shared" si="90"/>
        <v>2</v>
      </c>
      <c r="R336">
        <f t="shared" si="91"/>
        <v>4</v>
      </c>
      <c r="S336">
        <f t="shared" si="92"/>
        <v>3</v>
      </c>
      <c r="T336">
        <f t="shared" si="93"/>
        <v>2</v>
      </c>
      <c r="U336">
        <v>200</v>
      </c>
      <c r="V336">
        <f t="shared" si="94"/>
        <v>0</v>
      </c>
      <c r="W336">
        <f t="shared" si="95"/>
        <v>0</v>
      </c>
      <c r="X336">
        <f t="shared" si="96"/>
        <v>0</v>
      </c>
      <c r="Y336">
        <f t="shared" si="97"/>
        <v>0</v>
      </c>
      <c r="Z336">
        <f t="shared" si="98"/>
        <v>1</v>
      </c>
      <c r="AA336">
        <f t="shared" si="99"/>
        <v>0</v>
      </c>
      <c r="AB336">
        <f t="shared" si="100"/>
        <v>1</v>
      </c>
      <c r="AC336">
        <f t="shared" si="101"/>
        <v>0</v>
      </c>
      <c r="AD336">
        <f t="shared" si="102"/>
        <v>0</v>
      </c>
      <c r="AE336">
        <f t="shared" si="103"/>
        <v>0</v>
      </c>
      <c r="AF336">
        <f t="shared" si="104"/>
        <v>0</v>
      </c>
      <c r="AG336">
        <f t="shared" si="105"/>
        <v>1</v>
      </c>
      <c r="AH336">
        <f t="shared" si="106"/>
        <v>0</v>
      </c>
      <c r="AI336">
        <f t="shared" si="107"/>
        <v>0</v>
      </c>
    </row>
    <row r="337" spans="1:35" x14ac:dyDescent="0.2">
      <c r="A337">
        <v>115</v>
      </c>
      <c r="B337" t="s">
        <v>749</v>
      </c>
      <c r="C337">
        <v>6</v>
      </c>
      <c r="D337" t="s">
        <v>1086</v>
      </c>
      <c r="E337" t="s">
        <v>19</v>
      </c>
      <c r="F337" t="s">
        <v>18</v>
      </c>
      <c r="G337" t="s">
        <v>18</v>
      </c>
      <c r="H337" t="s">
        <v>20</v>
      </c>
      <c r="I337">
        <v>3</v>
      </c>
      <c r="J337">
        <v>2</v>
      </c>
      <c r="K337">
        <v>500</v>
      </c>
      <c r="L337" t="s">
        <v>41</v>
      </c>
      <c r="M337" t="s">
        <v>115</v>
      </c>
      <c r="N337" t="s">
        <v>84</v>
      </c>
      <c r="O337" t="s">
        <v>1087</v>
      </c>
      <c r="P337" t="s">
        <v>1088</v>
      </c>
      <c r="Q337">
        <f t="shared" si="90"/>
        <v>3</v>
      </c>
      <c r="R337">
        <f t="shared" si="91"/>
        <v>4</v>
      </c>
      <c r="S337">
        <f t="shared" si="92"/>
        <v>4</v>
      </c>
      <c r="T337">
        <f t="shared" si="93"/>
        <v>2</v>
      </c>
      <c r="U337">
        <v>500</v>
      </c>
      <c r="V337">
        <f t="shared" si="94"/>
        <v>0</v>
      </c>
      <c r="W337">
        <f t="shared" si="95"/>
        <v>0</v>
      </c>
      <c r="X337">
        <f t="shared" si="96"/>
        <v>0</v>
      </c>
      <c r="Y337">
        <f t="shared" si="97"/>
        <v>0</v>
      </c>
      <c r="Z337">
        <f t="shared" si="98"/>
        <v>1</v>
      </c>
      <c r="AA337">
        <f t="shared" si="99"/>
        <v>0</v>
      </c>
      <c r="AB337">
        <f t="shared" si="100"/>
        <v>0</v>
      </c>
      <c r="AC337">
        <f t="shared" si="101"/>
        <v>1</v>
      </c>
      <c r="AD337">
        <f t="shared" si="102"/>
        <v>0</v>
      </c>
      <c r="AE337">
        <f t="shared" si="103"/>
        <v>0</v>
      </c>
      <c r="AF337">
        <f t="shared" si="104"/>
        <v>0</v>
      </c>
      <c r="AG337">
        <f t="shared" si="105"/>
        <v>1</v>
      </c>
      <c r="AH337">
        <f t="shared" si="106"/>
        <v>0</v>
      </c>
      <c r="AI337">
        <f t="shared" si="107"/>
        <v>0</v>
      </c>
    </row>
    <row r="338" spans="1:35" x14ac:dyDescent="0.2">
      <c r="A338">
        <v>116</v>
      </c>
      <c r="B338" t="s">
        <v>749</v>
      </c>
      <c r="C338">
        <v>7</v>
      </c>
      <c r="D338" t="s">
        <v>1089</v>
      </c>
      <c r="E338" t="s">
        <v>39</v>
      </c>
      <c r="F338" t="s">
        <v>20</v>
      </c>
      <c r="G338" t="s">
        <v>19</v>
      </c>
      <c r="H338" t="s">
        <v>19</v>
      </c>
      <c r="I338">
        <v>3</v>
      </c>
      <c r="J338">
        <v>3</v>
      </c>
      <c r="K338">
        <v>5000000</v>
      </c>
      <c r="L338" t="s">
        <v>194</v>
      </c>
      <c r="M338" t="s">
        <v>154</v>
      </c>
      <c r="N338" t="s">
        <v>36</v>
      </c>
      <c r="O338" t="s">
        <v>590</v>
      </c>
      <c r="P338" t="s">
        <v>1090</v>
      </c>
      <c r="Q338">
        <f t="shared" si="90"/>
        <v>5</v>
      </c>
      <c r="R338">
        <f t="shared" si="91"/>
        <v>2</v>
      </c>
      <c r="S338">
        <f t="shared" si="92"/>
        <v>3</v>
      </c>
      <c r="T338">
        <f t="shared" si="93"/>
        <v>3</v>
      </c>
      <c r="U338">
        <v>5000000</v>
      </c>
      <c r="V338">
        <f t="shared" si="94"/>
        <v>0</v>
      </c>
      <c r="W338">
        <f t="shared" si="95"/>
        <v>0</v>
      </c>
      <c r="X338">
        <f t="shared" si="96"/>
        <v>0</v>
      </c>
      <c r="Y338">
        <f t="shared" si="97"/>
        <v>1</v>
      </c>
      <c r="Z338">
        <f t="shared" si="98"/>
        <v>1</v>
      </c>
      <c r="AA338">
        <f t="shared" si="99"/>
        <v>1</v>
      </c>
      <c r="AB338">
        <f t="shared" si="100"/>
        <v>0</v>
      </c>
      <c r="AC338">
        <f t="shared" si="101"/>
        <v>1</v>
      </c>
      <c r="AD338">
        <f t="shared" si="102"/>
        <v>0</v>
      </c>
      <c r="AE338">
        <f t="shared" si="103"/>
        <v>0</v>
      </c>
      <c r="AF338">
        <f t="shared" si="104"/>
        <v>0</v>
      </c>
      <c r="AG338">
        <f t="shared" si="105"/>
        <v>0</v>
      </c>
      <c r="AH338">
        <f t="shared" si="106"/>
        <v>0</v>
      </c>
      <c r="AI338">
        <f t="shared" si="107"/>
        <v>1</v>
      </c>
    </row>
    <row r="339" spans="1:35" x14ac:dyDescent="0.2">
      <c r="A339">
        <v>117</v>
      </c>
      <c r="B339" t="s">
        <v>749</v>
      </c>
      <c r="C339">
        <v>7</v>
      </c>
      <c r="D339" t="s">
        <v>1091</v>
      </c>
      <c r="E339" t="s">
        <v>19</v>
      </c>
      <c r="F339" t="s">
        <v>19</v>
      </c>
      <c r="G339" t="s">
        <v>20</v>
      </c>
      <c r="H339" t="s">
        <v>19</v>
      </c>
      <c r="I339">
        <v>3</v>
      </c>
      <c r="J339">
        <v>3</v>
      </c>
      <c r="K339">
        <v>50</v>
      </c>
      <c r="L339" t="s">
        <v>41</v>
      </c>
      <c r="M339" t="s">
        <v>468</v>
      </c>
      <c r="N339" t="s">
        <v>36</v>
      </c>
      <c r="O339" t="s">
        <v>1092</v>
      </c>
      <c r="P339" t="s">
        <v>1093</v>
      </c>
      <c r="Q339">
        <f t="shared" si="90"/>
        <v>3</v>
      </c>
      <c r="R339">
        <f t="shared" si="91"/>
        <v>3</v>
      </c>
      <c r="S339">
        <f t="shared" si="92"/>
        <v>2</v>
      </c>
      <c r="T339">
        <f t="shared" si="93"/>
        <v>3</v>
      </c>
      <c r="U339">
        <v>50</v>
      </c>
      <c r="V339">
        <f t="shared" si="94"/>
        <v>0</v>
      </c>
      <c r="W339">
        <f t="shared" si="95"/>
        <v>0</v>
      </c>
      <c r="X339">
        <f t="shared" si="96"/>
        <v>0</v>
      </c>
      <c r="Y339">
        <f t="shared" si="97"/>
        <v>0</v>
      </c>
      <c r="Z339">
        <f t="shared" si="98"/>
        <v>1</v>
      </c>
      <c r="AA339">
        <f t="shared" si="99"/>
        <v>1</v>
      </c>
      <c r="AB339">
        <f t="shared" si="100"/>
        <v>1</v>
      </c>
      <c r="AC339">
        <f t="shared" si="101"/>
        <v>1</v>
      </c>
      <c r="AD339">
        <f t="shared" si="102"/>
        <v>1</v>
      </c>
      <c r="AE339">
        <f t="shared" si="103"/>
        <v>1</v>
      </c>
      <c r="AF339">
        <f t="shared" si="104"/>
        <v>0</v>
      </c>
      <c r="AG339">
        <f t="shared" si="105"/>
        <v>0</v>
      </c>
      <c r="AH339">
        <f t="shared" si="106"/>
        <v>0</v>
      </c>
      <c r="AI339">
        <f t="shared" si="107"/>
        <v>1</v>
      </c>
    </row>
    <row r="340" spans="1:35" x14ac:dyDescent="0.2">
      <c r="A340">
        <v>118</v>
      </c>
      <c r="B340" t="s">
        <v>749</v>
      </c>
      <c r="C340">
        <v>10</v>
      </c>
      <c r="D340" t="s">
        <v>1094</v>
      </c>
      <c r="E340" t="s">
        <v>18</v>
      </c>
      <c r="F340" t="s">
        <v>19</v>
      </c>
      <c r="G340" t="s">
        <v>18</v>
      </c>
      <c r="H340" t="s">
        <v>18</v>
      </c>
      <c r="I340">
        <v>2</v>
      </c>
      <c r="J340">
        <v>3</v>
      </c>
      <c r="K340">
        <v>1000</v>
      </c>
      <c r="L340" t="s">
        <v>70</v>
      </c>
      <c r="M340" t="s">
        <v>123</v>
      </c>
      <c r="N340" t="s">
        <v>84</v>
      </c>
      <c r="O340" t="s">
        <v>1095</v>
      </c>
      <c r="P340" t="s">
        <v>1096</v>
      </c>
      <c r="Q340">
        <f t="shared" si="90"/>
        <v>4</v>
      </c>
      <c r="R340">
        <f t="shared" si="91"/>
        <v>3</v>
      </c>
      <c r="S340">
        <f t="shared" si="92"/>
        <v>4</v>
      </c>
      <c r="T340">
        <f t="shared" si="93"/>
        <v>4</v>
      </c>
      <c r="U340">
        <v>1000</v>
      </c>
      <c r="V340">
        <f t="shared" si="94"/>
        <v>0</v>
      </c>
      <c r="W340">
        <f t="shared" si="95"/>
        <v>0</v>
      </c>
      <c r="X340">
        <f t="shared" si="96"/>
        <v>0</v>
      </c>
      <c r="Y340">
        <f t="shared" si="97"/>
        <v>1</v>
      </c>
      <c r="Z340">
        <f t="shared" si="98"/>
        <v>0</v>
      </c>
      <c r="AA340">
        <f t="shared" si="99"/>
        <v>0</v>
      </c>
      <c r="AB340">
        <f t="shared" si="100"/>
        <v>1</v>
      </c>
      <c r="AC340">
        <f t="shared" si="101"/>
        <v>1</v>
      </c>
      <c r="AD340">
        <f t="shared" si="102"/>
        <v>0</v>
      </c>
      <c r="AE340">
        <f t="shared" si="103"/>
        <v>0</v>
      </c>
      <c r="AF340">
        <f t="shared" si="104"/>
        <v>0</v>
      </c>
      <c r="AG340">
        <f t="shared" si="105"/>
        <v>1</v>
      </c>
      <c r="AH340">
        <f t="shared" si="106"/>
        <v>0</v>
      </c>
      <c r="AI340">
        <f t="shared" si="107"/>
        <v>0</v>
      </c>
    </row>
    <row r="341" spans="1:35" x14ac:dyDescent="0.2">
      <c r="A341">
        <v>119</v>
      </c>
      <c r="B341" t="s">
        <v>749</v>
      </c>
      <c r="C341">
        <v>7</v>
      </c>
      <c r="D341" t="s">
        <v>1097</v>
      </c>
      <c r="E341" t="s">
        <v>21</v>
      </c>
      <c r="F341" t="s">
        <v>18</v>
      </c>
      <c r="G341" t="s">
        <v>18</v>
      </c>
      <c r="H341" t="s">
        <v>21</v>
      </c>
      <c r="I341">
        <v>5</v>
      </c>
      <c r="J341">
        <v>3</v>
      </c>
      <c r="K341">
        <v>5000</v>
      </c>
      <c r="L341" t="s">
        <v>230</v>
      </c>
      <c r="M341" t="s">
        <v>1098</v>
      </c>
      <c r="N341" t="s">
        <v>36</v>
      </c>
      <c r="O341" t="s">
        <v>1099</v>
      </c>
      <c r="P341" t="s">
        <v>1100</v>
      </c>
      <c r="Q341">
        <f t="shared" si="90"/>
        <v>1</v>
      </c>
      <c r="R341">
        <f t="shared" si="91"/>
        <v>4</v>
      </c>
      <c r="S341">
        <f t="shared" si="92"/>
        <v>4</v>
      </c>
      <c r="T341">
        <f t="shared" si="93"/>
        <v>1</v>
      </c>
      <c r="U341">
        <v>5000</v>
      </c>
      <c r="V341">
        <f t="shared" si="94"/>
        <v>1</v>
      </c>
      <c r="W341">
        <f t="shared" si="95"/>
        <v>1</v>
      </c>
      <c r="X341">
        <f t="shared" si="96"/>
        <v>1</v>
      </c>
      <c r="Y341">
        <f t="shared" si="97"/>
        <v>1</v>
      </c>
      <c r="Z341">
        <f t="shared" si="98"/>
        <v>1</v>
      </c>
      <c r="AA341">
        <f t="shared" si="99"/>
        <v>1</v>
      </c>
      <c r="AB341">
        <f t="shared" si="100"/>
        <v>1</v>
      </c>
      <c r="AC341">
        <f t="shared" si="101"/>
        <v>1</v>
      </c>
      <c r="AD341">
        <f t="shared" si="102"/>
        <v>0</v>
      </c>
      <c r="AE341">
        <f t="shared" si="103"/>
        <v>1</v>
      </c>
      <c r="AF341">
        <f t="shared" si="104"/>
        <v>0</v>
      </c>
      <c r="AG341">
        <f t="shared" si="105"/>
        <v>0</v>
      </c>
      <c r="AH341">
        <f t="shared" si="106"/>
        <v>0</v>
      </c>
      <c r="AI341">
        <f t="shared" si="107"/>
        <v>1</v>
      </c>
    </row>
    <row r="342" spans="1:35" x14ac:dyDescent="0.2">
      <c r="A342">
        <v>120</v>
      </c>
      <c r="B342" t="s">
        <v>749</v>
      </c>
      <c r="C342">
        <v>9</v>
      </c>
      <c r="D342" t="s">
        <v>1101</v>
      </c>
      <c r="E342" t="s">
        <v>39</v>
      </c>
      <c r="F342" t="s">
        <v>20</v>
      </c>
      <c r="G342" t="s">
        <v>18</v>
      </c>
      <c r="H342" t="s">
        <v>20</v>
      </c>
      <c r="I342">
        <v>5</v>
      </c>
      <c r="J342">
        <v>4</v>
      </c>
      <c r="K342" s="2">
        <v>10000</v>
      </c>
      <c r="L342" t="s">
        <v>122</v>
      </c>
      <c r="M342" t="s">
        <v>468</v>
      </c>
      <c r="N342" t="s">
        <v>36</v>
      </c>
      <c r="O342" t="s">
        <v>1102</v>
      </c>
      <c r="P342" t="s">
        <v>1103</v>
      </c>
      <c r="Q342">
        <f t="shared" si="90"/>
        <v>5</v>
      </c>
      <c r="R342">
        <f t="shared" si="91"/>
        <v>2</v>
      </c>
      <c r="S342">
        <f t="shared" si="92"/>
        <v>4</v>
      </c>
      <c r="T342">
        <f t="shared" si="93"/>
        <v>2</v>
      </c>
      <c r="U342">
        <v>10000</v>
      </c>
      <c r="V342">
        <f t="shared" si="94"/>
        <v>1</v>
      </c>
      <c r="W342">
        <f t="shared" si="95"/>
        <v>0</v>
      </c>
      <c r="X342">
        <f t="shared" si="96"/>
        <v>1</v>
      </c>
      <c r="Y342">
        <f t="shared" si="97"/>
        <v>0</v>
      </c>
      <c r="Z342">
        <f t="shared" si="98"/>
        <v>1</v>
      </c>
      <c r="AA342">
        <f t="shared" si="99"/>
        <v>1</v>
      </c>
      <c r="AB342">
        <f t="shared" si="100"/>
        <v>1</v>
      </c>
      <c r="AC342">
        <f t="shared" si="101"/>
        <v>1</v>
      </c>
      <c r="AD342">
        <f t="shared" si="102"/>
        <v>1</v>
      </c>
      <c r="AE342">
        <f t="shared" si="103"/>
        <v>1</v>
      </c>
      <c r="AF342">
        <f t="shared" si="104"/>
        <v>0</v>
      </c>
      <c r="AG342">
        <f t="shared" si="105"/>
        <v>0</v>
      </c>
      <c r="AH342">
        <f t="shared" si="106"/>
        <v>0</v>
      </c>
      <c r="AI342">
        <f t="shared" si="107"/>
        <v>1</v>
      </c>
    </row>
    <row r="343" spans="1:35" x14ac:dyDescent="0.2">
      <c r="A343">
        <v>121</v>
      </c>
      <c r="B343" t="s">
        <v>749</v>
      </c>
      <c r="C343">
        <v>6</v>
      </c>
      <c r="D343" t="s">
        <v>1104</v>
      </c>
      <c r="E343" t="s">
        <v>21</v>
      </c>
      <c r="F343" t="s">
        <v>18</v>
      </c>
      <c r="G343" t="s">
        <v>18</v>
      </c>
      <c r="H343" t="s">
        <v>20</v>
      </c>
      <c r="I343">
        <v>5</v>
      </c>
      <c r="J343">
        <v>6</v>
      </c>
      <c r="K343" s="2">
        <v>100000</v>
      </c>
      <c r="L343" t="s">
        <v>70</v>
      </c>
      <c r="M343" t="s">
        <v>123</v>
      </c>
      <c r="N343" t="s">
        <v>84</v>
      </c>
      <c r="O343" t="s">
        <v>1105</v>
      </c>
      <c r="P343" t="s">
        <v>1106</v>
      </c>
      <c r="Q343">
        <f t="shared" si="90"/>
        <v>1</v>
      </c>
      <c r="R343">
        <f t="shared" si="91"/>
        <v>4</v>
      </c>
      <c r="S343">
        <f t="shared" si="92"/>
        <v>4</v>
      </c>
      <c r="T343">
        <f t="shared" si="93"/>
        <v>2</v>
      </c>
      <c r="U343">
        <v>100000</v>
      </c>
      <c r="V343">
        <f t="shared" si="94"/>
        <v>0</v>
      </c>
      <c r="W343">
        <f t="shared" si="95"/>
        <v>0</v>
      </c>
      <c r="X343">
        <f t="shared" si="96"/>
        <v>0</v>
      </c>
      <c r="Y343">
        <f t="shared" si="97"/>
        <v>1</v>
      </c>
      <c r="Z343">
        <f t="shared" si="98"/>
        <v>0</v>
      </c>
      <c r="AA343">
        <f t="shared" si="99"/>
        <v>0</v>
      </c>
      <c r="AB343">
        <f t="shared" si="100"/>
        <v>1</v>
      </c>
      <c r="AC343">
        <f t="shared" si="101"/>
        <v>1</v>
      </c>
      <c r="AD343">
        <f t="shared" si="102"/>
        <v>0</v>
      </c>
      <c r="AE343">
        <f t="shared" si="103"/>
        <v>0</v>
      </c>
      <c r="AF343">
        <f t="shared" si="104"/>
        <v>0</v>
      </c>
      <c r="AG343">
        <f t="shared" si="105"/>
        <v>1</v>
      </c>
      <c r="AH343">
        <f t="shared" si="106"/>
        <v>0</v>
      </c>
      <c r="AI343">
        <f t="shared" si="107"/>
        <v>0</v>
      </c>
    </row>
    <row r="344" spans="1:35" ht="221" x14ac:dyDescent="0.2">
      <c r="A344">
        <v>122</v>
      </c>
      <c r="B344" t="s">
        <v>749</v>
      </c>
      <c r="C344">
        <v>6</v>
      </c>
      <c r="D344" t="s">
        <v>1107</v>
      </c>
      <c r="E344" t="s">
        <v>19</v>
      </c>
      <c r="F344" t="s">
        <v>18</v>
      </c>
      <c r="G344" t="s">
        <v>21</v>
      </c>
      <c r="H344" t="s">
        <v>20</v>
      </c>
      <c r="I344">
        <v>3</v>
      </c>
      <c r="J344">
        <v>4</v>
      </c>
      <c r="K344">
        <v>50000000</v>
      </c>
      <c r="L344" t="s">
        <v>230</v>
      </c>
      <c r="M344" t="s">
        <v>781</v>
      </c>
      <c r="N344" t="s">
        <v>84</v>
      </c>
      <c r="O344" t="s">
        <v>1108</v>
      </c>
      <c r="P344" s="3" t="s">
        <v>1109</v>
      </c>
      <c r="Q344">
        <f t="shared" si="90"/>
        <v>3</v>
      </c>
      <c r="R344">
        <f t="shared" si="91"/>
        <v>4</v>
      </c>
      <c r="S344">
        <f t="shared" si="92"/>
        <v>1</v>
      </c>
      <c r="T344">
        <f t="shared" si="93"/>
        <v>2</v>
      </c>
      <c r="U344">
        <v>50000000</v>
      </c>
      <c r="V344">
        <f t="shared" si="94"/>
        <v>1</v>
      </c>
      <c r="W344">
        <f t="shared" si="95"/>
        <v>1</v>
      </c>
      <c r="X344">
        <f t="shared" si="96"/>
        <v>1</v>
      </c>
      <c r="Y344">
        <f t="shared" si="97"/>
        <v>1</v>
      </c>
      <c r="Z344">
        <f t="shared" si="98"/>
        <v>1</v>
      </c>
      <c r="AA344">
        <f t="shared" si="99"/>
        <v>0</v>
      </c>
      <c r="AB344">
        <f t="shared" si="100"/>
        <v>1</v>
      </c>
      <c r="AC344">
        <f t="shared" si="101"/>
        <v>1</v>
      </c>
      <c r="AD344">
        <f t="shared" si="102"/>
        <v>1</v>
      </c>
      <c r="AE344">
        <f t="shared" si="103"/>
        <v>1</v>
      </c>
      <c r="AF344">
        <f t="shared" si="104"/>
        <v>0</v>
      </c>
      <c r="AG344">
        <f t="shared" si="105"/>
        <v>1</v>
      </c>
      <c r="AH344">
        <f t="shared" si="106"/>
        <v>0</v>
      </c>
      <c r="AI344">
        <f t="shared" si="107"/>
        <v>0</v>
      </c>
    </row>
    <row r="345" spans="1:35" x14ac:dyDescent="0.2">
      <c r="A345">
        <v>123</v>
      </c>
      <c r="B345" t="s">
        <v>749</v>
      </c>
      <c r="C345">
        <v>7</v>
      </c>
      <c r="D345" t="s">
        <v>1110</v>
      </c>
      <c r="E345" t="s">
        <v>19</v>
      </c>
      <c r="F345" t="s">
        <v>39</v>
      </c>
      <c r="G345" t="s">
        <v>39</v>
      </c>
      <c r="H345" t="s">
        <v>21</v>
      </c>
      <c r="I345">
        <v>4</v>
      </c>
      <c r="J345">
        <v>3</v>
      </c>
      <c r="K345" s="1">
        <v>250</v>
      </c>
      <c r="L345" t="s">
        <v>601</v>
      </c>
      <c r="M345" t="s">
        <v>48</v>
      </c>
      <c r="N345" t="s">
        <v>36</v>
      </c>
      <c r="O345" t="s">
        <v>1111</v>
      </c>
      <c r="P345" t="s">
        <v>1112</v>
      </c>
      <c r="Q345">
        <f t="shared" si="90"/>
        <v>3</v>
      </c>
      <c r="R345">
        <f t="shared" si="91"/>
        <v>5</v>
      </c>
      <c r="S345">
        <f t="shared" si="92"/>
        <v>5</v>
      </c>
      <c r="T345">
        <f t="shared" si="93"/>
        <v>1</v>
      </c>
      <c r="U345">
        <v>250</v>
      </c>
      <c r="V345">
        <f t="shared" si="94"/>
        <v>0</v>
      </c>
      <c r="W345">
        <f t="shared" si="95"/>
        <v>1</v>
      </c>
      <c r="X345">
        <f t="shared" si="96"/>
        <v>0</v>
      </c>
      <c r="Y345">
        <f t="shared" si="97"/>
        <v>1</v>
      </c>
      <c r="Z345">
        <f t="shared" si="98"/>
        <v>1</v>
      </c>
      <c r="AA345">
        <f t="shared" si="99"/>
        <v>1</v>
      </c>
      <c r="AB345">
        <f t="shared" si="100"/>
        <v>1</v>
      </c>
      <c r="AC345">
        <f t="shared" si="101"/>
        <v>1</v>
      </c>
      <c r="AD345">
        <f t="shared" si="102"/>
        <v>0</v>
      </c>
      <c r="AE345">
        <f t="shared" si="103"/>
        <v>0</v>
      </c>
      <c r="AF345">
        <f t="shared" si="104"/>
        <v>0</v>
      </c>
      <c r="AG345">
        <f t="shared" si="105"/>
        <v>0</v>
      </c>
      <c r="AH345">
        <f t="shared" si="106"/>
        <v>0</v>
      </c>
      <c r="AI345">
        <f t="shared" si="107"/>
        <v>1</v>
      </c>
    </row>
    <row r="346" spans="1:35" x14ac:dyDescent="0.2">
      <c r="A346">
        <v>124</v>
      </c>
      <c r="B346" t="s">
        <v>749</v>
      </c>
      <c r="C346">
        <v>10</v>
      </c>
      <c r="D346" t="s">
        <v>1113</v>
      </c>
      <c r="E346" t="s">
        <v>39</v>
      </c>
      <c r="F346" t="s">
        <v>18</v>
      </c>
      <c r="G346" t="s">
        <v>39</v>
      </c>
      <c r="H346" t="s">
        <v>21</v>
      </c>
      <c r="I346">
        <v>3</v>
      </c>
      <c r="J346">
        <v>4</v>
      </c>
      <c r="K346" t="s">
        <v>1114</v>
      </c>
      <c r="L346" t="s">
        <v>276</v>
      </c>
      <c r="M346" t="s">
        <v>48</v>
      </c>
      <c r="N346" t="s">
        <v>24</v>
      </c>
      <c r="O346" t="s">
        <v>1115</v>
      </c>
      <c r="P346" t="s">
        <v>1116</v>
      </c>
      <c r="Q346">
        <f t="shared" si="90"/>
        <v>5</v>
      </c>
      <c r="R346">
        <f t="shared" si="91"/>
        <v>4</v>
      </c>
      <c r="S346">
        <f t="shared" si="92"/>
        <v>5</v>
      </c>
      <c r="T346">
        <f t="shared" si="93"/>
        <v>1</v>
      </c>
      <c r="U346">
        <v>150</v>
      </c>
      <c r="V346">
        <f t="shared" si="94"/>
        <v>1</v>
      </c>
      <c r="W346">
        <f t="shared" si="95"/>
        <v>1</v>
      </c>
      <c r="X346">
        <f t="shared" si="96"/>
        <v>0</v>
      </c>
      <c r="Y346">
        <f t="shared" si="97"/>
        <v>1</v>
      </c>
      <c r="Z346">
        <f t="shared" si="98"/>
        <v>1</v>
      </c>
      <c r="AA346">
        <f t="shared" si="99"/>
        <v>1</v>
      </c>
      <c r="AB346">
        <f t="shared" si="100"/>
        <v>1</v>
      </c>
      <c r="AC346">
        <f t="shared" si="101"/>
        <v>1</v>
      </c>
      <c r="AD346">
        <f t="shared" si="102"/>
        <v>0</v>
      </c>
      <c r="AE346">
        <f t="shared" si="103"/>
        <v>0</v>
      </c>
      <c r="AF346">
        <f t="shared" si="104"/>
        <v>0</v>
      </c>
      <c r="AG346">
        <f t="shared" si="105"/>
        <v>0</v>
      </c>
      <c r="AH346">
        <f t="shared" si="106"/>
        <v>1</v>
      </c>
      <c r="AI346">
        <f t="shared" si="107"/>
        <v>0</v>
      </c>
    </row>
    <row r="347" spans="1:35" x14ac:dyDescent="0.2">
      <c r="A347">
        <v>125</v>
      </c>
      <c r="B347" t="s">
        <v>749</v>
      </c>
      <c r="C347">
        <v>8</v>
      </c>
      <c r="D347" t="s">
        <v>1117</v>
      </c>
      <c r="E347" t="s">
        <v>20</v>
      </c>
      <c r="F347" t="s">
        <v>39</v>
      </c>
      <c r="G347" t="s">
        <v>18</v>
      </c>
      <c r="H347" t="s">
        <v>20</v>
      </c>
      <c r="I347">
        <v>5</v>
      </c>
      <c r="J347">
        <v>4</v>
      </c>
      <c r="K347" s="1">
        <v>1000</v>
      </c>
      <c r="L347" t="s">
        <v>79</v>
      </c>
      <c r="M347" t="s">
        <v>48</v>
      </c>
      <c r="N347" t="s">
        <v>36</v>
      </c>
      <c r="O347" t="s">
        <v>1118</v>
      </c>
      <c r="P347" t="s">
        <v>1119</v>
      </c>
      <c r="Q347">
        <f t="shared" si="90"/>
        <v>2</v>
      </c>
      <c r="R347">
        <f t="shared" si="91"/>
        <v>5</v>
      </c>
      <c r="S347">
        <f t="shared" si="92"/>
        <v>4</v>
      </c>
      <c r="T347">
        <f t="shared" si="93"/>
        <v>2</v>
      </c>
      <c r="U347">
        <v>1000</v>
      </c>
      <c r="V347">
        <f t="shared" si="94"/>
        <v>0</v>
      </c>
      <c r="W347">
        <f t="shared" si="95"/>
        <v>1</v>
      </c>
      <c r="X347">
        <f t="shared" si="96"/>
        <v>0</v>
      </c>
      <c r="Y347">
        <f t="shared" si="97"/>
        <v>0</v>
      </c>
      <c r="Z347">
        <f t="shared" si="98"/>
        <v>1</v>
      </c>
      <c r="AA347">
        <f t="shared" si="99"/>
        <v>1</v>
      </c>
      <c r="AB347">
        <f t="shared" si="100"/>
        <v>1</v>
      </c>
      <c r="AC347">
        <f t="shared" si="101"/>
        <v>1</v>
      </c>
      <c r="AD347">
        <f t="shared" si="102"/>
        <v>0</v>
      </c>
      <c r="AE347">
        <f t="shared" si="103"/>
        <v>0</v>
      </c>
      <c r="AF347">
        <f t="shared" si="104"/>
        <v>0</v>
      </c>
      <c r="AG347">
        <f t="shared" si="105"/>
        <v>0</v>
      </c>
      <c r="AH347">
        <f t="shared" si="106"/>
        <v>0</v>
      </c>
      <c r="AI347">
        <f t="shared" si="107"/>
        <v>1</v>
      </c>
    </row>
    <row r="348" spans="1:35" x14ac:dyDescent="0.2">
      <c r="A348">
        <v>126</v>
      </c>
      <c r="B348" t="s">
        <v>749</v>
      </c>
      <c r="C348">
        <v>5</v>
      </c>
      <c r="D348" t="s">
        <v>1120</v>
      </c>
      <c r="E348" t="s">
        <v>19</v>
      </c>
      <c r="F348" t="s">
        <v>39</v>
      </c>
      <c r="G348" t="s">
        <v>39</v>
      </c>
      <c r="H348" t="s">
        <v>21</v>
      </c>
      <c r="I348">
        <v>3</v>
      </c>
      <c r="J348">
        <v>2</v>
      </c>
      <c r="K348">
        <v>500</v>
      </c>
      <c r="L348" t="s">
        <v>70</v>
      </c>
      <c r="M348" t="s">
        <v>23</v>
      </c>
      <c r="N348" t="s">
        <v>84</v>
      </c>
      <c r="O348" t="s">
        <v>1121</v>
      </c>
      <c r="P348" t="s">
        <v>1122</v>
      </c>
      <c r="Q348">
        <f t="shared" si="90"/>
        <v>3</v>
      </c>
      <c r="R348">
        <f t="shared" si="91"/>
        <v>5</v>
      </c>
      <c r="S348">
        <f t="shared" si="92"/>
        <v>5</v>
      </c>
      <c r="T348">
        <f t="shared" si="93"/>
        <v>1</v>
      </c>
      <c r="U348">
        <v>500</v>
      </c>
      <c r="V348">
        <f t="shared" si="94"/>
        <v>0</v>
      </c>
      <c r="W348">
        <f t="shared" si="95"/>
        <v>0</v>
      </c>
      <c r="X348">
        <f t="shared" si="96"/>
        <v>0</v>
      </c>
      <c r="Y348">
        <f t="shared" si="97"/>
        <v>1</v>
      </c>
      <c r="Z348">
        <f t="shared" si="98"/>
        <v>0</v>
      </c>
      <c r="AA348">
        <f t="shared" si="99"/>
        <v>1</v>
      </c>
      <c r="AB348">
        <f t="shared" si="100"/>
        <v>0</v>
      </c>
      <c r="AC348">
        <f t="shared" si="101"/>
        <v>0</v>
      </c>
      <c r="AD348">
        <f t="shared" si="102"/>
        <v>0</v>
      </c>
      <c r="AE348">
        <f t="shared" si="103"/>
        <v>0</v>
      </c>
      <c r="AF348">
        <f t="shared" si="104"/>
        <v>0</v>
      </c>
      <c r="AG348">
        <f t="shared" si="105"/>
        <v>1</v>
      </c>
      <c r="AH348">
        <f t="shared" si="106"/>
        <v>0</v>
      </c>
      <c r="AI348">
        <f t="shared" si="107"/>
        <v>0</v>
      </c>
    </row>
    <row r="349" spans="1:35" x14ac:dyDescent="0.2">
      <c r="A349">
        <v>127</v>
      </c>
      <c r="B349" t="s">
        <v>749</v>
      </c>
      <c r="C349">
        <v>3</v>
      </c>
      <c r="D349" t="s">
        <v>1123</v>
      </c>
      <c r="E349" t="s">
        <v>21</v>
      </c>
      <c r="F349" t="s">
        <v>39</v>
      </c>
      <c r="G349" t="s">
        <v>19</v>
      </c>
      <c r="H349" t="s">
        <v>18</v>
      </c>
      <c r="I349">
        <v>4</v>
      </c>
      <c r="J349">
        <v>3</v>
      </c>
      <c r="K349">
        <v>1000</v>
      </c>
      <c r="L349" t="s">
        <v>70</v>
      </c>
      <c r="M349" t="s">
        <v>42</v>
      </c>
      <c r="N349" t="s">
        <v>36</v>
      </c>
      <c r="O349" t="s">
        <v>1124</v>
      </c>
      <c r="P349" t="s">
        <v>1125</v>
      </c>
      <c r="Q349">
        <f t="shared" si="90"/>
        <v>1</v>
      </c>
      <c r="R349">
        <f t="shared" si="91"/>
        <v>5</v>
      </c>
      <c r="S349">
        <f t="shared" si="92"/>
        <v>3</v>
      </c>
      <c r="T349">
        <f t="shared" si="93"/>
        <v>4</v>
      </c>
      <c r="U349">
        <v>1000</v>
      </c>
      <c r="V349">
        <f t="shared" si="94"/>
        <v>0</v>
      </c>
      <c r="W349">
        <f t="shared" si="95"/>
        <v>0</v>
      </c>
      <c r="X349">
        <f t="shared" si="96"/>
        <v>0</v>
      </c>
      <c r="Y349">
        <f t="shared" si="97"/>
        <v>1</v>
      </c>
      <c r="Z349">
        <f t="shared" si="98"/>
        <v>0</v>
      </c>
      <c r="AA349">
        <f t="shared" si="99"/>
        <v>0</v>
      </c>
      <c r="AB349">
        <f t="shared" si="100"/>
        <v>1</v>
      </c>
      <c r="AC349">
        <f t="shared" si="101"/>
        <v>0</v>
      </c>
      <c r="AD349">
        <f t="shared" si="102"/>
        <v>0</v>
      </c>
      <c r="AE349">
        <f t="shared" si="103"/>
        <v>0</v>
      </c>
      <c r="AF349">
        <f t="shared" si="104"/>
        <v>0</v>
      </c>
      <c r="AG349">
        <f t="shared" si="105"/>
        <v>0</v>
      </c>
      <c r="AH349">
        <f t="shared" si="106"/>
        <v>0</v>
      </c>
      <c r="AI349">
        <f t="shared" si="107"/>
        <v>1</v>
      </c>
    </row>
    <row r="350" spans="1:35" x14ac:dyDescent="0.2">
      <c r="A350">
        <v>128</v>
      </c>
      <c r="B350" t="s">
        <v>749</v>
      </c>
      <c r="C350">
        <v>3</v>
      </c>
      <c r="D350" t="s">
        <v>1126</v>
      </c>
      <c r="E350" t="s">
        <v>19</v>
      </c>
      <c r="F350" t="s">
        <v>20</v>
      </c>
      <c r="G350" t="s">
        <v>21</v>
      </c>
      <c r="H350" t="s">
        <v>39</v>
      </c>
      <c r="I350">
        <v>3</v>
      </c>
      <c r="J350">
        <v>3</v>
      </c>
      <c r="K350">
        <v>15</v>
      </c>
      <c r="L350" t="s">
        <v>946</v>
      </c>
      <c r="M350" t="s">
        <v>123</v>
      </c>
      <c r="N350" t="s">
        <v>36</v>
      </c>
      <c r="O350" t="s">
        <v>1127</v>
      </c>
      <c r="P350" t="s">
        <v>1128</v>
      </c>
      <c r="Q350">
        <f t="shared" si="90"/>
        <v>3</v>
      </c>
      <c r="R350">
        <f t="shared" si="91"/>
        <v>2</v>
      </c>
      <c r="S350">
        <f t="shared" si="92"/>
        <v>1</v>
      </c>
      <c r="T350">
        <f t="shared" si="93"/>
        <v>5</v>
      </c>
      <c r="U350">
        <v>15</v>
      </c>
      <c r="V350">
        <f t="shared" si="94"/>
        <v>0</v>
      </c>
      <c r="W350">
        <f t="shared" si="95"/>
        <v>1</v>
      </c>
      <c r="X350">
        <f t="shared" si="96"/>
        <v>1</v>
      </c>
      <c r="Y350">
        <f t="shared" si="97"/>
        <v>1</v>
      </c>
      <c r="Z350">
        <f t="shared" si="98"/>
        <v>0</v>
      </c>
      <c r="AA350">
        <f t="shared" si="99"/>
        <v>0</v>
      </c>
      <c r="AB350">
        <f t="shared" si="100"/>
        <v>1</v>
      </c>
      <c r="AC350">
        <f t="shared" si="101"/>
        <v>1</v>
      </c>
      <c r="AD350">
        <f t="shared" si="102"/>
        <v>0</v>
      </c>
      <c r="AE350">
        <f t="shared" si="103"/>
        <v>0</v>
      </c>
      <c r="AF350">
        <f t="shared" si="104"/>
        <v>0</v>
      </c>
      <c r="AG350">
        <f t="shared" si="105"/>
        <v>0</v>
      </c>
      <c r="AH350">
        <f t="shared" si="106"/>
        <v>0</v>
      </c>
      <c r="AI350">
        <f t="shared" si="107"/>
        <v>1</v>
      </c>
    </row>
    <row r="351" spans="1:35" x14ac:dyDescent="0.2">
      <c r="A351">
        <v>129</v>
      </c>
      <c r="B351" t="s">
        <v>749</v>
      </c>
      <c r="C351">
        <v>7</v>
      </c>
      <c r="D351" t="s">
        <v>452</v>
      </c>
      <c r="E351" t="s">
        <v>20</v>
      </c>
      <c r="F351" t="s">
        <v>20</v>
      </c>
      <c r="G351" t="s">
        <v>18</v>
      </c>
      <c r="H351" t="s">
        <v>20</v>
      </c>
      <c r="I351">
        <v>5</v>
      </c>
      <c r="J351">
        <v>3</v>
      </c>
      <c r="K351">
        <v>15</v>
      </c>
      <c r="L351" t="s">
        <v>70</v>
      </c>
      <c r="M351" t="s">
        <v>115</v>
      </c>
      <c r="N351" t="s">
        <v>36</v>
      </c>
      <c r="O351" t="s">
        <v>593</v>
      </c>
      <c r="P351" t="s">
        <v>1129</v>
      </c>
      <c r="Q351">
        <f t="shared" si="90"/>
        <v>2</v>
      </c>
      <c r="R351">
        <f t="shared" si="91"/>
        <v>2</v>
      </c>
      <c r="S351">
        <f t="shared" si="92"/>
        <v>4</v>
      </c>
      <c r="T351">
        <f t="shared" si="93"/>
        <v>2</v>
      </c>
      <c r="U351">
        <v>15</v>
      </c>
      <c r="V351">
        <f t="shared" si="94"/>
        <v>0</v>
      </c>
      <c r="W351">
        <f t="shared" si="95"/>
        <v>0</v>
      </c>
      <c r="X351">
        <f t="shared" si="96"/>
        <v>0</v>
      </c>
      <c r="Y351">
        <f t="shared" si="97"/>
        <v>1</v>
      </c>
      <c r="Z351">
        <f t="shared" si="98"/>
        <v>0</v>
      </c>
      <c r="AA351">
        <f t="shared" si="99"/>
        <v>0</v>
      </c>
      <c r="AB351">
        <f t="shared" si="100"/>
        <v>0</v>
      </c>
      <c r="AC351">
        <f t="shared" si="101"/>
        <v>1</v>
      </c>
      <c r="AD351">
        <f t="shared" si="102"/>
        <v>0</v>
      </c>
      <c r="AE351">
        <f t="shared" si="103"/>
        <v>0</v>
      </c>
      <c r="AF351">
        <f t="shared" si="104"/>
        <v>0</v>
      </c>
      <c r="AG351">
        <f t="shared" si="105"/>
        <v>0</v>
      </c>
      <c r="AH351">
        <f t="shared" si="106"/>
        <v>0</v>
      </c>
      <c r="AI351">
        <f t="shared" si="107"/>
        <v>1</v>
      </c>
    </row>
    <row r="352" spans="1:35" x14ac:dyDescent="0.2">
      <c r="A352">
        <v>130</v>
      </c>
      <c r="B352" t="s">
        <v>749</v>
      </c>
      <c r="C352">
        <v>6</v>
      </c>
      <c r="D352" t="s">
        <v>1130</v>
      </c>
      <c r="E352" t="s">
        <v>20</v>
      </c>
      <c r="F352" t="s">
        <v>18</v>
      </c>
      <c r="G352" t="s">
        <v>39</v>
      </c>
      <c r="H352" t="s">
        <v>21</v>
      </c>
      <c r="I352">
        <v>3</v>
      </c>
      <c r="J352">
        <v>3</v>
      </c>
      <c r="K352">
        <v>100</v>
      </c>
      <c r="L352" t="s">
        <v>70</v>
      </c>
      <c r="M352" t="s">
        <v>115</v>
      </c>
      <c r="N352" t="s">
        <v>36</v>
      </c>
      <c r="O352" t="s">
        <v>195</v>
      </c>
      <c r="P352" t="s">
        <v>1131</v>
      </c>
      <c r="Q352">
        <f t="shared" si="90"/>
        <v>2</v>
      </c>
      <c r="R352">
        <f t="shared" si="91"/>
        <v>4</v>
      </c>
      <c r="S352">
        <f t="shared" si="92"/>
        <v>5</v>
      </c>
      <c r="T352">
        <f t="shared" si="93"/>
        <v>1</v>
      </c>
      <c r="U352">
        <v>100</v>
      </c>
      <c r="V352">
        <f t="shared" si="94"/>
        <v>0</v>
      </c>
      <c r="W352">
        <f t="shared" si="95"/>
        <v>0</v>
      </c>
      <c r="X352">
        <f t="shared" si="96"/>
        <v>0</v>
      </c>
      <c r="Y352">
        <f t="shared" si="97"/>
        <v>1</v>
      </c>
      <c r="Z352">
        <f t="shared" si="98"/>
        <v>0</v>
      </c>
      <c r="AA352">
        <f t="shared" si="99"/>
        <v>0</v>
      </c>
      <c r="AB352">
        <f t="shared" si="100"/>
        <v>0</v>
      </c>
      <c r="AC352">
        <f t="shared" si="101"/>
        <v>1</v>
      </c>
      <c r="AD352">
        <f t="shared" si="102"/>
        <v>0</v>
      </c>
      <c r="AE352">
        <f t="shared" si="103"/>
        <v>0</v>
      </c>
      <c r="AF352">
        <f t="shared" si="104"/>
        <v>0</v>
      </c>
      <c r="AG352">
        <f t="shared" si="105"/>
        <v>0</v>
      </c>
      <c r="AH352">
        <f t="shared" si="106"/>
        <v>0</v>
      </c>
      <c r="AI352">
        <f t="shared" si="107"/>
        <v>1</v>
      </c>
    </row>
    <row r="353" spans="1:35" x14ac:dyDescent="0.2">
      <c r="A353">
        <v>131</v>
      </c>
      <c r="B353" t="s">
        <v>749</v>
      </c>
      <c r="C353">
        <v>6</v>
      </c>
      <c r="D353" t="s">
        <v>1132</v>
      </c>
      <c r="E353" t="s">
        <v>39</v>
      </c>
      <c r="F353" t="s">
        <v>20</v>
      </c>
      <c r="G353" t="s">
        <v>19</v>
      </c>
      <c r="H353" t="s">
        <v>20</v>
      </c>
      <c r="I353">
        <v>2</v>
      </c>
      <c r="J353">
        <v>2</v>
      </c>
      <c r="K353">
        <v>100000</v>
      </c>
      <c r="L353" t="s">
        <v>98</v>
      </c>
      <c r="M353" t="s">
        <v>115</v>
      </c>
      <c r="N353" t="s">
        <v>36</v>
      </c>
      <c r="O353" t="s">
        <v>1133</v>
      </c>
      <c r="P353" t="s">
        <v>1134</v>
      </c>
      <c r="Q353">
        <f t="shared" si="90"/>
        <v>5</v>
      </c>
      <c r="R353">
        <f t="shared" si="91"/>
        <v>2</v>
      </c>
      <c r="S353">
        <f t="shared" si="92"/>
        <v>3</v>
      </c>
      <c r="T353">
        <f t="shared" si="93"/>
        <v>2</v>
      </c>
      <c r="U353">
        <v>100000</v>
      </c>
      <c r="V353">
        <f t="shared" si="94"/>
        <v>0</v>
      </c>
      <c r="W353">
        <f t="shared" si="95"/>
        <v>1</v>
      </c>
      <c r="X353">
        <f t="shared" si="96"/>
        <v>0</v>
      </c>
      <c r="Y353">
        <f t="shared" si="97"/>
        <v>0</v>
      </c>
      <c r="Z353">
        <f t="shared" si="98"/>
        <v>0</v>
      </c>
      <c r="AA353">
        <f t="shared" si="99"/>
        <v>0</v>
      </c>
      <c r="AB353">
        <f t="shared" si="100"/>
        <v>0</v>
      </c>
      <c r="AC353">
        <f t="shared" si="101"/>
        <v>1</v>
      </c>
      <c r="AD353">
        <f t="shared" si="102"/>
        <v>0</v>
      </c>
      <c r="AE353">
        <f t="shared" si="103"/>
        <v>0</v>
      </c>
      <c r="AF353">
        <f t="shared" si="104"/>
        <v>0</v>
      </c>
      <c r="AG353">
        <f t="shared" si="105"/>
        <v>0</v>
      </c>
      <c r="AH353">
        <f t="shared" si="106"/>
        <v>0</v>
      </c>
      <c r="AI353">
        <f t="shared" si="107"/>
        <v>1</v>
      </c>
    </row>
    <row r="354" spans="1:35" x14ac:dyDescent="0.2">
      <c r="A354">
        <v>132</v>
      </c>
      <c r="B354" t="s">
        <v>749</v>
      </c>
      <c r="C354">
        <v>8</v>
      </c>
      <c r="D354" t="s">
        <v>1135</v>
      </c>
      <c r="E354" t="s">
        <v>20</v>
      </c>
      <c r="F354" t="s">
        <v>18</v>
      </c>
      <c r="G354" t="s">
        <v>39</v>
      </c>
      <c r="H354" t="s">
        <v>21</v>
      </c>
      <c r="I354">
        <v>3</v>
      </c>
      <c r="J354">
        <v>4</v>
      </c>
      <c r="K354">
        <v>20000</v>
      </c>
      <c r="L354" t="s">
        <v>41</v>
      </c>
      <c r="M354" t="s">
        <v>781</v>
      </c>
      <c r="N354" t="s">
        <v>84</v>
      </c>
      <c r="O354" t="s">
        <v>1105</v>
      </c>
      <c r="P354" t="s">
        <v>1136</v>
      </c>
      <c r="Q354">
        <f t="shared" si="90"/>
        <v>2</v>
      </c>
      <c r="R354">
        <f t="shared" si="91"/>
        <v>4</v>
      </c>
      <c r="S354">
        <f t="shared" si="92"/>
        <v>5</v>
      </c>
      <c r="T354">
        <f t="shared" si="93"/>
        <v>1</v>
      </c>
      <c r="U354">
        <v>20000</v>
      </c>
      <c r="V354">
        <f t="shared" si="94"/>
        <v>0</v>
      </c>
      <c r="W354">
        <f t="shared" si="95"/>
        <v>0</v>
      </c>
      <c r="X354">
        <f t="shared" si="96"/>
        <v>0</v>
      </c>
      <c r="Y354">
        <f t="shared" si="97"/>
        <v>0</v>
      </c>
      <c r="Z354">
        <f t="shared" si="98"/>
        <v>1</v>
      </c>
      <c r="AA354">
        <f t="shared" si="99"/>
        <v>0</v>
      </c>
      <c r="AB354">
        <f t="shared" si="100"/>
        <v>1</v>
      </c>
      <c r="AC354">
        <f t="shared" si="101"/>
        <v>1</v>
      </c>
      <c r="AD354">
        <f t="shared" si="102"/>
        <v>1</v>
      </c>
      <c r="AE354">
        <f t="shared" si="103"/>
        <v>1</v>
      </c>
      <c r="AF354">
        <f t="shared" si="104"/>
        <v>0</v>
      </c>
      <c r="AG354">
        <f t="shared" si="105"/>
        <v>1</v>
      </c>
      <c r="AH354">
        <f t="shared" si="106"/>
        <v>0</v>
      </c>
      <c r="AI354">
        <f t="shared" si="107"/>
        <v>0</v>
      </c>
    </row>
    <row r="355" spans="1:35" x14ac:dyDescent="0.2">
      <c r="A355">
        <v>133</v>
      </c>
      <c r="B355" t="s">
        <v>749</v>
      </c>
      <c r="C355">
        <v>7</v>
      </c>
      <c r="D355" t="s">
        <v>1130</v>
      </c>
      <c r="E355" t="s">
        <v>19</v>
      </c>
      <c r="F355" t="s">
        <v>19</v>
      </c>
      <c r="G355" t="s">
        <v>39</v>
      </c>
      <c r="H355" t="s">
        <v>20</v>
      </c>
      <c r="I355">
        <v>3</v>
      </c>
      <c r="J355">
        <v>2</v>
      </c>
      <c r="K355" t="s">
        <v>1137</v>
      </c>
      <c r="L355" t="s">
        <v>443</v>
      </c>
      <c r="M355" t="s">
        <v>468</v>
      </c>
      <c r="N355" t="s">
        <v>43</v>
      </c>
      <c r="O355" t="s">
        <v>1138</v>
      </c>
      <c r="P355" t="s">
        <v>1139</v>
      </c>
      <c r="Q355">
        <f t="shared" si="90"/>
        <v>3</v>
      </c>
      <c r="R355">
        <f t="shared" si="91"/>
        <v>3</v>
      </c>
      <c r="S355">
        <f t="shared" si="92"/>
        <v>5</v>
      </c>
      <c r="T355">
        <f t="shared" si="93"/>
        <v>2</v>
      </c>
      <c r="U355">
        <v>0</v>
      </c>
      <c r="V355">
        <f t="shared" si="94"/>
        <v>1</v>
      </c>
      <c r="W355">
        <f t="shared" si="95"/>
        <v>0</v>
      </c>
      <c r="X355">
        <f t="shared" si="96"/>
        <v>0</v>
      </c>
      <c r="Y355">
        <f t="shared" si="97"/>
        <v>1</v>
      </c>
      <c r="Z355">
        <f t="shared" si="98"/>
        <v>1</v>
      </c>
      <c r="AA355">
        <f t="shared" si="99"/>
        <v>1</v>
      </c>
      <c r="AB355">
        <f t="shared" si="100"/>
        <v>1</v>
      </c>
      <c r="AC355">
        <f t="shared" si="101"/>
        <v>1</v>
      </c>
      <c r="AD355">
        <f t="shared" si="102"/>
        <v>1</v>
      </c>
      <c r="AE355">
        <f t="shared" si="103"/>
        <v>1</v>
      </c>
      <c r="AF355">
        <f t="shared" si="104"/>
        <v>1</v>
      </c>
      <c r="AG355">
        <f t="shared" si="105"/>
        <v>1</v>
      </c>
      <c r="AH355">
        <f t="shared" si="106"/>
        <v>0</v>
      </c>
      <c r="AI355">
        <f t="shared" si="107"/>
        <v>0</v>
      </c>
    </row>
    <row r="356" spans="1:35" x14ac:dyDescent="0.2">
      <c r="A356">
        <v>134</v>
      </c>
      <c r="B356" t="s">
        <v>749</v>
      </c>
      <c r="C356">
        <v>3</v>
      </c>
      <c r="D356" t="s">
        <v>1140</v>
      </c>
      <c r="E356" t="s">
        <v>18</v>
      </c>
      <c r="F356" t="s">
        <v>19</v>
      </c>
      <c r="G356" t="s">
        <v>19</v>
      </c>
      <c r="H356" t="s">
        <v>18</v>
      </c>
      <c r="I356">
        <v>3</v>
      </c>
      <c r="J356">
        <v>3</v>
      </c>
      <c r="K356">
        <v>500</v>
      </c>
      <c r="L356" t="s">
        <v>53</v>
      </c>
      <c r="M356" t="s">
        <v>23</v>
      </c>
      <c r="N356" t="s">
        <v>36</v>
      </c>
      <c r="O356" t="s">
        <v>504</v>
      </c>
      <c r="P356" t="s">
        <v>1141</v>
      </c>
      <c r="Q356">
        <f t="shared" si="90"/>
        <v>4</v>
      </c>
      <c r="R356">
        <f t="shared" si="91"/>
        <v>3</v>
      </c>
      <c r="S356">
        <f t="shared" si="92"/>
        <v>3</v>
      </c>
      <c r="T356">
        <f t="shared" si="93"/>
        <v>4</v>
      </c>
      <c r="U356">
        <v>500</v>
      </c>
      <c r="V356">
        <f t="shared" si="94"/>
        <v>0</v>
      </c>
      <c r="W356">
        <f t="shared" si="95"/>
        <v>0</v>
      </c>
      <c r="X356">
        <f t="shared" si="96"/>
        <v>1</v>
      </c>
      <c r="Y356">
        <f t="shared" si="97"/>
        <v>0</v>
      </c>
      <c r="Z356">
        <f t="shared" si="98"/>
        <v>0</v>
      </c>
      <c r="AA356">
        <f t="shared" si="99"/>
        <v>1</v>
      </c>
      <c r="AB356">
        <f t="shared" si="100"/>
        <v>0</v>
      </c>
      <c r="AC356">
        <f t="shared" si="101"/>
        <v>0</v>
      </c>
      <c r="AD356">
        <f t="shared" si="102"/>
        <v>0</v>
      </c>
      <c r="AE356">
        <f t="shared" si="103"/>
        <v>0</v>
      </c>
      <c r="AF356">
        <f t="shared" si="104"/>
        <v>0</v>
      </c>
      <c r="AG356">
        <f t="shared" si="105"/>
        <v>0</v>
      </c>
      <c r="AH356">
        <f t="shared" si="106"/>
        <v>0</v>
      </c>
      <c r="AI356">
        <f t="shared" si="107"/>
        <v>1</v>
      </c>
    </row>
    <row r="357" spans="1:35" x14ac:dyDescent="0.2">
      <c r="A357">
        <v>135</v>
      </c>
      <c r="B357" t="s">
        <v>749</v>
      </c>
      <c r="C357">
        <v>8</v>
      </c>
      <c r="D357" t="s">
        <v>1142</v>
      </c>
      <c r="E357" t="s">
        <v>19</v>
      </c>
      <c r="F357" t="s">
        <v>18</v>
      </c>
      <c r="G357" t="s">
        <v>18</v>
      </c>
      <c r="H357" t="s">
        <v>19</v>
      </c>
      <c r="I357">
        <v>3</v>
      </c>
      <c r="J357">
        <v>4</v>
      </c>
      <c r="K357">
        <v>50</v>
      </c>
      <c r="L357" t="s">
        <v>776</v>
      </c>
      <c r="M357" t="s">
        <v>704</v>
      </c>
      <c r="N357" t="s">
        <v>84</v>
      </c>
      <c r="O357" t="s">
        <v>1143</v>
      </c>
      <c r="P357" t="s">
        <v>1144</v>
      </c>
      <c r="Q357">
        <f t="shared" si="90"/>
        <v>3</v>
      </c>
      <c r="R357">
        <f t="shared" si="91"/>
        <v>4</v>
      </c>
      <c r="S357">
        <f t="shared" si="92"/>
        <v>4</v>
      </c>
      <c r="T357">
        <f t="shared" si="93"/>
        <v>3</v>
      </c>
      <c r="U357">
        <v>50</v>
      </c>
      <c r="V357">
        <f t="shared" si="94"/>
        <v>0</v>
      </c>
      <c r="W357">
        <f t="shared" si="95"/>
        <v>1</v>
      </c>
      <c r="X357">
        <f t="shared" si="96"/>
        <v>0</v>
      </c>
      <c r="Y357">
        <f t="shared" si="97"/>
        <v>1</v>
      </c>
      <c r="Z357">
        <f t="shared" si="98"/>
        <v>0</v>
      </c>
      <c r="AA357">
        <f t="shared" si="99"/>
        <v>0</v>
      </c>
      <c r="AB357">
        <f t="shared" si="100"/>
        <v>0</v>
      </c>
      <c r="AC357">
        <f t="shared" si="101"/>
        <v>1</v>
      </c>
      <c r="AD357">
        <f t="shared" si="102"/>
        <v>1</v>
      </c>
      <c r="AE357">
        <f t="shared" si="103"/>
        <v>0</v>
      </c>
      <c r="AF357">
        <f t="shared" si="104"/>
        <v>0</v>
      </c>
      <c r="AG357">
        <f t="shared" si="105"/>
        <v>1</v>
      </c>
      <c r="AH357">
        <f t="shared" si="106"/>
        <v>0</v>
      </c>
      <c r="AI357">
        <f t="shared" si="107"/>
        <v>0</v>
      </c>
    </row>
    <row r="358" spans="1:35" x14ac:dyDescent="0.2">
      <c r="A358">
        <v>136</v>
      </c>
      <c r="B358" t="s">
        <v>749</v>
      </c>
      <c r="C358">
        <v>10</v>
      </c>
      <c r="D358" t="s">
        <v>1145</v>
      </c>
      <c r="E358" t="s">
        <v>21</v>
      </c>
      <c r="F358" t="s">
        <v>39</v>
      </c>
      <c r="G358" t="s">
        <v>39</v>
      </c>
      <c r="H358" t="s">
        <v>21</v>
      </c>
      <c r="I358">
        <v>3</v>
      </c>
      <c r="J358">
        <v>5</v>
      </c>
      <c r="K358" s="2">
        <v>100000000</v>
      </c>
      <c r="L358" t="s">
        <v>70</v>
      </c>
      <c r="M358" t="s">
        <v>123</v>
      </c>
      <c r="N358" t="s">
        <v>84</v>
      </c>
      <c r="O358" t="s">
        <v>1146</v>
      </c>
      <c r="P358" t="s">
        <v>1147</v>
      </c>
      <c r="Q358">
        <f t="shared" si="90"/>
        <v>1</v>
      </c>
      <c r="R358">
        <f t="shared" si="91"/>
        <v>5</v>
      </c>
      <c r="S358">
        <f t="shared" si="92"/>
        <v>5</v>
      </c>
      <c r="T358">
        <f t="shared" si="93"/>
        <v>1</v>
      </c>
      <c r="U358">
        <v>100000000</v>
      </c>
      <c r="V358">
        <f t="shared" si="94"/>
        <v>0</v>
      </c>
      <c r="W358">
        <f t="shared" si="95"/>
        <v>0</v>
      </c>
      <c r="X358">
        <f t="shared" si="96"/>
        <v>0</v>
      </c>
      <c r="Y358">
        <f t="shared" si="97"/>
        <v>1</v>
      </c>
      <c r="Z358">
        <f t="shared" si="98"/>
        <v>0</v>
      </c>
      <c r="AA358">
        <f t="shared" si="99"/>
        <v>0</v>
      </c>
      <c r="AB358">
        <f t="shared" si="100"/>
        <v>1</v>
      </c>
      <c r="AC358">
        <f t="shared" si="101"/>
        <v>1</v>
      </c>
      <c r="AD358">
        <f t="shared" si="102"/>
        <v>0</v>
      </c>
      <c r="AE358">
        <f t="shared" si="103"/>
        <v>0</v>
      </c>
      <c r="AF358">
        <f t="shared" si="104"/>
        <v>0</v>
      </c>
      <c r="AG358">
        <f t="shared" si="105"/>
        <v>1</v>
      </c>
      <c r="AH358">
        <f t="shared" si="106"/>
        <v>0</v>
      </c>
      <c r="AI358">
        <f t="shared" si="107"/>
        <v>0</v>
      </c>
    </row>
    <row r="359" spans="1:35" x14ac:dyDescent="0.2">
      <c r="A359">
        <v>137</v>
      </c>
      <c r="B359" t="s">
        <v>749</v>
      </c>
      <c r="C359">
        <v>9</v>
      </c>
      <c r="D359" t="s">
        <v>1148</v>
      </c>
      <c r="E359" t="s">
        <v>21</v>
      </c>
      <c r="F359" t="s">
        <v>39</v>
      </c>
      <c r="G359" t="s">
        <v>20</v>
      </c>
      <c r="H359" t="s">
        <v>20</v>
      </c>
      <c r="I359">
        <v>3</v>
      </c>
      <c r="J359">
        <v>3</v>
      </c>
      <c r="K359" s="2">
        <v>20000</v>
      </c>
      <c r="L359" t="s">
        <v>194</v>
      </c>
      <c r="M359" t="s">
        <v>123</v>
      </c>
      <c r="N359" t="s">
        <v>84</v>
      </c>
      <c r="O359" t="s">
        <v>1149</v>
      </c>
      <c r="P359" t="s">
        <v>1150</v>
      </c>
      <c r="Q359">
        <f t="shared" si="90"/>
        <v>1</v>
      </c>
      <c r="R359">
        <f t="shared" si="91"/>
        <v>5</v>
      </c>
      <c r="S359">
        <f t="shared" si="92"/>
        <v>2</v>
      </c>
      <c r="T359">
        <f t="shared" si="93"/>
        <v>2</v>
      </c>
      <c r="U359">
        <v>20000</v>
      </c>
      <c r="V359">
        <f t="shared" si="94"/>
        <v>0</v>
      </c>
      <c r="W359">
        <f t="shared" si="95"/>
        <v>0</v>
      </c>
      <c r="X359">
        <f t="shared" si="96"/>
        <v>0</v>
      </c>
      <c r="Y359">
        <f t="shared" si="97"/>
        <v>1</v>
      </c>
      <c r="Z359">
        <f t="shared" si="98"/>
        <v>1</v>
      </c>
      <c r="AA359">
        <f t="shared" si="99"/>
        <v>0</v>
      </c>
      <c r="AB359">
        <f t="shared" si="100"/>
        <v>1</v>
      </c>
      <c r="AC359">
        <f t="shared" si="101"/>
        <v>1</v>
      </c>
      <c r="AD359">
        <f t="shared" si="102"/>
        <v>0</v>
      </c>
      <c r="AE359">
        <f t="shared" si="103"/>
        <v>0</v>
      </c>
      <c r="AF359">
        <f t="shared" si="104"/>
        <v>0</v>
      </c>
      <c r="AG359">
        <f t="shared" si="105"/>
        <v>1</v>
      </c>
      <c r="AH359">
        <f t="shared" si="106"/>
        <v>0</v>
      </c>
      <c r="AI359">
        <f t="shared" si="107"/>
        <v>0</v>
      </c>
    </row>
    <row r="360" spans="1:35" ht="51" x14ac:dyDescent="0.2">
      <c r="A360">
        <v>138</v>
      </c>
      <c r="B360" t="s">
        <v>749</v>
      </c>
      <c r="C360">
        <v>6</v>
      </c>
      <c r="D360" t="s">
        <v>1151</v>
      </c>
      <c r="E360" t="s">
        <v>19</v>
      </c>
      <c r="F360" t="s">
        <v>18</v>
      </c>
      <c r="G360" t="s">
        <v>39</v>
      </c>
      <c r="H360" t="s">
        <v>20</v>
      </c>
      <c r="I360">
        <v>3</v>
      </c>
      <c r="J360">
        <v>3</v>
      </c>
      <c r="K360">
        <v>100000</v>
      </c>
      <c r="L360" t="s">
        <v>75</v>
      </c>
      <c r="M360" t="s">
        <v>123</v>
      </c>
      <c r="N360" t="s">
        <v>43</v>
      </c>
      <c r="O360" s="3" t="s">
        <v>1152</v>
      </c>
      <c r="P360" t="s">
        <v>1153</v>
      </c>
      <c r="Q360">
        <f t="shared" si="90"/>
        <v>3</v>
      </c>
      <c r="R360">
        <f t="shared" si="91"/>
        <v>4</v>
      </c>
      <c r="S360">
        <f t="shared" si="92"/>
        <v>5</v>
      </c>
      <c r="T360">
        <f t="shared" si="93"/>
        <v>2</v>
      </c>
      <c r="U360">
        <v>100000</v>
      </c>
      <c r="V360">
        <f t="shared" si="94"/>
        <v>0</v>
      </c>
      <c r="W360">
        <f t="shared" si="95"/>
        <v>0</v>
      </c>
      <c r="X360">
        <f t="shared" si="96"/>
        <v>1</v>
      </c>
      <c r="Y360">
        <f t="shared" si="97"/>
        <v>1</v>
      </c>
      <c r="Z360">
        <f t="shared" si="98"/>
        <v>0</v>
      </c>
      <c r="AA360">
        <f t="shared" si="99"/>
        <v>0</v>
      </c>
      <c r="AB360">
        <f t="shared" si="100"/>
        <v>1</v>
      </c>
      <c r="AC360">
        <f t="shared" si="101"/>
        <v>1</v>
      </c>
      <c r="AD360">
        <f t="shared" si="102"/>
        <v>0</v>
      </c>
      <c r="AE360">
        <f t="shared" si="103"/>
        <v>0</v>
      </c>
      <c r="AF360">
        <f t="shared" si="104"/>
        <v>1</v>
      </c>
      <c r="AG360">
        <f t="shared" si="105"/>
        <v>1</v>
      </c>
      <c r="AH360">
        <f t="shared" si="106"/>
        <v>0</v>
      </c>
      <c r="AI360">
        <f t="shared" si="107"/>
        <v>0</v>
      </c>
    </row>
    <row r="361" spans="1:35" x14ac:dyDescent="0.2">
      <c r="A361">
        <v>139</v>
      </c>
      <c r="B361" t="s">
        <v>749</v>
      </c>
      <c r="C361">
        <v>7</v>
      </c>
      <c r="D361" t="s">
        <v>1154</v>
      </c>
      <c r="E361" t="s">
        <v>18</v>
      </c>
      <c r="F361" t="s">
        <v>20</v>
      </c>
      <c r="G361" t="s">
        <v>18</v>
      </c>
      <c r="H361" t="s">
        <v>18</v>
      </c>
      <c r="I361">
        <v>3</v>
      </c>
      <c r="J361">
        <v>3</v>
      </c>
      <c r="K361">
        <v>200</v>
      </c>
      <c r="L361" t="s">
        <v>435</v>
      </c>
      <c r="M361" t="s">
        <v>123</v>
      </c>
      <c r="N361" t="s">
        <v>36</v>
      </c>
      <c r="O361" t="s">
        <v>1155</v>
      </c>
      <c r="P361" t="s">
        <v>1156</v>
      </c>
      <c r="Q361">
        <f t="shared" si="90"/>
        <v>4</v>
      </c>
      <c r="R361">
        <f t="shared" si="91"/>
        <v>2</v>
      </c>
      <c r="S361">
        <f t="shared" si="92"/>
        <v>4</v>
      </c>
      <c r="T361">
        <f t="shared" si="93"/>
        <v>4</v>
      </c>
      <c r="U361">
        <v>200</v>
      </c>
      <c r="V361">
        <f t="shared" si="94"/>
        <v>1</v>
      </c>
      <c r="W361">
        <f t="shared" si="95"/>
        <v>0</v>
      </c>
      <c r="X361">
        <f t="shared" si="96"/>
        <v>0</v>
      </c>
      <c r="Y361">
        <f t="shared" si="97"/>
        <v>0</v>
      </c>
      <c r="Z361">
        <f t="shared" si="98"/>
        <v>1</v>
      </c>
      <c r="AA361">
        <f t="shared" si="99"/>
        <v>0</v>
      </c>
      <c r="AB361">
        <f t="shared" si="100"/>
        <v>1</v>
      </c>
      <c r="AC361">
        <f t="shared" si="101"/>
        <v>1</v>
      </c>
      <c r="AD361">
        <f t="shared" si="102"/>
        <v>0</v>
      </c>
      <c r="AE361">
        <f t="shared" si="103"/>
        <v>0</v>
      </c>
      <c r="AF361">
        <f t="shared" si="104"/>
        <v>0</v>
      </c>
      <c r="AG361">
        <f t="shared" si="105"/>
        <v>0</v>
      </c>
      <c r="AH361">
        <f t="shared" si="106"/>
        <v>0</v>
      </c>
      <c r="AI361">
        <f t="shared" si="107"/>
        <v>1</v>
      </c>
    </row>
    <row r="362" spans="1:35" x14ac:dyDescent="0.2">
      <c r="A362">
        <v>140</v>
      </c>
      <c r="B362" t="s">
        <v>749</v>
      </c>
      <c r="C362">
        <v>7</v>
      </c>
      <c r="D362" t="s">
        <v>1157</v>
      </c>
      <c r="E362" t="s">
        <v>18</v>
      </c>
      <c r="F362" t="s">
        <v>18</v>
      </c>
      <c r="G362" t="s">
        <v>18</v>
      </c>
      <c r="H362" t="s">
        <v>21</v>
      </c>
      <c r="I362">
        <v>4</v>
      </c>
      <c r="J362">
        <v>13</v>
      </c>
      <c r="K362" s="1">
        <v>70</v>
      </c>
      <c r="L362" t="s">
        <v>714</v>
      </c>
      <c r="M362" t="s">
        <v>161</v>
      </c>
      <c r="N362" t="s">
        <v>36</v>
      </c>
      <c r="O362" t="s">
        <v>1158</v>
      </c>
      <c r="P362" t="s">
        <v>1159</v>
      </c>
      <c r="Q362">
        <f t="shared" si="90"/>
        <v>4</v>
      </c>
      <c r="R362">
        <f t="shared" si="91"/>
        <v>4</v>
      </c>
      <c r="S362">
        <f t="shared" si="92"/>
        <v>4</v>
      </c>
      <c r="T362">
        <f t="shared" si="93"/>
        <v>1</v>
      </c>
      <c r="U362">
        <v>70</v>
      </c>
      <c r="V362">
        <f t="shared" si="94"/>
        <v>0</v>
      </c>
      <c r="W362">
        <f t="shared" si="95"/>
        <v>0</v>
      </c>
      <c r="X362">
        <f t="shared" si="96"/>
        <v>1</v>
      </c>
      <c r="Y362">
        <f t="shared" si="97"/>
        <v>1</v>
      </c>
      <c r="Z362">
        <f t="shared" si="98"/>
        <v>1</v>
      </c>
      <c r="AA362">
        <f t="shared" si="99"/>
        <v>1</v>
      </c>
      <c r="AB362">
        <f t="shared" si="100"/>
        <v>1</v>
      </c>
      <c r="AC362">
        <f t="shared" si="101"/>
        <v>1</v>
      </c>
      <c r="AD362">
        <f t="shared" si="102"/>
        <v>1</v>
      </c>
      <c r="AE362">
        <f t="shared" si="103"/>
        <v>0</v>
      </c>
      <c r="AF362">
        <f t="shared" si="104"/>
        <v>0</v>
      </c>
      <c r="AG362">
        <f t="shared" si="105"/>
        <v>0</v>
      </c>
      <c r="AH362">
        <f t="shared" si="106"/>
        <v>0</v>
      </c>
      <c r="AI362">
        <f t="shared" si="107"/>
        <v>1</v>
      </c>
    </row>
    <row r="363" spans="1:35" x14ac:dyDescent="0.2">
      <c r="A363">
        <v>141</v>
      </c>
      <c r="B363" t="s">
        <v>749</v>
      </c>
      <c r="C363">
        <v>6</v>
      </c>
      <c r="D363" t="s">
        <v>1160</v>
      </c>
      <c r="E363" t="s">
        <v>18</v>
      </c>
      <c r="F363" t="s">
        <v>20</v>
      </c>
      <c r="G363" t="s">
        <v>19</v>
      </c>
      <c r="H363" t="s">
        <v>19</v>
      </c>
      <c r="I363">
        <v>6</v>
      </c>
      <c r="J363">
        <v>4</v>
      </c>
      <c r="K363" s="2">
        <v>1000000000</v>
      </c>
      <c r="L363" t="s">
        <v>194</v>
      </c>
      <c r="M363" t="s">
        <v>1161</v>
      </c>
      <c r="N363" t="s">
        <v>24</v>
      </c>
      <c r="O363" t="s">
        <v>1162</v>
      </c>
      <c r="P363" t="s">
        <v>1163</v>
      </c>
      <c r="Q363">
        <f t="shared" si="90"/>
        <v>4</v>
      </c>
      <c r="R363">
        <f t="shared" si="91"/>
        <v>2</v>
      </c>
      <c r="S363">
        <f t="shared" si="92"/>
        <v>3</v>
      </c>
      <c r="T363">
        <f t="shared" si="93"/>
        <v>3</v>
      </c>
      <c r="U363">
        <v>1000000000</v>
      </c>
      <c r="V363">
        <f t="shared" si="94"/>
        <v>0</v>
      </c>
      <c r="W363">
        <f t="shared" si="95"/>
        <v>0</v>
      </c>
      <c r="X363">
        <f t="shared" si="96"/>
        <v>0</v>
      </c>
      <c r="Y363">
        <f t="shared" si="97"/>
        <v>1</v>
      </c>
      <c r="Z363">
        <f t="shared" si="98"/>
        <v>1</v>
      </c>
      <c r="AA363">
        <f t="shared" si="99"/>
        <v>0</v>
      </c>
      <c r="AB363">
        <f t="shared" si="100"/>
        <v>0</v>
      </c>
      <c r="AC363">
        <f t="shared" si="101"/>
        <v>1</v>
      </c>
      <c r="AD363">
        <f t="shared" si="102"/>
        <v>0</v>
      </c>
      <c r="AE363">
        <f t="shared" si="103"/>
        <v>1</v>
      </c>
      <c r="AF363">
        <f t="shared" si="104"/>
        <v>0</v>
      </c>
      <c r="AG363">
        <f t="shared" si="105"/>
        <v>0</v>
      </c>
      <c r="AH363">
        <f t="shared" si="106"/>
        <v>1</v>
      </c>
      <c r="AI363">
        <f t="shared" si="107"/>
        <v>0</v>
      </c>
    </row>
    <row r="364" spans="1:35" x14ac:dyDescent="0.2">
      <c r="A364">
        <v>142</v>
      </c>
      <c r="B364" t="s">
        <v>749</v>
      </c>
      <c r="C364">
        <v>4</v>
      </c>
      <c r="D364" t="s">
        <v>1164</v>
      </c>
      <c r="E364" t="s">
        <v>20</v>
      </c>
      <c r="F364" t="s">
        <v>18</v>
      </c>
      <c r="G364" t="s">
        <v>18</v>
      </c>
      <c r="H364" t="s">
        <v>20</v>
      </c>
      <c r="I364">
        <v>4</v>
      </c>
      <c r="J364">
        <v>2</v>
      </c>
      <c r="K364">
        <v>250000</v>
      </c>
      <c r="L364" t="s">
        <v>53</v>
      </c>
      <c r="M364" t="s">
        <v>48</v>
      </c>
      <c r="N364" t="s">
        <v>84</v>
      </c>
      <c r="O364" t="s">
        <v>1165</v>
      </c>
      <c r="P364" t="s">
        <v>1166</v>
      </c>
      <c r="Q364">
        <f t="shared" si="90"/>
        <v>2</v>
      </c>
      <c r="R364">
        <f t="shared" si="91"/>
        <v>4</v>
      </c>
      <c r="S364">
        <f t="shared" si="92"/>
        <v>4</v>
      </c>
      <c r="T364">
        <f t="shared" si="93"/>
        <v>2</v>
      </c>
      <c r="U364">
        <v>250000</v>
      </c>
      <c r="V364">
        <f t="shared" si="94"/>
        <v>0</v>
      </c>
      <c r="W364">
        <f t="shared" si="95"/>
        <v>0</v>
      </c>
      <c r="X364">
        <f t="shared" si="96"/>
        <v>1</v>
      </c>
      <c r="Y364">
        <f t="shared" si="97"/>
        <v>0</v>
      </c>
      <c r="Z364">
        <f t="shared" si="98"/>
        <v>0</v>
      </c>
      <c r="AA364">
        <f t="shared" si="99"/>
        <v>1</v>
      </c>
      <c r="AB364">
        <f t="shared" si="100"/>
        <v>1</v>
      </c>
      <c r="AC364">
        <f t="shared" si="101"/>
        <v>1</v>
      </c>
      <c r="AD364">
        <f t="shared" si="102"/>
        <v>0</v>
      </c>
      <c r="AE364">
        <f t="shared" si="103"/>
        <v>0</v>
      </c>
      <c r="AF364">
        <f t="shared" si="104"/>
        <v>0</v>
      </c>
      <c r="AG364">
        <f t="shared" si="105"/>
        <v>1</v>
      </c>
      <c r="AH364">
        <f t="shared" si="106"/>
        <v>0</v>
      </c>
      <c r="AI364">
        <f t="shared" si="107"/>
        <v>0</v>
      </c>
    </row>
    <row r="365" spans="1:35" x14ac:dyDescent="0.2">
      <c r="A365">
        <v>143</v>
      </c>
      <c r="B365" t="s">
        <v>749</v>
      </c>
      <c r="C365">
        <v>9</v>
      </c>
      <c r="D365" t="s">
        <v>1167</v>
      </c>
      <c r="E365" t="s">
        <v>20</v>
      </c>
      <c r="F365" t="s">
        <v>18</v>
      </c>
      <c r="G365" t="s">
        <v>18</v>
      </c>
      <c r="H365" t="s">
        <v>21</v>
      </c>
      <c r="I365">
        <v>3</v>
      </c>
      <c r="J365">
        <v>4</v>
      </c>
      <c r="K365">
        <v>30</v>
      </c>
      <c r="L365" t="s">
        <v>194</v>
      </c>
      <c r="M365" t="s">
        <v>468</v>
      </c>
      <c r="N365" t="s">
        <v>622</v>
      </c>
      <c r="O365" t="s">
        <v>1168</v>
      </c>
      <c r="P365" t="s">
        <v>1169</v>
      </c>
      <c r="Q365">
        <f t="shared" si="90"/>
        <v>2</v>
      </c>
      <c r="R365">
        <f t="shared" si="91"/>
        <v>4</v>
      </c>
      <c r="S365">
        <f t="shared" si="92"/>
        <v>4</v>
      </c>
      <c r="T365">
        <f t="shared" si="93"/>
        <v>1</v>
      </c>
      <c r="U365">
        <v>30</v>
      </c>
      <c r="V365">
        <f t="shared" si="94"/>
        <v>0</v>
      </c>
      <c r="W365">
        <f t="shared" si="95"/>
        <v>0</v>
      </c>
      <c r="X365">
        <f t="shared" si="96"/>
        <v>0</v>
      </c>
      <c r="Y365">
        <f t="shared" si="97"/>
        <v>1</v>
      </c>
      <c r="Z365">
        <f t="shared" si="98"/>
        <v>1</v>
      </c>
      <c r="AA365">
        <f t="shared" si="99"/>
        <v>1</v>
      </c>
      <c r="AB365">
        <f t="shared" si="100"/>
        <v>1</v>
      </c>
      <c r="AC365">
        <f t="shared" si="101"/>
        <v>1</v>
      </c>
      <c r="AD365">
        <f t="shared" si="102"/>
        <v>1</v>
      </c>
      <c r="AE365">
        <f t="shared" si="103"/>
        <v>1</v>
      </c>
      <c r="AF365">
        <f t="shared" si="104"/>
        <v>0</v>
      </c>
      <c r="AG365">
        <f t="shared" si="105"/>
        <v>1</v>
      </c>
      <c r="AH365">
        <f t="shared" si="106"/>
        <v>0</v>
      </c>
      <c r="AI365">
        <f t="shared" si="107"/>
        <v>1</v>
      </c>
    </row>
    <row r="366" spans="1:35" x14ac:dyDescent="0.2">
      <c r="A366">
        <v>144</v>
      </c>
      <c r="B366" t="s">
        <v>749</v>
      </c>
      <c r="C366">
        <v>7</v>
      </c>
      <c r="D366" t="s">
        <v>1170</v>
      </c>
      <c r="E366" t="s">
        <v>18</v>
      </c>
      <c r="F366" t="s">
        <v>20</v>
      </c>
      <c r="G366" t="s">
        <v>18</v>
      </c>
      <c r="H366" t="s">
        <v>18</v>
      </c>
      <c r="I366">
        <v>2</v>
      </c>
      <c r="J366">
        <v>2</v>
      </c>
      <c r="K366" t="s">
        <v>1171</v>
      </c>
      <c r="L366" t="s">
        <v>194</v>
      </c>
      <c r="M366" t="s">
        <v>99</v>
      </c>
      <c r="N366" t="s">
        <v>36</v>
      </c>
      <c r="O366" t="s">
        <v>817</v>
      </c>
      <c r="P366" t="s">
        <v>1172</v>
      </c>
      <c r="Q366">
        <f t="shared" si="90"/>
        <v>4</v>
      </c>
      <c r="R366">
        <f t="shared" si="91"/>
        <v>2</v>
      </c>
      <c r="S366">
        <f t="shared" si="92"/>
        <v>4</v>
      </c>
      <c r="T366">
        <f t="shared" si="93"/>
        <v>4</v>
      </c>
      <c r="U366">
        <v>1000000</v>
      </c>
      <c r="V366">
        <f t="shared" si="94"/>
        <v>0</v>
      </c>
      <c r="W366">
        <f t="shared" si="95"/>
        <v>0</v>
      </c>
      <c r="X366">
        <f t="shared" si="96"/>
        <v>0</v>
      </c>
      <c r="Y366">
        <f t="shared" si="97"/>
        <v>1</v>
      </c>
      <c r="Z366">
        <f t="shared" si="98"/>
        <v>1</v>
      </c>
      <c r="AA366">
        <f t="shared" si="99"/>
        <v>1</v>
      </c>
      <c r="AB366">
        <f t="shared" si="100"/>
        <v>0</v>
      </c>
      <c r="AC366">
        <f t="shared" si="101"/>
        <v>0</v>
      </c>
      <c r="AD366">
        <f t="shared" si="102"/>
        <v>0</v>
      </c>
      <c r="AE366">
        <f t="shared" si="103"/>
        <v>1</v>
      </c>
      <c r="AF366">
        <f t="shared" si="104"/>
        <v>0</v>
      </c>
      <c r="AG366">
        <f t="shared" si="105"/>
        <v>0</v>
      </c>
      <c r="AH366">
        <f t="shared" si="106"/>
        <v>0</v>
      </c>
      <c r="AI366">
        <f t="shared" si="107"/>
        <v>1</v>
      </c>
    </row>
    <row r="367" spans="1:35" x14ac:dyDescent="0.2">
      <c r="A367">
        <v>145</v>
      </c>
      <c r="B367" t="s">
        <v>749</v>
      </c>
      <c r="C367">
        <v>7</v>
      </c>
      <c r="D367" t="s">
        <v>1173</v>
      </c>
      <c r="E367" t="s">
        <v>20</v>
      </c>
      <c r="F367" t="s">
        <v>18</v>
      </c>
      <c r="G367" t="s">
        <v>18</v>
      </c>
      <c r="H367" t="s">
        <v>21</v>
      </c>
      <c r="I367">
        <v>5</v>
      </c>
      <c r="J367">
        <v>3</v>
      </c>
      <c r="K367">
        <v>1000</v>
      </c>
      <c r="L367" t="s">
        <v>70</v>
      </c>
      <c r="M367" t="s">
        <v>23</v>
      </c>
      <c r="N367" t="s">
        <v>84</v>
      </c>
      <c r="O367" t="s">
        <v>1174</v>
      </c>
      <c r="P367" t="s">
        <v>1175</v>
      </c>
      <c r="Q367">
        <f t="shared" si="90"/>
        <v>2</v>
      </c>
      <c r="R367">
        <f t="shared" si="91"/>
        <v>4</v>
      </c>
      <c r="S367">
        <f t="shared" si="92"/>
        <v>4</v>
      </c>
      <c r="T367">
        <f t="shared" si="93"/>
        <v>1</v>
      </c>
      <c r="U367">
        <v>1000</v>
      </c>
      <c r="V367">
        <f t="shared" si="94"/>
        <v>0</v>
      </c>
      <c r="W367">
        <f t="shared" si="95"/>
        <v>0</v>
      </c>
      <c r="X367">
        <f t="shared" si="96"/>
        <v>0</v>
      </c>
      <c r="Y367">
        <f t="shared" si="97"/>
        <v>1</v>
      </c>
      <c r="Z367">
        <f t="shared" si="98"/>
        <v>0</v>
      </c>
      <c r="AA367">
        <f t="shared" si="99"/>
        <v>1</v>
      </c>
      <c r="AB367">
        <f t="shared" si="100"/>
        <v>0</v>
      </c>
      <c r="AC367">
        <f t="shared" si="101"/>
        <v>0</v>
      </c>
      <c r="AD367">
        <f t="shared" si="102"/>
        <v>0</v>
      </c>
      <c r="AE367">
        <f t="shared" si="103"/>
        <v>0</v>
      </c>
      <c r="AF367">
        <f t="shared" si="104"/>
        <v>0</v>
      </c>
      <c r="AG367">
        <f t="shared" si="105"/>
        <v>1</v>
      </c>
      <c r="AH367">
        <f t="shared" si="106"/>
        <v>0</v>
      </c>
      <c r="AI367">
        <f t="shared" si="107"/>
        <v>0</v>
      </c>
    </row>
    <row r="368" spans="1:35" x14ac:dyDescent="0.2">
      <c r="A368">
        <v>146</v>
      </c>
      <c r="B368" t="s">
        <v>749</v>
      </c>
      <c r="C368">
        <v>7</v>
      </c>
      <c r="D368" t="s">
        <v>1176</v>
      </c>
      <c r="E368" t="s">
        <v>39</v>
      </c>
      <c r="F368" t="s">
        <v>20</v>
      </c>
      <c r="G368" t="s">
        <v>19</v>
      </c>
      <c r="H368" t="s">
        <v>18</v>
      </c>
      <c r="I368">
        <v>7</v>
      </c>
      <c r="J368">
        <v>4</v>
      </c>
      <c r="K368">
        <v>20</v>
      </c>
      <c r="L368" t="s">
        <v>1071</v>
      </c>
      <c r="M368" t="s">
        <v>468</v>
      </c>
      <c r="N368" t="s">
        <v>36</v>
      </c>
      <c r="O368" t="s">
        <v>1177</v>
      </c>
      <c r="P368" t="s">
        <v>1178</v>
      </c>
      <c r="Q368">
        <f t="shared" si="90"/>
        <v>5</v>
      </c>
      <c r="R368">
        <f t="shared" si="91"/>
        <v>2</v>
      </c>
      <c r="S368">
        <f t="shared" si="92"/>
        <v>3</v>
      </c>
      <c r="T368">
        <f t="shared" si="93"/>
        <v>4</v>
      </c>
      <c r="U368">
        <v>20</v>
      </c>
      <c r="V368">
        <f t="shared" si="94"/>
        <v>1</v>
      </c>
      <c r="W368">
        <f t="shared" si="95"/>
        <v>0</v>
      </c>
      <c r="X368">
        <f t="shared" si="96"/>
        <v>1</v>
      </c>
      <c r="Y368">
        <f t="shared" si="97"/>
        <v>1</v>
      </c>
      <c r="Z368">
        <f t="shared" si="98"/>
        <v>0</v>
      </c>
      <c r="AA368">
        <f t="shared" si="99"/>
        <v>1</v>
      </c>
      <c r="AB368">
        <f t="shared" si="100"/>
        <v>1</v>
      </c>
      <c r="AC368">
        <f t="shared" si="101"/>
        <v>1</v>
      </c>
      <c r="AD368">
        <f t="shared" si="102"/>
        <v>1</v>
      </c>
      <c r="AE368">
        <f t="shared" si="103"/>
        <v>1</v>
      </c>
      <c r="AF368">
        <f t="shared" si="104"/>
        <v>0</v>
      </c>
      <c r="AG368">
        <f t="shared" si="105"/>
        <v>0</v>
      </c>
      <c r="AH368">
        <f t="shared" si="106"/>
        <v>0</v>
      </c>
      <c r="AI368">
        <f t="shared" si="107"/>
        <v>1</v>
      </c>
    </row>
    <row r="369" spans="1:35" x14ac:dyDescent="0.2">
      <c r="A369">
        <v>147</v>
      </c>
      <c r="B369" t="s">
        <v>749</v>
      </c>
      <c r="C369">
        <v>6</v>
      </c>
      <c r="D369" t="s">
        <v>1179</v>
      </c>
      <c r="E369" t="s">
        <v>20</v>
      </c>
      <c r="F369" t="s">
        <v>39</v>
      </c>
      <c r="G369" t="s">
        <v>39</v>
      </c>
      <c r="H369" t="s">
        <v>21</v>
      </c>
      <c r="I369">
        <v>3</v>
      </c>
      <c r="J369">
        <v>5</v>
      </c>
      <c r="K369">
        <v>200</v>
      </c>
      <c r="L369" t="s">
        <v>776</v>
      </c>
      <c r="M369" t="s">
        <v>123</v>
      </c>
      <c r="N369" t="s">
        <v>84</v>
      </c>
      <c r="O369" t="s">
        <v>1180</v>
      </c>
      <c r="P369" t="s">
        <v>1181</v>
      </c>
      <c r="Q369">
        <f t="shared" si="90"/>
        <v>2</v>
      </c>
      <c r="R369">
        <f t="shared" si="91"/>
        <v>5</v>
      </c>
      <c r="S369">
        <f t="shared" si="92"/>
        <v>5</v>
      </c>
      <c r="T369">
        <f t="shared" si="93"/>
        <v>1</v>
      </c>
      <c r="U369">
        <v>200</v>
      </c>
      <c r="V369">
        <f t="shared" si="94"/>
        <v>0</v>
      </c>
      <c r="W369">
        <f t="shared" si="95"/>
        <v>1</v>
      </c>
      <c r="X369">
        <f t="shared" si="96"/>
        <v>0</v>
      </c>
      <c r="Y369">
        <f t="shared" si="97"/>
        <v>1</v>
      </c>
      <c r="Z369">
        <f t="shared" si="98"/>
        <v>0</v>
      </c>
      <c r="AA369">
        <f t="shared" si="99"/>
        <v>0</v>
      </c>
      <c r="AB369">
        <f t="shared" si="100"/>
        <v>1</v>
      </c>
      <c r="AC369">
        <f t="shared" si="101"/>
        <v>1</v>
      </c>
      <c r="AD369">
        <f t="shared" si="102"/>
        <v>0</v>
      </c>
      <c r="AE369">
        <f t="shared" si="103"/>
        <v>0</v>
      </c>
      <c r="AF369">
        <f t="shared" si="104"/>
        <v>0</v>
      </c>
      <c r="AG369">
        <f t="shared" si="105"/>
        <v>1</v>
      </c>
      <c r="AH369">
        <f t="shared" si="106"/>
        <v>0</v>
      </c>
      <c r="AI369">
        <f t="shared" si="107"/>
        <v>0</v>
      </c>
    </row>
    <row r="370" spans="1:35" x14ac:dyDescent="0.2">
      <c r="A370">
        <v>148</v>
      </c>
      <c r="B370" t="s">
        <v>749</v>
      </c>
      <c r="C370">
        <v>6</v>
      </c>
      <c r="D370" t="s">
        <v>1182</v>
      </c>
      <c r="E370" t="s">
        <v>20</v>
      </c>
      <c r="F370" t="s">
        <v>19</v>
      </c>
      <c r="G370" t="s">
        <v>20</v>
      </c>
      <c r="H370" t="s">
        <v>18</v>
      </c>
      <c r="I370">
        <v>4</v>
      </c>
      <c r="J370">
        <v>4</v>
      </c>
      <c r="K370">
        <v>20000</v>
      </c>
      <c r="L370" t="s">
        <v>22</v>
      </c>
      <c r="M370" t="s">
        <v>219</v>
      </c>
      <c r="N370" t="s">
        <v>36</v>
      </c>
      <c r="O370" t="s">
        <v>1183</v>
      </c>
      <c r="P370" t="s">
        <v>1184</v>
      </c>
      <c r="Q370">
        <f t="shared" si="90"/>
        <v>2</v>
      </c>
      <c r="R370">
        <f t="shared" si="91"/>
        <v>3</v>
      </c>
      <c r="S370">
        <f t="shared" si="92"/>
        <v>2</v>
      </c>
      <c r="T370">
        <f t="shared" si="93"/>
        <v>4</v>
      </c>
      <c r="U370">
        <v>20000</v>
      </c>
      <c r="V370">
        <f t="shared" si="94"/>
        <v>1</v>
      </c>
      <c r="W370">
        <f t="shared" si="95"/>
        <v>0</v>
      </c>
      <c r="X370">
        <f t="shared" si="96"/>
        <v>0</v>
      </c>
      <c r="Y370">
        <f t="shared" si="97"/>
        <v>0</v>
      </c>
      <c r="Z370">
        <f t="shared" si="98"/>
        <v>0</v>
      </c>
      <c r="AA370">
        <f t="shared" si="99"/>
        <v>0</v>
      </c>
      <c r="AB370">
        <f t="shared" si="100"/>
        <v>0</v>
      </c>
      <c r="AC370">
        <f t="shared" si="101"/>
        <v>0</v>
      </c>
      <c r="AD370">
        <f t="shared" si="102"/>
        <v>0</v>
      </c>
      <c r="AE370">
        <f t="shared" si="103"/>
        <v>1</v>
      </c>
      <c r="AF370">
        <f t="shared" si="104"/>
        <v>0</v>
      </c>
      <c r="AG370">
        <f t="shared" si="105"/>
        <v>0</v>
      </c>
      <c r="AH370">
        <f t="shared" si="106"/>
        <v>0</v>
      </c>
      <c r="AI370">
        <f t="shared" si="107"/>
        <v>1</v>
      </c>
    </row>
    <row r="371" spans="1:35" x14ac:dyDescent="0.2">
      <c r="A371">
        <v>149</v>
      </c>
      <c r="B371" t="s">
        <v>749</v>
      </c>
      <c r="C371">
        <v>3</v>
      </c>
      <c r="D371" t="s">
        <v>1185</v>
      </c>
      <c r="E371" t="s">
        <v>20</v>
      </c>
      <c r="F371" t="s">
        <v>18</v>
      </c>
      <c r="G371" t="s">
        <v>39</v>
      </c>
      <c r="H371" t="s">
        <v>21</v>
      </c>
      <c r="I371">
        <v>4</v>
      </c>
      <c r="J371">
        <v>2</v>
      </c>
      <c r="K371">
        <v>40</v>
      </c>
      <c r="L371" t="s">
        <v>601</v>
      </c>
      <c r="M371" t="s">
        <v>468</v>
      </c>
      <c r="N371" t="s">
        <v>36</v>
      </c>
      <c r="O371" t="s">
        <v>1186</v>
      </c>
      <c r="P371" t="s">
        <v>1187</v>
      </c>
      <c r="Q371">
        <f t="shared" si="90"/>
        <v>2</v>
      </c>
      <c r="R371">
        <f t="shared" si="91"/>
        <v>4</v>
      </c>
      <c r="S371">
        <f t="shared" si="92"/>
        <v>5</v>
      </c>
      <c r="T371">
        <f t="shared" si="93"/>
        <v>1</v>
      </c>
      <c r="U371">
        <v>40</v>
      </c>
      <c r="V371">
        <f t="shared" si="94"/>
        <v>0</v>
      </c>
      <c r="W371">
        <f t="shared" si="95"/>
        <v>1</v>
      </c>
      <c r="X371">
        <f t="shared" si="96"/>
        <v>0</v>
      </c>
      <c r="Y371">
        <f t="shared" si="97"/>
        <v>1</v>
      </c>
      <c r="Z371">
        <f t="shared" si="98"/>
        <v>1</v>
      </c>
      <c r="AA371">
        <f t="shared" si="99"/>
        <v>1</v>
      </c>
      <c r="AB371">
        <f t="shared" si="100"/>
        <v>1</v>
      </c>
      <c r="AC371">
        <f t="shared" si="101"/>
        <v>1</v>
      </c>
      <c r="AD371">
        <f t="shared" si="102"/>
        <v>1</v>
      </c>
      <c r="AE371">
        <f t="shared" si="103"/>
        <v>1</v>
      </c>
      <c r="AF371">
        <f t="shared" si="104"/>
        <v>0</v>
      </c>
      <c r="AG371">
        <f t="shared" si="105"/>
        <v>0</v>
      </c>
      <c r="AH371">
        <f t="shared" si="106"/>
        <v>0</v>
      </c>
      <c r="AI371">
        <f t="shared" si="107"/>
        <v>1</v>
      </c>
    </row>
    <row r="372" spans="1:35" x14ac:dyDescent="0.2">
      <c r="A372">
        <v>150</v>
      </c>
      <c r="B372" t="s">
        <v>749</v>
      </c>
      <c r="C372">
        <v>6</v>
      </c>
      <c r="D372" t="s">
        <v>1188</v>
      </c>
      <c r="E372" t="s">
        <v>19</v>
      </c>
      <c r="F372" t="s">
        <v>18</v>
      </c>
      <c r="G372" t="s">
        <v>18</v>
      </c>
      <c r="H372" t="s">
        <v>20</v>
      </c>
      <c r="I372">
        <v>4</v>
      </c>
      <c r="J372">
        <v>3</v>
      </c>
      <c r="K372">
        <v>30000</v>
      </c>
      <c r="L372" t="s">
        <v>230</v>
      </c>
      <c r="M372" t="s">
        <v>468</v>
      </c>
      <c r="N372" t="s">
        <v>36</v>
      </c>
      <c r="O372" t="s">
        <v>590</v>
      </c>
      <c r="P372" t="s">
        <v>1189</v>
      </c>
      <c r="Q372">
        <f t="shared" si="90"/>
        <v>3</v>
      </c>
      <c r="R372">
        <f t="shared" si="91"/>
        <v>4</v>
      </c>
      <c r="S372">
        <f t="shared" si="92"/>
        <v>4</v>
      </c>
      <c r="T372">
        <f t="shared" si="93"/>
        <v>2</v>
      </c>
      <c r="U372">
        <v>30000</v>
      </c>
      <c r="V372">
        <f t="shared" si="94"/>
        <v>1</v>
      </c>
      <c r="W372">
        <f t="shared" si="95"/>
        <v>1</v>
      </c>
      <c r="X372">
        <f t="shared" si="96"/>
        <v>1</v>
      </c>
      <c r="Y372">
        <f t="shared" si="97"/>
        <v>1</v>
      </c>
      <c r="Z372">
        <f t="shared" si="98"/>
        <v>1</v>
      </c>
      <c r="AA372">
        <f t="shared" si="99"/>
        <v>1</v>
      </c>
      <c r="AB372">
        <f t="shared" si="100"/>
        <v>1</v>
      </c>
      <c r="AC372">
        <f t="shared" si="101"/>
        <v>1</v>
      </c>
      <c r="AD372">
        <f t="shared" si="102"/>
        <v>1</v>
      </c>
      <c r="AE372">
        <f t="shared" si="103"/>
        <v>1</v>
      </c>
      <c r="AF372">
        <f t="shared" si="104"/>
        <v>0</v>
      </c>
      <c r="AG372">
        <f t="shared" si="105"/>
        <v>0</v>
      </c>
      <c r="AH372">
        <f t="shared" si="106"/>
        <v>0</v>
      </c>
      <c r="AI372">
        <f t="shared" si="107"/>
        <v>1</v>
      </c>
    </row>
    <row r="373" spans="1:35" x14ac:dyDescent="0.2">
      <c r="A373">
        <v>151</v>
      </c>
      <c r="B373" t="s">
        <v>749</v>
      </c>
      <c r="C373">
        <v>9</v>
      </c>
      <c r="D373" t="s">
        <v>1190</v>
      </c>
      <c r="E373" t="s">
        <v>21</v>
      </c>
      <c r="F373" t="s">
        <v>18</v>
      </c>
      <c r="G373" t="s">
        <v>39</v>
      </c>
      <c r="H373" t="s">
        <v>20</v>
      </c>
      <c r="I373">
        <v>3</v>
      </c>
      <c r="J373">
        <v>3</v>
      </c>
      <c r="K373">
        <v>50</v>
      </c>
      <c r="L373" t="s">
        <v>714</v>
      </c>
      <c r="M373" t="s">
        <v>123</v>
      </c>
      <c r="N373" t="s">
        <v>43</v>
      </c>
      <c r="O373" t="s">
        <v>67</v>
      </c>
      <c r="P373" t="s">
        <v>1191</v>
      </c>
      <c r="Q373">
        <f t="shared" si="90"/>
        <v>1</v>
      </c>
      <c r="R373">
        <f t="shared" si="91"/>
        <v>4</v>
      </c>
      <c r="S373">
        <f t="shared" si="92"/>
        <v>5</v>
      </c>
      <c r="T373">
        <f t="shared" si="93"/>
        <v>2</v>
      </c>
      <c r="U373">
        <v>50</v>
      </c>
      <c r="V373">
        <f t="shared" si="94"/>
        <v>0</v>
      </c>
      <c r="W373">
        <f t="shared" si="95"/>
        <v>0</v>
      </c>
      <c r="X373">
        <f t="shared" si="96"/>
        <v>1</v>
      </c>
      <c r="Y373">
        <f t="shared" si="97"/>
        <v>1</v>
      </c>
      <c r="Z373">
        <f t="shared" si="98"/>
        <v>1</v>
      </c>
      <c r="AA373">
        <f t="shared" si="99"/>
        <v>0</v>
      </c>
      <c r="AB373">
        <f t="shared" si="100"/>
        <v>1</v>
      </c>
      <c r="AC373">
        <f t="shared" si="101"/>
        <v>1</v>
      </c>
      <c r="AD373">
        <f t="shared" si="102"/>
        <v>0</v>
      </c>
      <c r="AE373">
        <f t="shared" si="103"/>
        <v>0</v>
      </c>
      <c r="AF373">
        <f t="shared" si="104"/>
        <v>1</v>
      </c>
      <c r="AG373">
        <f t="shared" si="105"/>
        <v>1</v>
      </c>
      <c r="AH373">
        <f t="shared" si="106"/>
        <v>0</v>
      </c>
      <c r="AI373">
        <f t="shared" si="107"/>
        <v>0</v>
      </c>
    </row>
    <row r="374" spans="1:35" x14ac:dyDescent="0.2">
      <c r="A374">
        <v>152</v>
      </c>
      <c r="B374" t="s">
        <v>749</v>
      </c>
      <c r="C374">
        <v>1</v>
      </c>
      <c r="D374" t="s">
        <v>1192</v>
      </c>
      <c r="E374" t="s">
        <v>21</v>
      </c>
      <c r="F374" t="s">
        <v>21</v>
      </c>
      <c r="G374" t="s">
        <v>21</v>
      </c>
      <c r="H374" t="s">
        <v>21</v>
      </c>
      <c r="I374">
        <v>3</v>
      </c>
      <c r="J374">
        <v>1</v>
      </c>
      <c r="K374">
        <v>1</v>
      </c>
      <c r="L374" t="s">
        <v>22</v>
      </c>
      <c r="M374" t="s">
        <v>23</v>
      </c>
      <c r="N374" t="s">
        <v>24</v>
      </c>
      <c r="O374" t="s">
        <v>1193</v>
      </c>
      <c r="P374" t="s">
        <v>1194</v>
      </c>
      <c r="Q374">
        <f t="shared" si="90"/>
        <v>1</v>
      </c>
      <c r="R374">
        <f t="shared" si="91"/>
        <v>1</v>
      </c>
      <c r="S374">
        <f t="shared" si="92"/>
        <v>1</v>
      </c>
      <c r="T374">
        <f t="shared" si="93"/>
        <v>1</v>
      </c>
      <c r="U374">
        <v>1</v>
      </c>
      <c r="V374">
        <f t="shared" si="94"/>
        <v>1</v>
      </c>
      <c r="W374">
        <f t="shared" si="95"/>
        <v>0</v>
      </c>
      <c r="X374">
        <f t="shared" si="96"/>
        <v>0</v>
      </c>
      <c r="Y374">
        <f t="shared" si="97"/>
        <v>0</v>
      </c>
      <c r="Z374">
        <f t="shared" si="98"/>
        <v>0</v>
      </c>
      <c r="AA374">
        <f t="shared" si="99"/>
        <v>1</v>
      </c>
      <c r="AB374">
        <f t="shared" si="100"/>
        <v>0</v>
      </c>
      <c r="AC374">
        <f t="shared" si="101"/>
        <v>0</v>
      </c>
      <c r="AD374">
        <f t="shared" si="102"/>
        <v>0</v>
      </c>
      <c r="AE374">
        <f t="shared" si="103"/>
        <v>0</v>
      </c>
      <c r="AF374">
        <f t="shared" si="104"/>
        <v>0</v>
      </c>
      <c r="AG374">
        <f t="shared" si="105"/>
        <v>0</v>
      </c>
      <c r="AH374">
        <f t="shared" si="106"/>
        <v>1</v>
      </c>
      <c r="AI374">
        <f t="shared" si="107"/>
        <v>0</v>
      </c>
    </row>
    <row r="375" spans="1:35" x14ac:dyDescent="0.2">
      <c r="A375">
        <v>153</v>
      </c>
      <c r="B375" t="s">
        <v>749</v>
      </c>
      <c r="C375">
        <v>5</v>
      </c>
      <c r="D375" t="s">
        <v>1195</v>
      </c>
      <c r="E375" t="s">
        <v>20</v>
      </c>
      <c r="F375" t="s">
        <v>18</v>
      </c>
      <c r="G375" t="s">
        <v>39</v>
      </c>
      <c r="H375" t="s">
        <v>21</v>
      </c>
      <c r="I375">
        <v>3</v>
      </c>
      <c r="J375">
        <v>3</v>
      </c>
      <c r="K375">
        <v>100</v>
      </c>
      <c r="L375" t="s">
        <v>53</v>
      </c>
      <c r="M375" t="s">
        <v>23</v>
      </c>
      <c r="N375" t="s">
        <v>36</v>
      </c>
      <c r="O375" t="s">
        <v>817</v>
      </c>
      <c r="P375" t="s">
        <v>1196</v>
      </c>
      <c r="Q375">
        <f t="shared" si="90"/>
        <v>2</v>
      </c>
      <c r="R375">
        <f t="shared" si="91"/>
        <v>4</v>
      </c>
      <c r="S375">
        <f t="shared" si="92"/>
        <v>5</v>
      </c>
      <c r="T375">
        <f t="shared" si="93"/>
        <v>1</v>
      </c>
      <c r="U375">
        <v>100</v>
      </c>
      <c r="V375">
        <f t="shared" si="94"/>
        <v>0</v>
      </c>
      <c r="W375">
        <f t="shared" si="95"/>
        <v>0</v>
      </c>
      <c r="X375">
        <f t="shared" si="96"/>
        <v>1</v>
      </c>
      <c r="Y375">
        <f t="shared" si="97"/>
        <v>0</v>
      </c>
      <c r="Z375">
        <f t="shared" si="98"/>
        <v>0</v>
      </c>
      <c r="AA375">
        <f t="shared" si="99"/>
        <v>1</v>
      </c>
      <c r="AB375">
        <f t="shared" si="100"/>
        <v>0</v>
      </c>
      <c r="AC375">
        <f t="shared" si="101"/>
        <v>0</v>
      </c>
      <c r="AD375">
        <f t="shared" si="102"/>
        <v>0</v>
      </c>
      <c r="AE375">
        <f t="shared" si="103"/>
        <v>0</v>
      </c>
      <c r="AF375">
        <f t="shared" si="104"/>
        <v>0</v>
      </c>
      <c r="AG375">
        <f t="shared" si="105"/>
        <v>0</v>
      </c>
      <c r="AH375">
        <f t="shared" si="106"/>
        <v>0</v>
      </c>
      <c r="AI375">
        <f t="shared" si="107"/>
        <v>1</v>
      </c>
    </row>
    <row r="376" spans="1:35" x14ac:dyDescent="0.2">
      <c r="A376">
        <v>154</v>
      </c>
      <c r="B376" t="s">
        <v>749</v>
      </c>
      <c r="C376">
        <v>9</v>
      </c>
      <c r="D376" t="s">
        <v>1197</v>
      </c>
      <c r="E376" t="s">
        <v>19</v>
      </c>
      <c r="F376" t="s">
        <v>18</v>
      </c>
      <c r="G376" t="s">
        <v>18</v>
      </c>
      <c r="H376" t="s">
        <v>20</v>
      </c>
      <c r="I376">
        <v>2</v>
      </c>
      <c r="J376">
        <v>2</v>
      </c>
      <c r="K376">
        <v>100</v>
      </c>
      <c r="L376" t="s">
        <v>70</v>
      </c>
      <c r="M376" t="s">
        <v>48</v>
      </c>
      <c r="N376" t="s">
        <v>84</v>
      </c>
      <c r="O376" t="s">
        <v>1198</v>
      </c>
      <c r="P376" t="s">
        <v>1199</v>
      </c>
      <c r="Q376">
        <f t="shared" si="90"/>
        <v>3</v>
      </c>
      <c r="R376">
        <f t="shared" si="91"/>
        <v>4</v>
      </c>
      <c r="S376">
        <f t="shared" si="92"/>
        <v>4</v>
      </c>
      <c r="T376">
        <f t="shared" si="93"/>
        <v>2</v>
      </c>
      <c r="U376">
        <v>100</v>
      </c>
      <c r="V376">
        <f t="shared" si="94"/>
        <v>0</v>
      </c>
      <c r="W376">
        <f t="shared" si="95"/>
        <v>0</v>
      </c>
      <c r="X376">
        <f t="shared" si="96"/>
        <v>0</v>
      </c>
      <c r="Y376">
        <f t="shared" si="97"/>
        <v>1</v>
      </c>
      <c r="Z376">
        <f t="shared" si="98"/>
        <v>0</v>
      </c>
      <c r="AA376">
        <f t="shared" si="99"/>
        <v>1</v>
      </c>
      <c r="AB376">
        <f t="shared" si="100"/>
        <v>1</v>
      </c>
      <c r="AC376">
        <f t="shared" si="101"/>
        <v>1</v>
      </c>
      <c r="AD376">
        <f t="shared" si="102"/>
        <v>0</v>
      </c>
      <c r="AE376">
        <f t="shared" si="103"/>
        <v>0</v>
      </c>
      <c r="AF376">
        <f t="shared" si="104"/>
        <v>0</v>
      </c>
      <c r="AG376">
        <f t="shared" si="105"/>
        <v>1</v>
      </c>
      <c r="AH376">
        <f t="shared" si="106"/>
        <v>0</v>
      </c>
      <c r="AI376">
        <f t="shared" si="107"/>
        <v>0</v>
      </c>
    </row>
    <row r="377" spans="1:35" x14ac:dyDescent="0.2">
      <c r="A377">
        <v>155</v>
      </c>
      <c r="B377" t="s">
        <v>749</v>
      </c>
      <c r="C377">
        <v>9</v>
      </c>
      <c r="D377" t="s">
        <v>1200</v>
      </c>
      <c r="E377" t="s">
        <v>19</v>
      </c>
      <c r="F377" t="s">
        <v>19</v>
      </c>
      <c r="G377" t="s">
        <v>39</v>
      </c>
      <c r="H377" t="s">
        <v>21</v>
      </c>
      <c r="I377">
        <v>4</v>
      </c>
      <c r="J377">
        <v>3</v>
      </c>
      <c r="K377">
        <v>50000</v>
      </c>
      <c r="L377" t="s">
        <v>70</v>
      </c>
      <c r="M377" t="s">
        <v>123</v>
      </c>
      <c r="N377" t="s">
        <v>24</v>
      </c>
      <c r="O377" t="s">
        <v>368</v>
      </c>
      <c r="P377" t="s">
        <v>1201</v>
      </c>
      <c r="Q377">
        <f t="shared" si="90"/>
        <v>3</v>
      </c>
      <c r="R377">
        <f t="shared" si="91"/>
        <v>3</v>
      </c>
      <c r="S377">
        <f t="shared" si="92"/>
        <v>5</v>
      </c>
      <c r="T377">
        <f t="shared" si="93"/>
        <v>1</v>
      </c>
      <c r="U377">
        <v>50000</v>
      </c>
      <c r="V377">
        <f t="shared" si="94"/>
        <v>0</v>
      </c>
      <c r="W377">
        <f t="shared" si="95"/>
        <v>0</v>
      </c>
      <c r="X377">
        <f t="shared" si="96"/>
        <v>0</v>
      </c>
      <c r="Y377">
        <f t="shared" si="97"/>
        <v>1</v>
      </c>
      <c r="Z377">
        <f t="shared" si="98"/>
        <v>0</v>
      </c>
      <c r="AA377">
        <f t="shared" si="99"/>
        <v>0</v>
      </c>
      <c r="AB377">
        <f t="shared" si="100"/>
        <v>1</v>
      </c>
      <c r="AC377">
        <f t="shared" si="101"/>
        <v>1</v>
      </c>
      <c r="AD377">
        <f t="shared" si="102"/>
        <v>0</v>
      </c>
      <c r="AE377">
        <f t="shared" si="103"/>
        <v>0</v>
      </c>
      <c r="AF377">
        <f t="shared" si="104"/>
        <v>0</v>
      </c>
      <c r="AG377">
        <f t="shared" si="105"/>
        <v>0</v>
      </c>
      <c r="AH377">
        <f t="shared" si="106"/>
        <v>1</v>
      </c>
      <c r="AI377">
        <f t="shared" si="107"/>
        <v>0</v>
      </c>
    </row>
    <row r="378" spans="1:35" x14ac:dyDescent="0.2">
      <c r="A378">
        <v>156</v>
      </c>
      <c r="B378" t="s">
        <v>749</v>
      </c>
      <c r="C378">
        <v>5</v>
      </c>
      <c r="D378" t="s">
        <v>1202</v>
      </c>
      <c r="E378" t="s">
        <v>18</v>
      </c>
      <c r="F378" t="s">
        <v>19</v>
      </c>
      <c r="G378" t="s">
        <v>19</v>
      </c>
      <c r="H378" t="s">
        <v>20</v>
      </c>
      <c r="I378">
        <v>4</v>
      </c>
      <c r="J378">
        <v>4</v>
      </c>
      <c r="K378" s="2">
        <v>300000</v>
      </c>
      <c r="L378" t="s">
        <v>601</v>
      </c>
      <c r="M378" t="s">
        <v>123</v>
      </c>
      <c r="N378" t="s">
        <v>43</v>
      </c>
      <c r="O378" t="s">
        <v>1203</v>
      </c>
      <c r="P378" t="s">
        <v>1204</v>
      </c>
      <c r="Q378">
        <f t="shared" si="90"/>
        <v>4</v>
      </c>
      <c r="R378">
        <f t="shared" si="91"/>
        <v>3</v>
      </c>
      <c r="S378">
        <f t="shared" si="92"/>
        <v>3</v>
      </c>
      <c r="T378">
        <f t="shared" si="93"/>
        <v>2</v>
      </c>
      <c r="U378">
        <v>300000</v>
      </c>
      <c r="V378">
        <f t="shared" si="94"/>
        <v>0</v>
      </c>
      <c r="W378">
        <f t="shared" si="95"/>
        <v>1</v>
      </c>
      <c r="X378">
        <f t="shared" si="96"/>
        <v>0</v>
      </c>
      <c r="Y378">
        <f t="shared" si="97"/>
        <v>1</v>
      </c>
      <c r="Z378">
        <f t="shared" si="98"/>
        <v>1</v>
      </c>
      <c r="AA378">
        <f t="shared" si="99"/>
        <v>0</v>
      </c>
      <c r="AB378">
        <f t="shared" si="100"/>
        <v>1</v>
      </c>
      <c r="AC378">
        <f t="shared" si="101"/>
        <v>1</v>
      </c>
      <c r="AD378">
        <f t="shared" si="102"/>
        <v>0</v>
      </c>
      <c r="AE378">
        <f t="shared" si="103"/>
        <v>0</v>
      </c>
      <c r="AF378">
        <f t="shared" si="104"/>
        <v>1</v>
      </c>
      <c r="AG378">
        <f t="shared" si="105"/>
        <v>1</v>
      </c>
      <c r="AH378">
        <f t="shared" si="106"/>
        <v>0</v>
      </c>
      <c r="AI378">
        <f t="shared" si="107"/>
        <v>0</v>
      </c>
    </row>
    <row r="379" spans="1:35" x14ac:dyDescent="0.2">
      <c r="A379">
        <v>157</v>
      </c>
      <c r="B379" t="s">
        <v>749</v>
      </c>
      <c r="C379">
        <v>3</v>
      </c>
      <c r="D379" t="s">
        <v>1205</v>
      </c>
      <c r="E379" t="s">
        <v>20</v>
      </c>
      <c r="F379" t="s">
        <v>18</v>
      </c>
      <c r="G379" t="s">
        <v>18</v>
      </c>
      <c r="H379" t="s">
        <v>19</v>
      </c>
      <c r="I379">
        <v>3</v>
      </c>
      <c r="J379">
        <v>3</v>
      </c>
      <c r="K379">
        <v>100</v>
      </c>
      <c r="L379" t="s">
        <v>79</v>
      </c>
      <c r="M379" t="s">
        <v>468</v>
      </c>
      <c r="N379" t="s">
        <v>43</v>
      </c>
      <c r="O379" t="s">
        <v>1206</v>
      </c>
      <c r="P379" t="s">
        <v>1207</v>
      </c>
      <c r="Q379">
        <f t="shared" si="90"/>
        <v>2</v>
      </c>
      <c r="R379">
        <f t="shared" si="91"/>
        <v>4</v>
      </c>
      <c r="S379">
        <f t="shared" si="92"/>
        <v>4</v>
      </c>
      <c r="T379">
        <f t="shared" si="93"/>
        <v>3</v>
      </c>
      <c r="U379">
        <v>100</v>
      </c>
      <c r="V379">
        <f t="shared" si="94"/>
        <v>0</v>
      </c>
      <c r="W379">
        <f t="shared" si="95"/>
        <v>1</v>
      </c>
      <c r="X379">
        <f t="shared" si="96"/>
        <v>0</v>
      </c>
      <c r="Y379">
        <f t="shared" si="97"/>
        <v>0</v>
      </c>
      <c r="Z379">
        <f t="shared" si="98"/>
        <v>1</v>
      </c>
      <c r="AA379">
        <f t="shared" si="99"/>
        <v>1</v>
      </c>
      <c r="AB379">
        <f t="shared" si="100"/>
        <v>1</v>
      </c>
      <c r="AC379">
        <f t="shared" si="101"/>
        <v>1</v>
      </c>
      <c r="AD379">
        <f t="shared" si="102"/>
        <v>1</v>
      </c>
      <c r="AE379">
        <f t="shared" si="103"/>
        <v>1</v>
      </c>
      <c r="AF379">
        <f t="shared" si="104"/>
        <v>1</v>
      </c>
      <c r="AG379">
        <f t="shared" si="105"/>
        <v>1</v>
      </c>
      <c r="AH379">
        <f t="shared" si="106"/>
        <v>0</v>
      </c>
      <c r="AI379">
        <f t="shared" si="107"/>
        <v>0</v>
      </c>
    </row>
    <row r="380" spans="1:35" x14ac:dyDescent="0.2">
      <c r="A380">
        <v>158</v>
      </c>
      <c r="B380" t="s">
        <v>749</v>
      </c>
      <c r="C380">
        <v>7</v>
      </c>
      <c r="D380" t="s">
        <v>1208</v>
      </c>
      <c r="E380" t="s">
        <v>20</v>
      </c>
      <c r="F380" t="s">
        <v>18</v>
      </c>
      <c r="G380" t="s">
        <v>18</v>
      </c>
      <c r="H380" t="s">
        <v>21</v>
      </c>
      <c r="I380">
        <v>3</v>
      </c>
      <c r="J380">
        <v>5</v>
      </c>
      <c r="K380">
        <v>1000</v>
      </c>
      <c r="L380" t="s">
        <v>70</v>
      </c>
      <c r="M380" t="s">
        <v>135</v>
      </c>
      <c r="N380" t="s">
        <v>215</v>
      </c>
      <c r="O380" t="s">
        <v>1209</v>
      </c>
      <c r="P380" t="s">
        <v>1210</v>
      </c>
      <c r="Q380">
        <f t="shared" si="90"/>
        <v>2</v>
      </c>
      <c r="R380">
        <f t="shared" si="91"/>
        <v>4</v>
      </c>
      <c r="S380">
        <f t="shared" si="92"/>
        <v>4</v>
      </c>
      <c r="T380">
        <f t="shared" si="93"/>
        <v>1</v>
      </c>
      <c r="U380">
        <v>1000</v>
      </c>
      <c r="V380">
        <f t="shared" si="94"/>
        <v>0</v>
      </c>
      <c r="W380">
        <f t="shared" si="95"/>
        <v>0</v>
      </c>
      <c r="X380">
        <f t="shared" si="96"/>
        <v>0</v>
      </c>
      <c r="Y380">
        <f t="shared" si="97"/>
        <v>1</v>
      </c>
      <c r="Z380">
        <f t="shared" si="98"/>
        <v>0</v>
      </c>
      <c r="AA380">
        <f t="shared" si="99"/>
        <v>1</v>
      </c>
      <c r="AB380">
        <f t="shared" si="100"/>
        <v>1</v>
      </c>
      <c r="AC380">
        <f t="shared" si="101"/>
        <v>0</v>
      </c>
      <c r="AD380">
        <f t="shared" si="102"/>
        <v>0</v>
      </c>
      <c r="AE380">
        <f t="shared" si="103"/>
        <v>0</v>
      </c>
      <c r="AF380">
        <f t="shared" si="104"/>
        <v>1</v>
      </c>
      <c r="AG380">
        <f t="shared" si="105"/>
        <v>0</v>
      </c>
      <c r="AH380">
        <f t="shared" si="106"/>
        <v>0</v>
      </c>
      <c r="AI380">
        <f t="shared" si="107"/>
        <v>0</v>
      </c>
    </row>
    <row r="381" spans="1:35" x14ac:dyDescent="0.2">
      <c r="A381">
        <v>159</v>
      </c>
      <c r="B381" t="s">
        <v>749</v>
      </c>
      <c r="C381">
        <v>7</v>
      </c>
      <c r="D381" t="s">
        <v>1211</v>
      </c>
      <c r="E381" t="s">
        <v>20</v>
      </c>
      <c r="F381" t="s">
        <v>19</v>
      </c>
      <c r="G381" t="s">
        <v>21</v>
      </c>
      <c r="H381" t="s">
        <v>20</v>
      </c>
      <c r="I381">
        <v>4</v>
      </c>
      <c r="J381">
        <v>12</v>
      </c>
      <c r="K381" t="s">
        <v>1212</v>
      </c>
      <c r="L381" t="s">
        <v>230</v>
      </c>
      <c r="M381" t="s">
        <v>468</v>
      </c>
      <c r="N381" t="s">
        <v>36</v>
      </c>
      <c r="O381" t="s">
        <v>778</v>
      </c>
      <c r="P381" t="s">
        <v>1213</v>
      </c>
      <c r="Q381">
        <f t="shared" si="90"/>
        <v>2</v>
      </c>
      <c r="R381">
        <f t="shared" si="91"/>
        <v>3</v>
      </c>
      <c r="S381">
        <f t="shared" si="92"/>
        <v>1</v>
      </c>
      <c r="T381">
        <f t="shared" si="93"/>
        <v>2</v>
      </c>
      <c r="U381">
        <v>100</v>
      </c>
      <c r="V381">
        <f t="shared" si="94"/>
        <v>1</v>
      </c>
      <c r="W381">
        <f t="shared" si="95"/>
        <v>1</v>
      </c>
      <c r="X381">
        <f t="shared" si="96"/>
        <v>1</v>
      </c>
      <c r="Y381">
        <f t="shared" si="97"/>
        <v>1</v>
      </c>
      <c r="Z381">
        <f t="shared" si="98"/>
        <v>1</v>
      </c>
      <c r="AA381">
        <f t="shared" si="99"/>
        <v>1</v>
      </c>
      <c r="AB381">
        <f t="shared" si="100"/>
        <v>1</v>
      </c>
      <c r="AC381">
        <f t="shared" si="101"/>
        <v>1</v>
      </c>
      <c r="AD381">
        <f t="shared" si="102"/>
        <v>1</v>
      </c>
      <c r="AE381">
        <f t="shared" si="103"/>
        <v>1</v>
      </c>
      <c r="AF381">
        <f t="shared" si="104"/>
        <v>0</v>
      </c>
      <c r="AG381">
        <f t="shared" si="105"/>
        <v>0</v>
      </c>
      <c r="AH381">
        <f t="shared" si="106"/>
        <v>0</v>
      </c>
      <c r="AI381">
        <f t="shared" si="107"/>
        <v>1</v>
      </c>
    </row>
    <row r="382" spans="1:35" x14ac:dyDescent="0.2">
      <c r="A382">
        <v>160</v>
      </c>
      <c r="B382" t="s">
        <v>749</v>
      </c>
      <c r="C382">
        <v>6</v>
      </c>
      <c r="D382" t="s">
        <v>1214</v>
      </c>
      <c r="E382" t="s">
        <v>18</v>
      </c>
      <c r="F382" t="s">
        <v>19</v>
      </c>
      <c r="G382" t="s">
        <v>18</v>
      </c>
      <c r="H382" t="s">
        <v>20</v>
      </c>
      <c r="I382">
        <v>2</v>
      </c>
      <c r="J382">
        <v>2</v>
      </c>
      <c r="K382">
        <v>300</v>
      </c>
      <c r="L382" t="s">
        <v>230</v>
      </c>
      <c r="M382" t="s">
        <v>99</v>
      </c>
      <c r="N382" t="s">
        <v>36</v>
      </c>
      <c r="O382" t="s">
        <v>1215</v>
      </c>
      <c r="P382" t="s">
        <v>1216</v>
      </c>
      <c r="Q382">
        <f t="shared" si="90"/>
        <v>4</v>
      </c>
      <c r="R382">
        <f t="shared" si="91"/>
        <v>3</v>
      </c>
      <c r="S382">
        <f t="shared" si="92"/>
        <v>4</v>
      </c>
      <c r="T382">
        <f t="shared" si="93"/>
        <v>2</v>
      </c>
      <c r="U382">
        <v>300</v>
      </c>
      <c r="V382">
        <f t="shared" si="94"/>
        <v>1</v>
      </c>
      <c r="W382">
        <f t="shared" si="95"/>
        <v>1</v>
      </c>
      <c r="X382">
        <f t="shared" si="96"/>
        <v>1</v>
      </c>
      <c r="Y382">
        <f t="shared" si="97"/>
        <v>1</v>
      </c>
      <c r="Z382">
        <f t="shared" si="98"/>
        <v>1</v>
      </c>
      <c r="AA382">
        <f t="shared" si="99"/>
        <v>1</v>
      </c>
      <c r="AB382">
        <f t="shared" si="100"/>
        <v>0</v>
      </c>
      <c r="AC382">
        <f t="shared" si="101"/>
        <v>0</v>
      </c>
      <c r="AD382">
        <f t="shared" si="102"/>
        <v>0</v>
      </c>
      <c r="AE382">
        <f t="shared" si="103"/>
        <v>1</v>
      </c>
      <c r="AF382">
        <f t="shared" si="104"/>
        <v>0</v>
      </c>
      <c r="AG382">
        <f t="shared" si="105"/>
        <v>0</v>
      </c>
      <c r="AH382">
        <f t="shared" si="106"/>
        <v>0</v>
      </c>
      <c r="AI382">
        <f t="shared" si="107"/>
        <v>1</v>
      </c>
    </row>
    <row r="383" spans="1:35" x14ac:dyDescent="0.2">
      <c r="A383">
        <v>161</v>
      </c>
      <c r="B383" t="s">
        <v>749</v>
      </c>
      <c r="C383">
        <v>7</v>
      </c>
      <c r="D383" t="s">
        <v>1217</v>
      </c>
      <c r="E383" t="s">
        <v>39</v>
      </c>
      <c r="F383" t="s">
        <v>39</v>
      </c>
      <c r="G383" t="s">
        <v>39</v>
      </c>
      <c r="H383" t="s">
        <v>21</v>
      </c>
      <c r="I383">
        <v>3</v>
      </c>
      <c r="J383">
        <v>2</v>
      </c>
      <c r="K383">
        <v>200</v>
      </c>
      <c r="L383" t="s">
        <v>230</v>
      </c>
      <c r="M383" t="s">
        <v>781</v>
      </c>
      <c r="N383" t="s">
        <v>36</v>
      </c>
      <c r="O383" t="s">
        <v>1218</v>
      </c>
      <c r="P383" t="s">
        <v>1219</v>
      </c>
      <c r="Q383">
        <f t="shared" si="90"/>
        <v>5</v>
      </c>
      <c r="R383">
        <f t="shared" si="91"/>
        <v>5</v>
      </c>
      <c r="S383">
        <f t="shared" si="92"/>
        <v>5</v>
      </c>
      <c r="T383">
        <f t="shared" si="93"/>
        <v>1</v>
      </c>
      <c r="U383">
        <v>200</v>
      </c>
      <c r="V383">
        <f t="shared" si="94"/>
        <v>1</v>
      </c>
      <c r="W383">
        <f t="shared" si="95"/>
        <v>1</v>
      </c>
      <c r="X383">
        <f t="shared" si="96"/>
        <v>1</v>
      </c>
      <c r="Y383">
        <f t="shared" si="97"/>
        <v>1</v>
      </c>
      <c r="Z383">
        <f t="shared" si="98"/>
        <v>1</v>
      </c>
      <c r="AA383">
        <f t="shared" si="99"/>
        <v>0</v>
      </c>
      <c r="AB383">
        <f t="shared" si="100"/>
        <v>1</v>
      </c>
      <c r="AC383">
        <f t="shared" si="101"/>
        <v>1</v>
      </c>
      <c r="AD383">
        <f t="shared" si="102"/>
        <v>1</v>
      </c>
      <c r="AE383">
        <f t="shared" si="103"/>
        <v>1</v>
      </c>
      <c r="AF383">
        <f t="shared" si="104"/>
        <v>0</v>
      </c>
      <c r="AG383">
        <f t="shared" si="105"/>
        <v>0</v>
      </c>
      <c r="AH383">
        <f t="shared" si="106"/>
        <v>0</v>
      </c>
      <c r="AI383">
        <f t="shared" si="107"/>
        <v>1</v>
      </c>
    </row>
    <row r="384" spans="1:35" x14ac:dyDescent="0.2">
      <c r="A384">
        <v>162</v>
      </c>
      <c r="B384" t="s">
        <v>749</v>
      </c>
      <c r="C384">
        <v>10</v>
      </c>
      <c r="D384" t="s">
        <v>1220</v>
      </c>
      <c r="E384" t="s">
        <v>20</v>
      </c>
      <c r="F384" t="s">
        <v>18</v>
      </c>
      <c r="G384" t="s">
        <v>19</v>
      </c>
      <c r="H384" t="s">
        <v>20</v>
      </c>
      <c r="I384">
        <v>4</v>
      </c>
      <c r="J384">
        <v>4</v>
      </c>
      <c r="K384">
        <v>500</v>
      </c>
      <c r="L384" t="s">
        <v>34</v>
      </c>
      <c r="M384" t="s">
        <v>161</v>
      </c>
      <c r="N384" t="s">
        <v>622</v>
      </c>
      <c r="O384" t="s">
        <v>593</v>
      </c>
      <c r="P384" t="s">
        <v>1221</v>
      </c>
      <c r="Q384">
        <f t="shared" si="90"/>
        <v>2</v>
      </c>
      <c r="R384">
        <f t="shared" si="91"/>
        <v>4</v>
      </c>
      <c r="S384">
        <f t="shared" si="92"/>
        <v>3</v>
      </c>
      <c r="T384">
        <f t="shared" si="93"/>
        <v>2</v>
      </c>
      <c r="U384">
        <v>500</v>
      </c>
      <c r="V384">
        <f t="shared" si="94"/>
        <v>1</v>
      </c>
      <c r="W384">
        <f t="shared" si="95"/>
        <v>0</v>
      </c>
      <c r="X384">
        <f t="shared" si="96"/>
        <v>0</v>
      </c>
      <c r="Y384">
        <f t="shared" si="97"/>
        <v>1</v>
      </c>
      <c r="Z384">
        <f t="shared" si="98"/>
        <v>0</v>
      </c>
      <c r="AA384">
        <f t="shared" si="99"/>
        <v>1</v>
      </c>
      <c r="AB384">
        <f t="shared" si="100"/>
        <v>1</v>
      </c>
      <c r="AC384">
        <f t="shared" si="101"/>
        <v>1</v>
      </c>
      <c r="AD384">
        <f t="shared" si="102"/>
        <v>1</v>
      </c>
      <c r="AE384">
        <f t="shared" si="103"/>
        <v>0</v>
      </c>
      <c r="AF384">
        <f t="shared" si="104"/>
        <v>0</v>
      </c>
      <c r="AG384">
        <f t="shared" si="105"/>
        <v>1</v>
      </c>
      <c r="AH384">
        <f t="shared" si="106"/>
        <v>0</v>
      </c>
      <c r="AI384">
        <f t="shared" si="107"/>
        <v>1</v>
      </c>
    </row>
    <row r="385" spans="1:35" x14ac:dyDescent="0.2">
      <c r="A385">
        <v>163</v>
      </c>
      <c r="B385" t="s">
        <v>749</v>
      </c>
      <c r="C385">
        <v>6</v>
      </c>
      <c r="D385" t="s">
        <v>1222</v>
      </c>
      <c r="E385" t="s">
        <v>21</v>
      </c>
      <c r="F385" t="s">
        <v>18</v>
      </c>
      <c r="G385" t="s">
        <v>18</v>
      </c>
      <c r="H385" t="s">
        <v>20</v>
      </c>
      <c r="I385">
        <v>4</v>
      </c>
      <c r="J385">
        <v>3</v>
      </c>
      <c r="K385">
        <v>100</v>
      </c>
      <c r="L385" t="s">
        <v>601</v>
      </c>
      <c r="M385" t="s">
        <v>468</v>
      </c>
      <c r="N385" t="s">
        <v>622</v>
      </c>
      <c r="O385" t="s">
        <v>1223</v>
      </c>
      <c r="P385" t="s">
        <v>1224</v>
      </c>
      <c r="Q385">
        <f t="shared" si="90"/>
        <v>1</v>
      </c>
      <c r="R385">
        <f t="shared" si="91"/>
        <v>4</v>
      </c>
      <c r="S385">
        <f t="shared" si="92"/>
        <v>4</v>
      </c>
      <c r="T385">
        <f t="shared" si="93"/>
        <v>2</v>
      </c>
      <c r="U385">
        <v>100</v>
      </c>
      <c r="V385">
        <f t="shared" si="94"/>
        <v>0</v>
      </c>
      <c r="W385">
        <f t="shared" si="95"/>
        <v>1</v>
      </c>
      <c r="X385">
        <f t="shared" si="96"/>
        <v>0</v>
      </c>
      <c r="Y385">
        <f t="shared" si="97"/>
        <v>1</v>
      </c>
      <c r="Z385">
        <f t="shared" si="98"/>
        <v>1</v>
      </c>
      <c r="AA385">
        <f t="shared" si="99"/>
        <v>1</v>
      </c>
      <c r="AB385">
        <f t="shared" si="100"/>
        <v>1</v>
      </c>
      <c r="AC385">
        <f t="shared" si="101"/>
        <v>1</v>
      </c>
      <c r="AD385">
        <f t="shared" si="102"/>
        <v>1</v>
      </c>
      <c r="AE385">
        <f t="shared" si="103"/>
        <v>1</v>
      </c>
      <c r="AF385">
        <f t="shared" si="104"/>
        <v>0</v>
      </c>
      <c r="AG385">
        <f t="shared" si="105"/>
        <v>1</v>
      </c>
      <c r="AH385">
        <f t="shared" si="106"/>
        <v>0</v>
      </c>
      <c r="AI385">
        <f t="shared" si="107"/>
        <v>1</v>
      </c>
    </row>
    <row r="386" spans="1:35" x14ac:dyDescent="0.2">
      <c r="A386">
        <v>164</v>
      </c>
      <c r="B386" t="s">
        <v>749</v>
      </c>
      <c r="C386">
        <v>9</v>
      </c>
      <c r="D386" t="s">
        <v>1225</v>
      </c>
      <c r="E386" t="s">
        <v>21</v>
      </c>
      <c r="F386" t="s">
        <v>39</v>
      </c>
      <c r="G386" t="s">
        <v>39</v>
      </c>
      <c r="H386" t="s">
        <v>21</v>
      </c>
      <c r="I386">
        <v>3</v>
      </c>
      <c r="J386">
        <v>3</v>
      </c>
      <c r="K386" t="s">
        <v>1226</v>
      </c>
      <c r="L386" t="s">
        <v>601</v>
      </c>
      <c r="M386" t="s">
        <v>23</v>
      </c>
      <c r="N386" t="s">
        <v>215</v>
      </c>
      <c r="O386" t="s">
        <v>1227</v>
      </c>
      <c r="P386" t="s">
        <v>1228</v>
      </c>
      <c r="Q386">
        <f t="shared" si="90"/>
        <v>1</v>
      </c>
      <c r="R386">
        <f t="shared" si="91"/>
        <v>5</v>
      </c>
      <c r="S386">
        <f t="shared" si="92"/>
        <v>5</v>
      </c>
      <c r="T386">
        <f t="shared" si="93"/>
        <v>1</v>
      </c>
      <c r="U386">
        <v>1000000</v>
      </c>
      <c r="V386">
        <f t="shared" si="94"/>
        <v>0</v>
      </c>
      <c r="W386">
        <f t="shared" si="95"/>
        <v>1</v>
      </c>
      <c r="X386">
        <f t="shared" si="96"/>
        <v>0</v>
      </c>
      <c r="Y386">
        <f t="shared" si="97"/>
        <v>1</v>
      </c>
      <c r="Z386">
        <f t="shared" si="98"/>
        <v>1</v>
      </c>
      <c r="AA386">
        <f t="shared" si="99"/>
        <v>1</v>
      </c>
      <c r="AB386">
        <f t="shared" si="100"/>
        <v>0</v>
      </c>
      <c r="AC386">
        <f t="shared" si="101"/>
        <v>0</v>
      </c>
      <c r="AD386">
        <f t="shared" si="102"/>
        <v>0</v>
      </c>
      <c r="AE386">
        <f t="shared" si="103"/>
        <v>0</v>
      </c>
      <c r="AF386">
        <f t="shared" si="104"/>
        <v>1</v>
      </c>
      <c r="AG386">
        <f t="shared" si="105"/>
        <v>0</v>
      </c>
      <c r="AH386">
        <f t="shared" si="106"/>
        <v>0</v>
      </c>
      <c r="AI386">
        <f t="shared" si="107"/>
        <v>0</v>
      </c>
    </row>
    <row r="387" spans="1:35" x14ac:dyDescent="0.2">
      <c r="A387">
        <v>165</v>
      </c>
      <c r="B387" t="s">
        <v>749</v>
      </c>
      <c r="C387">
        <v>5</v>
      </c>
      <c r="D387" t="s">
        <v>1229</v>
      </c>
      <c r="E387" t="s">
        <v>19</v>
      </c>
      <c r="F387" t="s">
        <v>18</v>
      </c>
      <c r="G387" t="s">
        <v>39</v>
      </c>
      <c r="H387" t="s">
        <v>20</v>
      </c>
      <c r="I387">
        <v>2</v>
      </c>
      <c r="J387">
        <v>4</v>
      </c>
      <c r="K387" t="s">
        <v>1230</v>
      </c>
      <c r="L387" t="s">
        <v>70</v>
      </c>
      <c r="M387" t="s">
        <v>135</v>
      </c>
      <c r="N387" t="s">
        <v>49</v>
      </c>
      <c r="O387" t="s">
        <v>1231</v>
      </c>
      <c r="P387" t="s">
        <v>1232</v>
      </c>
      <c r="Q387">
        <f t="shared" ref="Q387:Q450" si="108">IF(E387="", "", LEFT(E387, 1) * 1)</f>
        <v>3</v>
      </c>
      <c r="R387">
        <f t="shared" ref="R387:R450" si="109">IF(F387="","",VALUE(LEFT(F387,FIND(" ",F387)-1)))</f>
        <v>4</v>
      </c>
      <c r="S387">
        <f t="shared" ref="S387:S450" si="110">IF(G387="","",VALUE(LEFT(G387,FIND(" ",G387)-1)))</f>
        <v>5</v>
      </c>
      <c r="T387">
        <f t="shared" ref="T387:T450" si="111">IF(H387="","",VALUE(LEFT(H387,FIND(" ",H387)-1)))</f>
        <v>2</v>
      </c>
      <c r="U387">
        <v>1000000</v>
      </c>
      <c r="V387">
        <f t="shared" ref="V387:V450" si="112">IF(L387="",0,IF(ISNUMBER(SEARCH("Bathroom",L387)),1,0))</f>
        <v>0</v>
      </c>
      <c r="W387">
        <f t="shared" ref="W387:W450" si="113">IF(L387="",0,IF(ISNUMBER(SEARCH("Dining room",L387)),1,0))</f>
        <v>0</v>
      </c>
      <c r="X387">
        <f t="shared" ref="X387:X450" si="114">IF(L387="",0,IF(ISNUMBER(SEARCH("Office",L387)),1,0))</f>
        <v>0</v>
      </c>
      <c r="Y387">
        <f t="shared" ref="Y387:Y450" si="115">IF(L387="",0,IF(ISNUMBER(SEARCH("Bedroom",L387)),1,0))</f>
        <v>1</v>
      </c>
      <c r="Z387">
        <f t="shared" ref="Z387:Z450" si="116">IF(L387="",0,IF(ISNUMBER(SEARCH("Living room",L387)),1,0))</f>
        <v>0</v>
      </c>
      <c r="AA387">
        <f t="shared" ref="AA387:AA450" si="117">IF(M387="",0, IF(ISNUMBER(SEARCH("By yourself",M387)), 1, 0))</f>
        <v>1</v>
      </c>
      <c r="AB387">
        <f t="shared" ref="AB387:AB450" si="118">IF(M387="", 0, IF(ISNUMBER(SEARCH("Friends", M387)), 1, 0))</f>
        <v>1</v>
      </c>
      <c r="AC387">
        <f t="shared" ref="AC387:AC450" si="119">IF(M387="",0,IF(ISNUMBER(SEARCH("Family members", M387)), 1, 0))</f>
        <v>0</v>
      </c>
      <c r="AD387">
        <f t="shared" ref="AD387:AD450" si="120">IF(M387="", 0, IF(ISNUMBER(SEARCH("Coworkers/Classmates", M387)), 1, 0))</f>
        <v>0</v>
      </c>
      <c r="AE387">
        <f t="shared" ref="AE387:AE450" si="121">IF(M387="", 0, IF(ISNUMBER(SEARCH("Strangers", M387)), 1, 0))</f>
        <v>0</v>
      </c>
      <c r="AF387">
        <f t="shared" ref="AF387:AF450" si="122">IF(N387="", 0, IF(ISNUMBER(SEARCH("Spring", N387)), 1, 0))</f>
        <v>0</v>
      </c>
      <c r="AG387">
        <f t="shared" ref="AG387:AG450" si="123">IF(N387="", 0, IF(ISNUMBER(SEARCH("Summer", N387)), 1, 0))</f>
        <v>1</v>
      </c>
      <c r="AH387">
        <f t="shared" ref="AH387:AH450" si="124">IF(N387="", 0, IF(ISNUMBER(SEARCH("Fall", N387)), 1, 0))</f>
        <v>1</v>
      </c>
      <c r="AI387">
        <f t="shared" ref="AI387:AI450" si="125">IF(N387="", 0, IF(ISNUMBER(SEARCH("Winter", N387)), 1, 0))</f>
        <v>0</v>
      </c>
    </row>
    <row r="388" spans="1:35" ht="187" x14ac:dyDescent="0.2">
      <c r="A388">
        <v>166</v>
      </c>
      <c r="B388" t="s">
        <v>749</v>
      </c>
      <c r="C388">
        <v>5</v>
      </c>
      <c r="D388" s="3" t="s">
        <v>1233</v>
      </c>
      <c r="E388" t="s">
        <v>19</v>
      </c>
      <c r="F388" t="s">
        <v>18</v>
      </c>
      <c r="G388" t="s">
        <v>18</v>
      </c>
      <c r="H388" t="s">
        <v>21</v>
      </c>
      <c r="I388">
        <v>3</v>
      </c>
      <c r="J388">
        <v>4</v>
      </c>
      <c r="K388" t="s">
        <v>1234</v>
      </c>
      <c r="L388" t="s">
        <v>70</v>
      </c>
      <c r="M388" t="s">
        <v>42</v>
      </c>
      <c r="N388" t="s">
        <v>84</v>
      </c>
      <c r="O388" t="s">
        <v>1235</v>
      </c>
      <c r="P388" t="s">
        <v>1236</v>
      </c>
      <c r="Q388">
        <f t="shared" si="108"/>
        <v>3</v>
      </c>
      <c r="R388">
        <f t="shared" si="109"/>
        <v>4</v>
      </c>
      <c r="S388">
        <f t="shared" si="110"/>
        <v>4</v>
      </c>
      <c r="T388">
        <f t="shared" si="111"/>
        <v>1</v>
      </c>
      <c r="U388">
        <v>20</v>
      </c>
      <c r="V388">
        <f t="shared" si="112"/>
        <v>0</v>
      </c>
      <c r="W388">
        <f t="shared" si="113"/>
        <v>0</v>
      </c>
      <c r="X388">
        <f t="shared" si="114"/>
        <v>0</v>
      </c>
      <c r="Y388">
        <f t="shared" si="115"/>
        <v>1</v>
      </c>
      <c r="Z388">
        <f t="shared" si="116"/>
        <v>0</v>
      </c>
      <c r="AA388">
        <f t="shared" si="117"/>
        <v>0</v>
      </c>
      <c r="AB388">
        <f t="shared" si="118"/>
        <v>1</v>
      </c>
      <c r="AC388">
        <f t="shared" si="119"/>
        <v>0</v>
      </c>
      <c r="AD388">
        <f t="shared" si="120"/>
        <v>0</v>
      </c>
      <c r="AE388">
        <f t="shared" si="121"/>
        <v>0</v>
      </c>
      <c r="AF388">
        <f t="shared" si="122"/>
        <v>0</v>
      </c>
      <c r="AG388">
        <f t="shared" si="123"/>
        <v>1</v>
      </c>
      <c r="AH388">
        <f t="shared" si="124"/>
        <v>0</v>
      </c>
      <c r="AI388">
        <f t="shared" si="125"/>
        <v>0</v>
      </c>
    </row>
    <row r="389" spans="1:35" x14ac:dyDescent="0.2">
      <c r="A389">
        <v>167</v>
      </c>
      <c r="B389" t="s">
        <v>749</v>
      </c>
      <c r="C389">
        <v>4</v>
      </c>
      <c r="D389" t="s">
        <v>1237</v>
      </c>
      <c r="E389" t="s">
        <v>20</v>
      </c>
      <c r="F389" t="s">
        <v>18</v>
      </c>
      <c r="G389" t="s">
        <v>39</v>
      </c>
      <c r="H389" t="s">
        <v>20</v>
      </c>
      <c r="I389">
        <v>2</v>
      </c>
      <c r="J389">
        <v>4</v>
      </c>
      <c r="K389" s="1">
        <v>100</v>
      </c>
      <c r="L389" t="s">
        <v>79</v>
      </c>
      <c r="M389" t="s">
        <v>123</v>
      </c>
      <c r="N389" t="s">
        <v>847</v>
      </c>
      <c r="O389" t="s">
        <v>943</v>
      </c>
      <c r="P389" t="s">
        <v>1238</v>
      </c>
      <c r="Q389">
        <f t="shared" si="108"/>
        <v>2</v>
      </c>
      <c r="R389">
        <f t="shared" si="109"/>
        <v>4</v>
      </c>
      <c r="S389">
        <f t="shared" si="110"/>
        <v>5</v>
      </c>
      <c r="T389">
        <f t="shared" si="111"/>
        <v>2</v>
      </c>
      <c r="U389">
        <v>100</v>
      </c>
      <c r="V389">
        <f t="shared" si="112"/>
        <v>0</v>
      </c>
      <c r="W389">
        <f t="shared" si="113"/>
        <v>1</v>
      </c>
      <c r="X389">
        <f t="shared" si="114"/>
        <v>0</v>
      </c>
      <c r="Y389">
        <f t="shared" si="115"/>
        <v>0</v>
      </c>
      <c r="Z389">
        <f t="shared" si="116"/>
        <v>1</v>
      </c>
      <c r="AA389">
        <f t="shared" si="117"/>
        <v>0</v>
      </c>
      <c r="AB389">
        <f t="shared" si="118"/>
        <v>1</v>
      </c>
      <c r="AC389">
        <f t="shared" si="119"/>
        <v>1</v>
      </c>
      <c r="AD389">
        <f t="shared" si="120"/>
        <v>0</v>
      </c>
      <c r="AE389">
        <f t="shared" si="121"/>
        <v>0</v>
      </c>
      <c r="AF389">
        <f t="shared" si="122"/>
        <v>1</v>
      </c>
      <c r="AG389">
        <f t="shared" si="123"/>
        <v>0</v>
      </c>
      <c r="AH389">
        <f t="shared" si="124"/>
        <v>0</v>
      </c>
      <c r="AI389">
        <f t="shared" si="125"/>
        <v>1</v>
      </c>
    </row>
    <row r="390" spans="1:35" x14ac:dyDescent="0.2">
      <c r="A390">
        <v>168</v>
      </c>
      <c r="B390" t="s">
        <v>749</v>
      </c>
      <c r="C390">
        <v>8</v>
      </c>
      <c r="D390" t="s">
        <v>1239</v>
      </c>
      <c r="E390" t="s">
        <v>18</v>
      </c>
      <c r="F390" t="s">
        <v>19</v>
      </c>
      <c r="G390" t="s">
        <v>18</v>
      </c>
      <c r="H390" t="s">
        <v>19</v>
      </c>
      <c r="I390">
        <v>4</v>
      </c>
      <c r="J390">
        <v>4</v>
      </c>
      <c r="K390">
        <v>8000</v>
      </c>
      <c r="L390" t="s">
        <v>79</v>
      </c>
      <c r="M390" t="s">
        <v>123</v>
      </c>
      <c r="N390" t="s">
        <v>36</v>
      </c>
      <c r="O390" t="s">
        <v>1240</v>
      </c>
      <c r="P390" t="s">
        <v>1241</v>
      </c>
      <c r="Q390">
        <f t="shared" si="108"/>
        <v>4</v>
      </c>
      <c r="R390">
        <f t="shared" si="109"/>
        <v>3</v>
      </c>
      <c r="S390">
        <f t="shared" si="110"/>
        <v>4</v>
      </c>
      <c r="T390">
        <f t="shared" si="111"/>
        <v>3</v>
      </c>
      <c r="U390">
        <v>8000</v>
      </c>
      <c r="V390">
        <f t="shared" si="112"/>
        <v>0</v>
      </c>
      <c r="W390">
        <f t="shared" si="113"/>
        <v>1</v>
      </c>
      <c r="X390">
        <f t="shared" si="114"/>
        <v>0</v>
      </c>
      <c r="Y390">
        <f t="shared" si="115"/>
        <v>0</v>
      </c>
      <c r="Z390">
        <f t="shared" si="116"/>
        <v>1</v>
      </c>
      <c r="AA390">
        <f t="shared" si="117"/>
        <v>0</v>
      </c>
      <c r="AB390">
        <f t="shared" si="118"/>
        <v>1</v>
      </c>
      <c r="AC390">
        <f t="shared" si="119"/>
        <v>1</v>
      </c>
      <c r="AD390">
        <f t="shared" si="120"/>
        <v>0</v>
      </c>
      <c r="AE390">
        <f t="shared" si="121"/>
        <v>0</v>
      </c>
      <c r="AF390">
        <f t="shared" si="122"/>
        <v>0</v>
      </c>
      <c r="AG390">
        <f t="shared" si="123"/>
        <v>0</v>
      </c>
      <c r="AH390">
        <f t="shared" si="124"/>
        <v>0</v>
      </c>
      <c r="AI390">
        <f t="shared" si="125"/>
        <v>1</v>
      </c>
    </row>
    <row r="391" spans="1:35" x14ac:dyDescent="0.2">
      <c r="A391">
        <v>169</v>
      </c>
      <c r="B391" t="s">
        <v>749</v>
      </c>
      <c r="C391">
        <v>6</v>
      </c>
      <c r="D391" t="s">
        <v>1242</v>
      </c>
      <c r="E391" t="s">
        <v>19</v>
      </c>
      <c r="F391" t="s">
        <v>19</v>
      </c>
      <c r="G391" t="s">
        <v>18</v>
      </c>
      <c r="H391" t="s">
        <v>20</v>
      </c>
      <c r="I391">
        <v>4</v>
      </c>
      <c r="J391">
        <v>3</v>
      </c>
      <c r="K391" t="s">
        <v>1243</v>
      </c>
      <c r="L391" t="s">
        <v>194</v>
      </c>
      <c r="M391" t="s">
        <v>280</v>
      </c>
      <c r="N391" t="s">
        <v>622</v>
      </c>
      <c r="O391" t="s">
        <v>1244</v>
      </c>
      <c r="P391" t="s">
        <v>1245</v>
      </c>
      <c r="Q391">
        <f t="shared" si="108"/>
        <v>3</v>
      </c>
      <c r="R391">
        <f t="shared" si="109"/>
        <v>3</v>
      </c>
      <c r="S391">
        <f t="shared" si="110"/>
        <v>4</v>
      </c>
      <c r="T391">
        <f t="shared" si="111"/>
        <v>2</v>
      </c>
      <c r="U391">
        <v>300000000</v>
      </c>
      <c r="V391">
        <f t="shared" si="112"/>
        <v>0</v>
      </c>
      <c r="W391">
        <f t="shared" si="113"/>
        <v>0</v>
      </c>
      <c r="X391">
        <f t="shared" si="114"/>
        <v>0</v>
      </c>
      <c r="Y391">
        <f t="shared" si="115"/>
        <v>1</v>
      </c>
      <c r="Z391">
        <f t="shared" si="116"/>
        <v>1</v>
      </c>
      <c r="AA391">
        <f t="shared" si="117"/>
        <v>0</v>
      </c>
      <c r="AB391">
        <f t="shared" si="118"/>
        <v>1</v>
      </c>
      <c r="AC391">
        <f t="shared" si="119"/>
        <v>1</v>
      </c>
      <c r="AD391">
        <f t="shared" si="120"/>
        <v>1</v>
      </c>
      <c r="AE391">
        <f t="shared" si="121"/>
        <v>0</v>
      </c>
      <c r="AF391">
        <f t="shared" si="122"/>
        <v>0</v>
      </c>
      <c r="AG391">
        <f t="shared" si="123"/>
        <v>1</v>
      </c>
      <c r="AH391">
        <f t="shared" si="124"/>
        <v>0</v>
      </c>
      <c r="AI391">
        <f t="shared" si="125"/>
        <v>1</v>
      </c>
    </row>
    <row r="392" spans="1:35" x14ac:dyDescent="0.2">
      <c r="A392">
        <v>170</v>
      </c>
      <c r="B392" t="s">
        <v>749</v>
      </c>
      <c r="C392">
        <v>5</v>
      </c>
      <c r="D392" t="s">
        <v>1246</v>
      </c>
      <c r="E392" t="s">
        <v>20</v>
      </c>
      <c r="F392" t="s">
        <v>19</v>
      </c>
      <c r="G392" t="s">
        <v>18</v>
      </c>
      <c r="H392" t="s">
        <v>20</v>
      </c>
      <c r="I392">
        <v>5</v>
      </c>
      <c r="J392">
        <v>6</v>
      </c>
      <c r="K392">
        <v>400</v>
      </c>
      <c r="L392" t="s">
        <v>946</v>
      </c>
      <c r="M392" t="s">
        <v>587</v>
      </c>
      <c r="N392" t="s">
        <v>36</v>
      </c>
      <c r="O392" t="s">
        <v>606</v>
      </c>
      <c r="P392" t="s">
        <v>1247</v>
      </c>
      <c r="Q392">
        <f t="shared" si="108"/>
        <v>2</v>
      </c>
      <c r="R392">
        <f t="shared" si="109"/>
        <v>3</v>
      </c>
      <c r="S392">
        <f t="shared" si="110"/>
        <v>4</v>
      </c>
      <c r="T392">
        <f t="shared" si="111"/>
        <v>2</v>
      </c>
      <c r="U392">
        <v>400</v>
      </c>
      <c r="V392">
        <f t="shared" si="112"/>
        <v>0</v>
      </c>
      <c r="W392">
        <f t="shared" si="113"/>
        <v>1</v>
      </c>
      <c r="X392">
        <f t="shared" si="114"/>
        <v>1</v>
      </c>
      <c r="Y392">
        <f t="shared" si="115"/>
        <v>1</v>
      </c>
      <c r="Z392">
        <f t="shared" si="116"/>
        <v>0</v>
      </c>
      <c r="AA392">
        <f t="shared" si="117"/>
        <v>0</v>
      </c>
      <c r="AB392">
        <f t="shared" si="118"/>
        <v>1</v>
      </c>
      <c r="AC392">
        <f t="shared" si="119"/>
        <v>0</v>
      </c>
      <c r="AD392">
        <f t="shared" si="120"/>
        <v>1</v>
      </c>
      <c r="AE392">
        <f t="shared" si="121"/>
        <v>1</v>
      </c>
      <c r="AF392">
        <f t="shared" si="122"/>
        <v>0</v>
      </c>
      <c r="AG392">
        <f t="shared" si="123"/>
        <v>0</v>
      </c>
      <c r="AH392">
        <f t="shared" si="124"/>
        <v>0</v>
      </c>
      <c r="AI392">
        <f t="shared" si="125"/>
        <v>1</v>
      </c>
    </row>
    <row r="393" spans="1:35" x14ac:dyDescent="0.2">
      <c r="A393">
        <v>171</v>
      </c>
      <c r="B393" t="s">
        <v>749</v>
      </c>
      <c r="C393">
        <v>6</v>
      </c>
      <c r="D393" t="s">
        <v>1248</v>
      </c>
      <c r="E393" t="s">
        <v>18</v>
      </c>
      <c r="F393" t="s">
        <v>19</v>
      </c>
      <c r="G393" t="s">
        <v>18</v>
      </c>
      <c r="H393" t="s">
        <v>21</v>
      </c>
      <c r="I393">
        <v>2</v>
      </c>
      <c r="J393">
        <v>2</v>
      </c>
      <c r="K393">
        <v>15</v>
      </c>
      <c r="L393" t="s">
        <v>714</v>
      </c>
      <c r="M393" t="s">
        <v>123</v>
      </c>
      <c r="N393" t="s">
        <v>84</v>
      </c>
      <c r="O393" t="s">
        <v>778</v>
      </c>
      <c r="P393" t="s">
        <v>1249</v>
      </c>
      <c r="Q393">
        <f t="shared" si="108"/>
        <v>4</v>
      </c>
      <c r="R393">
        <f t="shared" si="109"/>
        <v>3</v>
      </c>
      <c r="S393">
        <f t="shared" si="110"/>
        <v>4</v>
      </c>
      <c r="T393">
        <f t="shared" si="111"/>
        <v>1</v>
      </c>
      <c r="U393">
        <v>15</v>
      </c>
      <c r="V393">
        <f t="shared" si="112"/>
        <v>0</v>
      </c>
      <c r="W393">
        <f t="shared" si="113"/>
        <v>0</v>
      </c>
      <c r="X393">
        <f t="shared" si="114"/>
        <v>1</v>
      </c>
      <c r="Y393">
        <f t="shared" si="115"/>
        <v>1</v>
      </c>
      <c r="Z393">
        <f t="shared" si="116"/>
        <v>1</v>
      </c>
      <c r="AA393">
        <f t="shared" si="117"/>
        <v>0</v>
      </c>
      <c r="AB393">
        <f t="shared" si="118"/>
        <v>1</v>
      </c>
      <c r="AC393">
        <f t="shared" si="119"/>
        <v>1</v>
      </c>
      <c r="AD393">
        <f t="shared" si="120"/>
        <v>0</v>
      </c>
      <c r="AE393">
        <f t="shared" si="121"/>
        <v>0</v>
      </c>
      <c r="AF393">
        <f t="shared" si="122"/>
        <v>0</v>
      </c>
      <c r="AG393">
        <f t="shared" si="123"/>
        <v>1</v>
      </c>
      <c r="AH393">
        <f t="shared" si="124"/>
        <v>0</v>
      </c>
      <c r="AI393">
        <f t="shared" si="125"/>
        <v>0</v>
      </c>
    </row>
    <row r="394" spans="1:35" x14ac:dyDescent="0.2">
      <c r="A394">
        <v>172</v>
      </c>
      <c r="B394" t="s">
        <v>749</v>
      </c>
      <c r="C394">
        <v>7</v>
      </c>
      <c r="D394" t="s">
        <v>1250</v>
      </c>
      <c r="E394" t="s">
        <v>20</v>
      </c>
      <c r="F394" t="s">
        <v>20</v>
      </c>
      <c r="G394" t="s">
        <v>39</v>
      </c>
      <c r="H394" t="s">
        <v>21</v>
      </c>
      <c r="I394">
        <v>3</v>
      </c>
      <c r="J394">
        <v>2</v>
      </c>
      <c r="K394">
        <v>5000</v>
      </c>
      <c r="L394" t="s">
        <v>41</v>
      </c>
      <c r="M394" t="s">
        <v>23</v>
      </c>
      <c r="N394" t="s">
        <v>84</v>
      </c>
      <c r="O394" t="s">
        <v>103</v>
      </c>
      <c r="P394" t="s">
        <v>1251</v>
      </c>
      <c r="Q394">
        <f t="shared" si="108"/>
        <v>2</v>
      </c>
      <c r="R394">
        <f t="shared" si="109"/>
        <v>2</v>
      </c>
      <c r="S394">
        <f t="shared" si="110"/>
        <v>5</v>
      </c>
      <c r="T394">
        <f t="shared" si="111"/>
        <v>1</v>
      </c>
      <c r="U394">
        <v>5000</v>
      </c>
      <c r="V394">
        <f t="shared" si="112"/>
        <v>0</v>
      </c>
      <c r="W394">
        <f t="shared" si="113"/>
        <v>0</v>
      </c>
      <c r="X394">
        <f t="shared" si="114"/>
        <v>0</v>
      </c>
      <c r="Y394">
        <f t="shared" si="115"/>
        <v>0</v>
      </c>
      <c r="Z394">
        <f t="shared" si="116"/>
        <v>1</v>
      </c>
      <c r="AA394">
        <f t="shared" si="117"/>
        <v>1</v>
      </c>
      <c r="AB394">
        <f t="shared" si="118"/>
        <v>0</v>
      </c>
      <c r="AC394">
        <f t="shared" si="119"/>
        <v>0</v>
      </c>
      <c r="AD394">
        <f t="shared" si="120"/>
        <v>0</v>
      </c>
      <c r="AE394">
        <f t="shared" si="121"/>
        <v>0</v>
      </c>
      <c r="AF394">
        <f t="shared" si="122"/>
        <v>0</v>
      </c>
      <c r="AG394">
        <f t="shared" si="123"/>
        <v>1</v>
      </c>
      <c r="AH394">
        <f t="shared" si="124"/>
        <v>0</v>
      </c>
      <c r="AI394">
        <f t="shared" si="125"/>
        <v>0</v>
      </c>
    </row>
    <row r="395" spans="1:35" x14ac:dyDescent="0.2">
      <c r="A395">
        <v>173</v>
      </c>
      <c r="B395" t="s">
        <v>749</v>
      </c>
      <c r="C395">
        <v>6</v>
      </c>
      <c r="D395" t="s">
        <v>1252</v>
      </c>
      <c r="E395" t="s">
        <v>18</v>
      </c>
      <c r="F395" t="s">
        <v>18</v>
      </c>
      <c r="G395" t="s">
        <v>18</v>
      </c>
      <c r="H395" t="s">
        <v>20</v>
      </c>
      <c r="I395">
        <v>5</v>
      </c>
      <c r="J395">
        <v>2</v>
      </c>
      <c r="K395" t="s">
        <v>1253</v>
      </c>
      <c r="L395" t="s">
        <v>70</v>
      </c>
      <c r="M395" t="s">
        <v>123</v>
      </c>
      <c r="N395" t="s">
        <v>147</v>
      </c>
      <c r="O395" t="s">
        <v>1254</v>
      </c>
      <c r="P395" t="s">
        <v>1255</v>
      </c>
      <c r="Q395">
        <f t="shared" si="108"/>
        <v>4</v>
      </c>
      <c r="R395">
        <f t="shared" si="109"/>
        <v>4</v>
      </c>
      <c r="S395">
        <f t="shared" si="110"/>
        <v>4</v>
      </c>
      <c r="T395">
        <f t="shared" si="111"/>
        <v>2</v>
      </c>
      <c r="U395">
        <v>100000</v>
      </c>
      <c r="V395">
        <f t="shared" si="112"/>
        <v>0</v>
      </c>
      <c r="W395">
        <f t="shared" si="113"/>
        <v>0</v>
      </c>
      <c r="X395">
        <f t="shared" si="114"/>
        <v>0</v>
      </c>
      <c r="Y395">
        <f t="shared" si="115"/>
        <v>1</v>
      </c>
      <c r="Z395">
        <f t="shared" si="116"/>
        <v>0</v>
      </c>
      <c r="AA395">
        <f t="shared" si="117"/>
        <v>0</v>
      </c>
      <c r="AB395">
        <f t="shared" si="118"/>
        <v>1</v>
      </c>
      <c r="AC395">
        <f t="shared" si="119"/>
        <v>1</v>
      </c>
      <c r="AD395">
        <f t="shared" si="120"/>
        <v>0</v>
      </c>
      <c r="AE395">
        <f t="shared" si="121"/>
        <v>0</v>
      </c>
      <c r="AF395">
        <f t="shared" si="122"/>
        <v>0</v>
      </c>
      <c r="AG395">
        <f t="shared" si="123"/>
        <v>0</v>
      </c>
      <c r="AH395">
        <f t="shared" si="124"/>
        <v>1</v>
      </c>
      <c r="AI395">
        <f t="shared" si="125"/>
        <v>1</v>
      </c>
    </row>
    <row r="396" spans="1:35" x14ac:dyDescent="0.2">
      <c r="A396">
        <v>174</v>
      </c>
      <c r="B396" t="s">
        <v>749</v>
      </c>
      <c r="C396">
        <v>5</v>
      </c>
      <c r="D396" t="s">
        <v>1256</v>
      </c>
      <c r="E396" t="s">
        <v>20</v>
      </c>
      <c r="F396" t="s">
        <v>19</v>
      </c>
      <c r="G396" t="s">
        <v>39</v>
      </c>
      <c r="H396" t="s">
        <v>20</v>
      </c>
      <c r="I396">
        <v>3</v>
      </c>
      <c r="J396">
        <v>2</v>
      </c>
      <c r="K396">
        <v>1000000</v>
      </c>
      <c r="L396" t="s">
        <v>714</v>
      </c>
      <c r="M396" t="s">
        <v>468</v>
      </c>
      <c r="N396" t="s">
        <v>622</v>
      </c>
      <c r="O396" t="s">
        <v>977</v>
      </c>
      <c r="P396" t="s">
        <v>1257</v>
      </c>
      <c r="Q396">
        <f t="shared" si="108"/>
        <v>2</v>
      </c>
      <c r="R396">
        <f t="shared" si="109"/>
        <v>3</v>
      </c>
      <c r="S396">
        <f t="shared" si="110"/>
        <v>5</v>
      </c>
      <c r="T396">
        <f t="shared" si="111"/>
        <v>2</v>
      </c>
      <c r="U396">
        <v>1000000</v>
      </c>
      <c r="V396">
        <f t="shared" si="112"/>
        <v>0</v>
      </c>
      <c r="W396">
        <f t="shared" si="113"/>
        <v>0</v>
      </c>
      <c r="X396">
        <f t="shared" si="114"/>
        <v>1</v>
      </c>
      <c r="Y396">
        <f t="shared" si="115"/>
        <v>1</v>
      </c>
      <c r="Z396">
        <f t="shared" si="116"/>
        <v>1</v>
      </c>
      <c r="AA396">
        <f t="shared" si="117"/>
        <v>1</v>
      </c>
      <c r="AB396">
        <f t="shared" si="118"/>
        <v>1</v>
      </c>
      <c r="AC396">
        <f t="shared" si="119"/>
        <v>1</v>
      </c>
      <c r="AD396">
        <f t="shared" si="120"/>
        <v>1</v>
      </c>
      <c r="AE396">
        <f t="shared" si="121"/>
        <v>1</v>
      </c>
      <c r="AF396">
        <f t="shared" si="122"/>
        <v>0</v>
      </c>
      <c r="AG396">
        <f t="shared" si="123"/>
        <v>1</v>
      </c>
      <c r="AH396">
        <f t="shared" si="124"/>
        <v>0</v>
      </c>
      <c r="AI396">
        <f t="shared" si="125"/>
        <v>1</v>
      </c>
    </row>
    <row r="397" spans="1:35" x14ac:dyDescent="0.2">
      <c r="A397">
        <v>175</v>
      </c>
      <c r="B397" t="s">
        <v>749</v>
      </c>
      <c r="C397">
        <v>9</v>
      </c>
      <c r="D397" t="s">
        <v>1258</v>
      </c>
      <c r="E397" t="s">
        <v>20</v>
      </c>
      <c r="F397" t="s">
        <v>18</v>
      </c>
      <c r="G397" t="s">
        <v>19</v>
      </c>
      <c r="H397" t="s">
        <v>21</v>
      </c>
      <c r="I397">
        <v>4</v>
      </c>
      <c r="J397">
        <v>3</v>
      </c>
      <c r="K397">
        <v>50</v>
      </c>
      <c r="L397" t="s">
        <v>714</v>
      </c>
      <c r="M397" t="s">
        <v>280</v>
      </c>
      <c r="N397" t="s">
        <v>651</v>
      </c>
      <c r="O397" t="s">
        <v>67</v>
      </c>
      <c r="P397" t="s">
        <v>1259</v>
      </c>
      <c r="Q397">
        <f t="shared" si="108"/>
        <v>2</v>
      </c>
      <c r="R397">
        <f t="shared" si="109"/>
        <v>4</v>
      </c>
      <c r="S397">
        <f t="shared" si="110"/>
        <v>3</v>
      </c>
      <c r="T397">
        <f t="shared" si="111"/>
        <v>1</v>
      </c>
      <c r="U397">
        <v>50</v>
      </c>
      <c r="V397">
        <f t="shared" si="112"/>
        <v>0</v>
      </c>
      <c r="W397">
        <f t="shared" si="113"/>
        <v>0</v>
      </c>
      <c r="X397">
        <f t="shared" si="114"/>
        <v>1</v>
      </c>
      <c r="Y397">
        <f t="shared" si="115"/>
        <v>1</v>
      </c>
      <c r="Z397">
        <f t="shared" si="116"/>
        <v>1</v>
      </c>
      <c r="AA397">
        <f t="shared" si="117"/>
        <v>0</v>
      </c>
      <c r="AB397">
        <f t="shared" si="118"/>
        <v>1</v>
      </c>
      <c r="AC397">
        <f t="shared" si="119"/>
        <v>1</v>
      </c>
      <c r="AD397">
        <f t="shared" si="120"/>
        <v>1</v>
      </c>
      <c r="AE397">
        <f t="shared" si="121"/>
        <v>0</v>
      </c>
      <c r="AF397">
        <f t="shared" si="122"/>
        <v>1</v>
      </c>
      <c r="AG397">
        <f t="shared" si="123"/>
        <v>0</v>
      </c>
      <c r="AH397">
        <f t="shared" si="124"/>
        <v>1</v>
      </c>
      <c r="AI397">
        <f t="shared" si="125"/>
        <v>0</v>
      </c>
    </row>
    <row r="398" spans="1:35" x14ac:dyDescent="0.2">
      <c r="A398">
        <v>176</v>
      </c>
      <c r="B398" t="s">
        <v>749</v>
      </c>
      <c r="C398">
        <v>6</v>
      </c>
      <c r="D398" t="s">
        <v>1260</v>
      </c>
      <c r="E398" t="s">
        <v>21</v>
      </c>
      <c r="F398" t="s">
        <v>18</v>
      </c>
      <c r="G398" t="s">
        <v>18</v>
      </c>
      <c r="H398" t="s">
        <v>20</v>
      </c>
      <c r="I398">
        <v>4</v>
      </c>
      <c r="J398">
        <v>3</v>
      </c>
      <c r="K398" t="s">
        <v>1261</v>
      </c>
      <c r="L398" t="s">
        <v>70</v>
      </c>
      <c r="M398" t="s">
        <v>123</v>
      </c>
      <c r="N398" t="s">
        <v>36</v>
      </c>
      <c r="O398" t="s">
        <v>1262</v>
      </c>
      <c r="P398" t="s">
        <v>1263</v>
      </c>
      <c r="Q398">
        <f t="shared" si="108"/>
        <v>1</v>
      </c>
      <c r="R398">
        <f t="shared" si="109"/>
        <v>4</v>
      </c>
      <c r="S398">
        <f t="shared" si="110"/>
        <v>4</v>
      </c>
      <c r="T398">
        <f t="shared" si="111"/>
        <v>2</v>
      </c>
      <c r="U398">
        <v>45</v>
      </c>
      <c r="V398">
        <f t="shared" si="112"/>
        <v>0</v>
      </c>
      <c r="W398">
        <f t="shared" si="113"/>
        <v>0</v>
      </c>
      <c r="X398">
        <f t="shared" si="114"/>
        <v>0</v>
      </c>
      <c r="Y398">
        <f t="shared" si="115"/>
        <v>1</v>
      </c>
      <c r="Z398">
        <f t="shared" si="116"/>
        <v>0</v>
      </c>
      <c r="AA398">
        <f t="shared" si="117"/>
        <v>0</v>
      </c>
      <c r="AB398">
        <f t="shared" si="118"/>
        <v>1</v>
      </c>
      <c r="AC398">
        <f t="shared" si="119"/>
        <v>1</v>
      </c>
      <c r="AD398">
        <f t="shared" si="120"/>
        <v>0</v>
      </c>
      <c r="AE398">
        <f t="shared" si="121"/>
        <v>0</v>
      </c>
      <c r="AF398">
        <f t="shared" si="122"/>
        <v>0</v>
      </c>
      <c r="AG398">
        <f t="shared" si="123"/>
        <v>0</v>
      </c>
      <c r="AH398">
        <f t="shared" si="124"/>
        <v>0</v>
      </c>
      <c r="AI398">
        <f t="shared" si="125"/>
        <v>1</v>
      </c>
    </row>
    <row r="399" spans="1:35" x14ac:dyDescent="0.2">
      <c r="A399">
        <v>177</v>
      </c>
      <c r="B399" t="s">
        <v>749</v>
      </c>
      <c r="C399">
        <v>2</v>
      </c>
      <c r="D399" t="s">
        <v>1264</v>
      </c>
      <c r="E399" t="s">
        <v>20</v>
      </c>
      <c r="F399" t="s">
        <v>18</v>
      </c>
      <c r="G399" t="s">
        <v>18</v>
      </c>
      <c r="H399" t="s">
        <v>20</v>
      </c>
      <c r="I399">
        <v>12</v>
      </c>
      <c r="J399">
        <v>18</v>
      </c>
      <c r="K399">
        <v>1000</v>
      </c>
      <c r="L399" t="s">
        <v>601</v>
      </c>
      <c r="M399" t="s">
        <v>48</v>
      </c>
      <c r="N399" t="s">
        <v>84</v>
      </c>
      <c r="O399" t="s">
        <v>1265</v>
      </c>
      <c r="P399" t="s">
        <v>1266</v>
      </c>
      <c r="Q399">
        <f t="shared" si="108"/>
        <v>2</v>
      </c>
      <c r="R399">
        <f t="shared" si="109"/>
        <v>4</v>
      </c>
      <c r="S399">
        <f t="shared" si="110"/>
        <v>4</v>
      </c>
      <c r="T399">
        <f t="shared" si="111"/>
        <v>2</v>
      </c>
      <c r="U399">
        <v>1000</v>
      </c>
      <c r="V399">
        <f t="shared" si="112"/>
        <v>0</v>
      </c>
      <c r="W399">
        <f t="shared" si="113"/>
        <v>1</v>
      </c>
      <c r="X399">
        <f t="shared" si="114"/>
        <v>0</v>
      </c>
      <c r="Y399">
        <f t="shared" si="115"/>
        <v>1</v>
      </c>
      <c r="Z399">
        <f t="shared" si="116"/>
        <v>1</v>
      </c>
      <c r="AA399">
        <f t="shared" si="117"/>
        <v>1</v>
      </c>
      <c r="AB399">
        <f t="shared" si="118"/>
        <v>1</v>
      </c>
      <c r="AC399">
        <f t="shared" si="119"/>
        <v>1</v>
      </c>
      <c r="AD399">
        <f t="shared" si="120"/>
        <v>0</v>
      </c>
      <c r="AE399">
        <f t="shared" si="121"/>
        <v>0</v>
      </c>
      <c r="AF399">
        <f t="shared" si="122"/>
        <v>0</v>
      </c>
      <c r="AG399">
        <f t="shared" si="123"/>
        <v>1</v>
      </c>
      <c r="AH399">
        <f t="shared" si="124"/>
        <v>0</v>
      </c>
      <c r="AI399">
        <f t="shared" si="125"/>
        <v>0</v>
      </c>
    </row>
    <row r="400" spans="1:35" x14ac:dyDescent="0.2">
      <c r="A400">
        <v>178</v>
      </c>
      <c r="B400" t="s">
        <v>749</v>
      </c>
      <c r="C400">
        <v>5</v>
      </c>
      <c r="D400" t="s">
        <v>1267</v>
      </c>
      <c r="E400" t="s">
        <v>21</v>
      </c>
      <c r="F400" t="s">
        <v>18</v>
      </c>
      <c r="G400" t="s">
        <v>19</v>
      </c>
      <c r="H400" t="s">
        <v>20</v>
      </c>
      <c r="I400">
        <v>3</v>
      </c>
      <c r="J400">
        <v>3</v>
      </c>
      <c r="K400" s="2">
        <v>100000</v>
      </c>
      <c r="L400" t="s">
        <v>601</v>
      </c>
      <c r="M400" t="s">
        <v>123</v>
      </c>
      <c r="N400" t="s">
        <v>84</v>
      </c>
      <c r="O400" t="s">
        <v>1268</v>
      </c>
      <c r="P400" t="s">
        <v>1269</v>
      </c>
      <c r="Q400">
        <f t="shared" si="108"/>
        <v>1</v>
      </c>
      <c r="R400">
        <f t="shared" si="109"/>
        <v>4</v>
      </c>
      <c r="S400">
        <f t="shared" si="110"/>
        <v>3</v>
      </c>
      <c r="T400">
        <f t="shared" si="111"/>
        <v>2</v>
      </c>
      <c r="U400">
        <v>100000</v>
      </c>
      <c r="V400">
        <f t="shared" si="112"/>
        <v>0</v>
      </c>
      <c r="W400">
        <f t="shared" si="113"/>
        <v>1</v>
      </c>
      <c r="X400">
        <f t="shared" si="114"/>
        <v>0</v>
      </c>
      <c r="Y400">
        <f t="shared" si="115"/>
        <v>1</v>
      </c>
      <c r="Z400">
        <f t="shared" si="116"/>
        <v>1</v>
      </c>
      <c r="AA400">
        <f t="shared" si="117"/>
        <v>0</v>
      </c>
      <c r="AB400">
        <f t="shared" si="118"/>
        <v>1</v>
      </c>
      <c r="AC400">
        <f t="shared" si="119"/>
        <v>1</v>
      </c>
      <c r="AD400">
        <f t="shared" si="120"/>
        <v>0</v>
      </c>
      <c r="AE400">
        <f t="shared" si="121"/>
        <v>0</v>
      </c>
      <c r="AF400">
        <f t="shared" si="122"/>
        <v>0</v>
      </c>
      <c r="AG400">
        <f t="shared" si="123"/>
        <v>1</v>
      </c>
      <c r="AH400">
        <f t="shared" si="124"/>
        <v>0</v>
      </c>
      <c r="AI400">
        <f t="shared" si="125"/>
        <v>0</v>
      </c>
    </row>
    <row r="401" spans="1:35" x14ac:dyDescent="0.2">
      <c r="A401">
        <v>179</v>
      </c>
      <c r="B401" t="s">
        <v>749</v>
      </c>
      <c r="C401">
        <v>5</v>
      </c>
      <c r="D401" t="s">
        <v>1270</v>
      </c>
      <c r="E401" t="s">
        <v>20</v>
      </c>
      <c r="F401" t="s">
        <v>18</v>
      </c>
      <c r="G401" t="s">
        <v>18</v>
      </c>
      <c r="H401" t="s">
        <v>20</v>
      </c>
      <c r="I401">
        <v>3</v>
      </c>
      <c r="J401">
        <v>4</v>
      </c>
      <c r="K401">
        <v>50</v>
      </c>
      <c r="L401" t="s">
        <v>53</v>
      </c>
      <c r="M401" t="s">
        <v>115</v>
      </c>
      <c r="N401" t="s">
        <v>36</v>
      </c>
      <c r="O401" t="s">
        <v>1049</v>
      </c>
      <c r="P401" t="s">
        <v>1271</v>
      </c>
      <c r="Q401">
        <f t="shared" si="108"/>
        <v>2</v>
      </c>
      <c r="R401">
        <f t="shared" si="109"/>
        <v>4</v>
      </c>
      <c r="S401">
        <f t="shared" si="110"/>
        <v>4</v>
      </c>
      <c r="T401">
        <f t="shared" si="111"/>
        <v>2</v>
      </c>
      <c r="U401">
        <v>50</v>
      </c>
      <c r="V401">
        <f t="shared" si="112"/>
        <v>0</v>
      </c>
      <c r="W401">
        <f t="shared" si="113"/>
        <v>0</v>
      </c>
      <c r="X401">
        <f t="shared" si="114"/>
        <v>1</v>
      </c>
      <c r="Y401">
        <f t="shared" si="115"/>
        <v>0</v>
      </c>
      <c r="Z401">
        <f t="shared" si="116"/>
        <v>0</v>
      </c>
      <c r="AA401">
        <f t="shared" si="117"/>
        <v>0</v>
      </c>
      <c r="AB401">
        <f t="shared" si="118"/>
        <v>0</v>
      </c>
      <c r="AC401">
        <f t="shared" si="119"/>
        <v>1</v>
      </c>
      <c r="AD401">
        <f t="shared" si="120"/>
        <v>0</v>
      </c>
      <c r="AE401">
        <f t="shared" si="121"/>
        <v>0</v>
      </c>
      <c r="AF401">
        <f t="shared" si="122"/>
        <v>0</v>
      </c>
      <c r="AG401">
        <f t="shared" si="123"/>
        <v>0</v>
      </c>
      <c r="AH401">
        <f t="shared" si="124"/>
        <v>0</v>
      </c>
      <c r="AI401">
        <f t="shared" si="125"/>
        <v>1</v>
      </c>
    </row>
    <row r="402" spans="1:35" x14ac:dyDescent="0.2">
      <c r="A402">
        <v>180</v>
      </c>
      <c r="B402" t="s">
        <v>749</v>
      </c>
      <c r="C402">
        <v>6</v>
      </c>
      <c r="D402" t="s">
        <v>1272</v>
      </c>
      <c r="E402" t="s">
        <v>19</v>
      </c>
      <c r="F402" t="s">
        <v>18</v>
      </c>
      <c r="G402" t="s">
        <v>39</v>
      </c>
      <c r="H402" t="s">
        <v>20</v>
      </c>
      <c r="I402">
        <v>3</v>
      </c>
      <c r="J402">
        <v>2</v>
      </c>
      <c r="K402" t="s">
        <v>1273</v>
      </c>
      <c r="L402" t="s">
        <v>443</v>
      </c>
      <c r="M402" t="s">
        <v>48</v>
      </c>
      <c r="N402" t="s">
        <v>49</v>
      </c>
      <c r="O402" t="s">
        <v>1274</v>
      </c>
      <c r="P402" t="s">
        <v>1275</v>
      </c>
      <c r="Q402">
        <f t="shared" si="108"/>
        <v>3</v>
      </c>
      <c r="R402">
        <f t="shared" si="109"/>
        <v>4</v>
      </c>
      <c r="S402">
        <f t="shared" si="110"/>
        <v>5</v>
      </c>
      <c r="T402">
        <f t="shared" si="111"/>
        <v>2</v>
      </c>
      <c r="U402">
        <v>200</v>
      </c>
      <c r="V402">
        <f t="shared" si="112"/>
        <v>1</v>
      </c>
      <c r="W402">
        <f t="shared" si="113"/>
        <v>0</v>
      </c>
      <c r="X402">
        <f t="shared" si="114"/>
        <v>0</v>
      </c>
      <c r="Y402">
        <f t="shared" si="115"/>
        <v>1</v>
      </c>
      <c r="Z402">
        <f t="shared" si="116"/>
        <v>1</v>
      </c>
      <c r="AA402">
        <f t="shared" si="117"/>
        <v>1</v>
      </c>
      <c r="AB402">
        <f t="shared" si="118"/>
        <v>1</v>
      </c>
      <c r="AC402">
        <f t="shared" si="119"/>
        <v>1</v>
      </c>
      <c r="AD402">
        <f t="shared" si="120"/>
        <v>0</v>
      </c>
      <c r="AE402">
        <f t="shared" si="121"/>
        <v>0</v>
      </c>
      <c r="AF402">
        <f t="shared" si="122"/>
        <v>0</v>
      </c>
      <c r="AG402">
        <f t="shared" si="123"/>
        <v>1</v>
      </c>
      <c r="AH402">
        <f t="shared" si="124"/>
        <v>1</v>
      </c>
      <c r="AI402">
        <f t="shared" si="125"/>
        <v>0</v>
      </c>
    </row>
    <row r="403" spans="1:35" x14ac:dyDescent="0.2">
      <c r="A403">
        <v>181</v>
      </c>
      <c r="B403" t="s">
        <v>749</v>
      </c>
      <c r="C403">
        <v>4</v>
      </c>
      <c r="D403" t="s">
        <v>1276</v>
      </c>
      <c r="E403" t="s">
        <v>20</v>
      </c>
      <c r="F403" t="s">
        <v>18</v>
      </c>
      <c r="G403" t="s">
        <v>18</v>
      </c>
      <c r="H403" t="s">
        <v>21</v>
      </c>
      <c r="I403">
        <v>3</v>
      </c>
      <c r="J403">
        <v>2</v>
      </c>
      <c r="K403" t="s">
        <v>1277</v>
      </c>
      <c r="L403" t="s">
        <v>230</v>
      </c>
      <c r="M403" t="s">
        <v>135</v>
      </c>
      <c r="N403" t="s">
        <v>147</v>
      </c>
      <c r="O403" t="s">
        <v>1278</v>
      </c>
      <c r="P403" t="s">
        <v>1279</v>
      </c>
      <c r="Q403">
        <f t="shared" si="108"/>
        <v>2</v>
      </c>
      <c r="R403">
        <f t="shared" si="109"/>
        <v>4</v>
      </c>
      <c r="S403">
        <f t="shared" si="110"/>
        <v>4</v>
      </c>
      <c r="T403">
        <f t="shared" si="111"/>
        <v>1</v>
      </c>
      <c r="U403">
        <v>50</v>
      </c>
      <c r="V403">
        <f t="shared" si="112"/>
        <v>1</v>
      </c>
      <c r="W403">
        <f t="shared" si="113"/>
        <v>1</v>
      </c>
      <c r="X403">
        <f t="shared" si="114"/>
        <v>1</v>
      </c>
      <c r="Y403">
        <f t="shared" si="115"/>
        <v>1</v>
      </c>
      <c r="Z403">
        <f t="shared" si="116"/>
        <v>1</v>
      </c>
      <c r="AA403">
        <f t="shared" si="117"/>
        <v>1</v>
      </c>
      <c r="AB403">
        <f t="shared" si="118"/>
        <v>1</v>
      </c>
      <c r="AC403">
        <f t="shared" si="119"/>
        <v>0</v>
      </c>
      <c r="AD403">
        <f t="shared" si="120"/>
        <v>0</v>
      </c>
      <c r="AE403">
        <f t="shared" si="121"/>
        <v>0</v>
      </c>
      <c r="AF403">
        <f t="shared" si="122"/>
        <v>0</v>
      </c>
      <c r="AG403">
        <f t="shared" si="123"/>
        <v>0</v>
      </c>
      <c r="AH403">
        <f t="shared" si="124"/>
        <v>1</v>
      </c>
      <c r="AI403">
        <f t="shared" si="125"/>
        <v>1</v>
      </c>
    </row>
    <row r="404" spans="1:35" x14ac:dyDescent="0.2">
      <c r="A404">
        <v>182</v>
      </c>
      <c r="B404" t="s">
        <v>749</v>
      </c>
      <c r="C404">
        <v>2</v>
      </c>
      <c r="D404" t="s">
        <v>1280</v>
      </c>
      <c r="E404" t="s">
        <v>21</v>
      </c>
      <c r="F404" t="s">
        <v>19</v>
      </c>
      <c r="G404" t="s">
        <v>18</v>
      </c>
      <c r="H404" t="s">
        <v>21</v>
      </c>
      <c r="I404">
        <v>3</v>
      </c>
      <c r="J404">
        <v>3</v>
      </c>
      <c r="K404" t="s">
        <v>1273</v>
      </c>
      <c r="L404" t="s">
        <v>47</v>
      </c>
      <c r="M404" t="s">
        <v>123</v>
      </c>
      <c r="N404" t="s">
        <v>84</v>
      </c>
      <c r="O404" t="s">
        <v>1281</v>
      </c>
      <c r="P404" t="s">
        <v>1282</v>
      </c>
      <c r="Q404">
        <f t="shared" si="108"/>
        <v>1</v>
      </c>
      <c r="R404">
        <f t="shared" si="109"/>
        <v>3</v>
      </c>
      <c r="S404">
        <f t="shared" si="110"/>
        <v>4</v>
      </c>
      <c r="T404">
        <f t="shared" si="111"/>
        <v>1</v>
      </c>
      <c r="U404">
        <v>200</v>
      </c>
      <c r="V404">
        <f t="shared" si="112"/>
        <v>0</v>
      </c>
      <c r="W404">
        <f t="shared" si="113"/>
        <v>0</v>
      </c>
      <c r="X404">
        <f t="shared" si="114"/>
        <v>1</v>
      </c>
      <c r="Y404">
        <f t="shared" si="115"/>
        <v>0</v>
      </c>
      <c r="Z404">
        <f t="shared" si="116"/>
        <v>1</v>
      </c>
      <c r="AA404">
        <f t="shared" si="117"/>
        <v>0</v>
      </c>
      <c r="AB404">
        <f t="shared" si="118"/>
        <v>1</v>
      </c>
      <c r="AC404">
        <f t="shared" si="119"/>
        <v>1</v>
      </c>
      <c r="AD404">
        <f t="shared" si="120"/>
        <v>0</v>
      </c>
      <c r="AE404">
        <f t="shared" si="121"/>
        <v>0</v>
      </c>
      <c r="AF404">
        <f t="shared" si="122"/>
        <v>0</v>
      </c>
      <c r="AG404">
        <f t="shared" si="123"/>
        <v>1</v>
      </c>
      <c r="AH404">
        <f t="shared" si="124"/>
        <v>0</v>
      </c>
      <c r="AI404">
        <f t="shared" si="125"/>
        <v>0</v>
      </c>
    </row>
    <row r="405" spans="1:35" x14ac:dyDescent="0.2">
      <c r="A405">
        <v>183</v>
      </c>
      <c r="B405" t="s">
        <v>749</v>
      </c>
      <c r="C405">
        <v>6</v>
      </c>
      <c r="D405" t="s">
        <v>1283</v>
      </c>
      <c r="E405" t="s">
        <v>20</v>
      </c>
      <c r="F405" t="s">
        <v>18</v>
      </c>
      <c r="G405" t="s">
        <v>39</v>
      </c>
      <c r="H405" t="s">
        <v>21</v>
      </c>
      <c r="I405">
        <v>2</v>
      </c>
      <c r="J405">
        <v>1</v>
      </c>
      <c r="K405">
        <v>500</v>
      </c>
      <c r="L405" t="s">
        <v>70</v>
      </c>
      <c r="M405" t="s">
        <v>123</v>
      </c>
      <c r="N405" t="s">
        <v>84</v>
      </c>
      <c r="O405" t="s">
        <v>1284</v>
      </c>
      <c r="P405" t="s">
        <v>1285</v>
      </c>
      <c r="Q405">
        <f t="shared" si="108"/>
        <v>2</v>
      </c>
      <c r="R405">
        <f t="shared" si="109"/>
        <v>4</v>
      </c>
      <c r="S405">
        <f t="shared" si="110"/>
        <v>5</v>
      </c>
      <c r="T405">
        <f t="shared" si="111"/>
        <v>1</v>
      </c>
      <c r="U405">
        <v>500</v>
      </c>
      <c r="V405">
        <f t="shared" si="112"/>
        <v>0</v>
      </c>
      <c r="W405">
        <f t="shared" si="113"/>
        <v>0</v>
      </c>
      <c r="X405">
        <f t="shared" si="114"/>
        <v>0</v>
      </c>
      <c r="Y405">
        <f t="shared" si="115"/>
        <v>1</v>
      </c>
      <c r="Z405">
        <f t="shared" si="116"/>
        <v>0</v>
      </c>
      <c r="AA405">
        <f t="shared" si="117"/>
        <v>0</v>
      </c>
      <c r="AB405">
        <f t="shared" si="118"/>
        <v>1</v>
      </c>
      <c r="AC405">
        <f t="shared" si="119"/>
        <v>1</v>
      </c>
      <c r="AD405">
        <f t="shared" si="120"/>
        <v>0</v>
      </c>
      <c r="AE405">
        <f t="shared" si="121"/>
        <v>0</v>
      </c>
      <c r="AF405">
        <f t="shared" si="122"/>
        <v>0</v>
      </c>
      <c r="AG405">
        <f t="shared" si="123"/>
        <v>1</v>
      </c>
      <c r="AH405">
        <f t="shared" si="124"/>
        <v>0</v>
      </c>
      <c r="AI405">
        <f t="shared" si="125"/>
        <v>0</v>
      </c>
    </row>
    <row r="406" spans="1:35" x14ac:dyDescent="0.2">
      <c r="A406">
        <v>184</v>
      </c>
      <c r="B406" t="s">
        <v>749</v>
      </c>
      <c r="C406">
        <v>7</v>
      </c>
      <c r="D406" t="s">
        <v>1286</v>
      </c>
      <c r="E406" t="s">
        <v>18</v>
      </c>
      <c r="F406" t="s">
        <v>18</v>
      </c>
      <c r="G406" t="s">
        <v>18</v>
      </c>
      <c r="H406" t="s">
        <v>20</v>
      </c>
      <c r="I406">
        <v>3</v>
      </c>
      <c r="J406">
        <v>3</v>
      </c>
      <c r="K406" t="s">
        <v>1287</v>
      </c>
      <c r="L406" t="s">
        <v>34</v>
      </c>
      <c r="M406" t="s">
        <v>115</v>
      </c>
      <c r="N406" t="s">
        <v>84</v>
      </c>
      <c r="O406" t="s">
        <v>1288</v>
      </c>
      <c r="P406" t="s">
        <v>1289</v>
      </c>
      <c r="Q406">
        <f t="shared" si="108"/>
        <v>4</v>
      </c>
      <c r="R406">
        <f t="shared" si="109"/>
        <v>4</v>
      </c>
      <c r="S406">
        <f t="shared" si="110"/>
        <v>4</v>
      </c>
      <c r="T406">
        <f t="shared" si="111"/>
        <v>2</v>
      </c>
      <c r="U406">
        <v>10000000000</v>
      </c>
      <c r="V406">
        <f t="shared" si="112"/>
        <v>1</v>
      </c>
      <c r="W406">
        <f t="shared" si="113"/>
        <v>0</v>
      </c>
      <c r="X406">
        <f t="shared" si="114"/>
        <v>0</v>
      </c>
      <c r="Y406">
        <f t="shared" si="115"/>
        <v>1</v>
      </c>
      <c r="Z406">
        <f t="shared" si="116"/>
        <v>0</v>
      </c>
      <c r="AA406">
        <f t="shared" si="117"/>
        <v>0</v>
      </c>
      <c r="AB406">
        <f t="shared" si="118"/>
        <v>0</v>
      </c>
      <c r="AC406">
        <f t="shared" si="119"/>
        <v>1</v>
      </c>
      <c r="AD406">
        <f t="shared" si="120"/>
        <v>0</v>
      </c>
      <c r="AE406">
        <f t="shared" si="121"/>
        <v>0</v>
      </c>
      <c r="AF406">
        <f t="shared" si="122"/>
        <v>0</v>
      </c>
      <c r="AG406">
        <f t="shared" si="123"/>
        <v>1</v>
      </c>
      <c r="AH406">
        <f t="shared" si="124"/>
        <v>0</v>
      </c>
      <c r="AI406">
        <f t="shared" si="125"/>
        <v>0</v>
      </c>
    </row>
    <row r="407" spans="1:35" x14ac:dyDescent="0.2">
      <c r="A407">
        <v>185</v>
      </c>
      <c r="B407" t="s">
        <v>749</v>
      </c>
      <c r="C407">
        <v>3</v>
      </c>
      <c r="D407" t="s">
        <v>1290</v>
      </c>
      <c r="E407" t="s">
        <v>19</v>
      </c>
      <c r="F407" t="s">
        <v>18</v>
      </c>
      <c r="G407" t="s">
        <v>39</v>
      </c>
      <c r="H407" t="s">
        <v>21</v>
      </c>
      <c r="I407">
        <v>3</v>
      </c>
      <c r="J407">
        <v>2</v>
      </c>
      <c r="K407">
        <v>10000</v>
      </c>
      <c r="L407" t="s">
        <v>22</v>
      </c>
      <c r="M407" t="s">
        <v>123</v>
      </c>
      <c r="N407" t="s">
        <v>49</v>
      </c>
      <c r="O407" t="s">
        <v>1291</v>
      </c>
      <c r="P407" t="s">
        <v>1292</v>
      </c>
      <c r="Q407">
        <f t="shared" si="108"/>
        <v>3</v>
      </c>
      <c r="R407">
        <f t="shared" si="109"/>
        <v>4</v>
      </c>
      <c r="S407">
        <f t="shared" si="110"/>
        <v>5</v>
      </c>
      <c r="T407">
        <f t="shared" si="111"/>
        <v>1</v>
      </c>
      <c r="U407">
        <v>10000</v>
      </c>
      <c r="V407">
        <f t="shared" si="112"/>
        <v>1</v>
      </c>
      <c r="W407">
        <f t="shared" si="113"/>
        <v>0</v>
      </c>
      <c r="X407">
        <f t="shared" si="114"/>
        <v>0</v>
      </c>
      <c r="Y407">
        <f t="shared" si="115"/>
        <v>0</v>
      </c>
      <c r="Z407">
        <f t="shared" si="116"/>
        <v>0</v>
      </c>
      <c r="AA407">
        <f t="shared" si="117"/>
        <v>0</v>
      </c>
      <c r="AB407">
        <f t="shared" si="118"/>
        <v>1</v>
      </c>
      <c r="AC407">
        <f t="shared" si="119"/>
        <v>1</v>
      </c>
      <c r="AD407">
        <f t="shared" si="120"/>
        <v>0</v>
      </c>
      <c r="AE407">
        <f t="shared" si="121"/>
        <v>0</v>
      </c>
      <c r="AF407">
        <f t="shared" si="122"/>
        <v>0</v>
      </c>
      <c r="AG407">
        <f t="shared" si="123"/>
        <v>1</v>
      </c>
      <c r="AH407">
        <f t="shared" si="124"/>
        <v>1</v>
      </c>
      <c r="AI407">
        <f t="shared" si="125"/>
        <v>0</v>
      </c>
    </row>
    <row r="408" spans="1:35" x14ac:dyDescent="0.2">
      <c r="A408">
        <v>186</v>
      </c>
      <c r="B408" t="s">
        <v>749</v>
      </c>
      <c r="C408">
        <v>7</v>
      </c>
      <c r="D408" t="s">
        <v>1293</v>
      </c>
      <c r="E408" t="s">
        <v>20</v>
      </c>
      <c r="F408" t="s">
        <v>18</v>
      </c>
      <c r="G408" t="s">
        <v>39</v>
      </c>
      <c r="H408" t="s">
        <v>21</v>
      </c>
      <c r="I408">
        <v>2</v>
      </c>
      <c r="J408">
        <v>2</v>
      </c>
      <c r="K408">
        <v>100</v>
      </c>
      <c r="L408" t="s">
        <v>494</v>
      </c>
      <c r="M408" t="s">
        <v>123</v>
      </c>
      <c r="N408" t="s">
        <v>651</v>
      </c>
      <c r="O408" t="s">
        <v>1294</v>
      </c>
      <c r="P408" t="s">
        <v>1295</v>
      </c>
      <c r="Q408">
        <f t="shared" si="108"/>
        <v>2</v>
      </c>
      <c r="R408">
        <f t="shared" si="109"/>
        <v>4</v>
      </c>
      <c r="S408">
        <f t="shared" si="110"/>
        <v>5</v>
      </c>
      <c r="T408">
        <f t="shared" si="111"/>
        <v>1</v>
      </c>
      <c r="U408">
        <v>100</v>
      </c>
      <c r="V408">
        <f t="shared" si="112"/>
        <v>0</v>
      </c>
      <c r="W408">
        <f t="shared" si="113"/>
        <v>1</v>
      </c>
      <c r="X408">
        <f t="shared" si="114"/>
        <v>1</v>
      </c>
      <c r="Y408">
        <f t="shared" si="115"/>
        <v>1</v>
      </c>
      <c r="Z408">
        <f t="shared" si="116"/>
        <v>1</v>
      </c>
      <c r="AA408">
        <f t="shared" si="117"/>
        <v>0</v>
      </c>
      <c r="AB408">
        <f t="shared" si="118"/>
        <v>1</v>
      </c>
      <c r="AC408">
        <f t="shared" si="119"/>
        <v>1</v>
      </c>
      <c r="AD408">
        <f t="shared" si="120"/>
        <v>0</v>
      </c>
      <c r="AE408">
        <f t="shared" si="121"/>
        <v>0</v>
      </c>
      <c r="AF408">
        <f t="shared" si="122"/>
        <v>1</v>
      </c>
      <c r="AG408">
        <f t="shared" si="123"/>
        <v>0</v>
      </c>
      <c r="AH408">
        <f t="shared" si="124"/>
        <v>1</v>
      </c>
      <c r="AI408">
        <f t="shared" si="125"/>
        <v>0</v>
      </c>
    </row>
    <row r="409" spans="1:35" x14ac:dyDescent="0.2">
      <c r="A409">
        <v>187</v>
      </c>
      <c r="B409" t="s">
        <v>749</v>
      </c>
      <c r="C409">
        <v>8</v>
      </c>
      <c r="D409" t="s">
        <v>1296</v>
      </c>
      <c r="E409" t="s">
        <v>18</v>
      </c>
      <c r="F409" t="s">
        <v>20</v>
      </c>
      <c r="G409" t="s">
        <v>20</v>
      </c>
      <c r="H409" t="s">
        <v>18</v>
      </c>
      <c r="I409">
        <v>3</v>
      </c>
      <c r="J409">
        <v>3</v>
      </c>
      <c r="K409" t="s">
        <v>1297</v>
      </c>
      <c r="L409" t="s">
        <v>714</v>
      </c>
      <c r="M409" t="s">
        <v>291</v>
      </c>
      <c r="N409" t="s">
        <v>36</v>
      </c>
      <c r="O409" t="s">
        <v>1298</v>
      </c>
      <c r="P409" t="s">
        <v>1299</v>
      </c>
      <c r="Q409">
        <f t="shared" si="108"/>
        <v>4</v>
      </c>
      <c r="R409">
        <f t="shared" si="109"/>
        <v>2</v>
      </c>
      <c r="S409">
        <f t="shared" si="110"/>
        <v>2</v>
      </c>
      <c r="T409">
        <f t="shared" si="111"/>
        <v>4</v>
      </c>
      <c r="U409">
        <v>50</v>
      </c>
      <c r="V409">
        <f t="shared" si="112"/>
        <v>0</v>
      </c>
      <c r="W409">
        <f t="shared" si="113"/>
        <v>0</v>
      </c>
      <c r="X409">
        <f t="shared" si="114"/>
        <v>1</v>
      </c>
      <c r="Y409">
        <f t="shared" si="115"/>
        <v>1</v>
      </c>
      <c r="Z409">
        <f t="shared" si="116"/>
        <v>1</v>
      </c>
      <c r="AA409">
        <f t="shared" si="117"/>
        <v>0</v>
      </c>
      <c r="AB409">
        <f t="shared" si="118"/>
        <v>1</v>
      </c>
      <c r="AC409">
        <f t="shared" si="119"/>
        <v>0</v>
      </c>
      <c r="AD409">
        <f t="shared" si="120"/>
        <v>1</v>
      </c>
      <c r="AE409">
        <f t="shared" si="121"/>
        <v>0</v>
      </c>
      <c r="AF409">
        <f t="shared" si="122"/>
        <v>0</v>
      </c>
      <c r="AG409">
        <f t="shared" si="123"/>
        <v>0</v>
      </c>
      <c r="AH409">
        <f t="shared" si="124"/>
        <v>0</v>
      </c>
      <c r="AI409">
        <f t="shared" si="125"/>
        <v>1</v>
      </c>
    </row>
    <row r="410" spans="1:35" x14ac:dyDescent="0.2">
      <c r="A410">
        <v>188</v>
      </c>
      <c r="B410" t="s">
        <v>749</v>
      </c>
      <c r="C410">
        <v>9</v>
      </c>
      <c r="D410" t="s">
        <v>1300</v>
      </c>
      <c r="E410" t="s">
        <v>20</v>
      </c>
      <c r="F410" t="s">
        <v>39</v>
      </c>
      <c r="G410" t="s">
        <v>39</v>
      </c>
      <c r="H410" t="s">
        <v>21</v>
      </c>
      <c r="I410">
        <v>3</v>
      </c>
      <c r="J410">
        <v>2</v>
      </c>
      <c r="K410">
        <v>1000</v>
      </c>
      <c r="L410" t="s">
        <v>70</v>
      </c>
      <c r="M410" t="s">
        <v>154</v>
      </c>
      <c r="N410" t="s">
        <v>147</v>
      </c>
      <c r="O410" t="s">
        <v>1301</v>
      </c>
      <c r="P410" t="s">
        <v>1302</v>
      </c>
      <c r="Q410">
        <f t="shared" si="108"/>
        <v>2</v>
      </c>
      <c r="R410">
        <f t="shared" si="109"/>
        <v>5</v>
      </c>
      <c r="S410">
        <f t="shared" si="110"/>
        <v>5</v>
      </c>
      <c r="T410">
        <f t="shared" si="111"/>
        <v>1</v>
      </c>
      <c r="U410">
        <v>1000</v>
      </c>
      <c r="V410">
        <f t="shared" si="112"/>
        <v>0</v>
      </c>
      <c r="W410">
        <f t="shared" si="113"/>
        <v>0</v>
      </c>
      <c r="X410">
        <f t="shared" si="114"/>
        <v>0</v>
      </c>
      <c r="Y410">
        <f t="shared" si="115"/>
        <v>1</v>
      </c>
      <c r="Z410">
        <f t="shared" si="116"/>
        <v>0</v>
      </c>
      <c r="AA410">
        <f t="shared" si="117"/>
        <v>1</v>
      </c>
      <c r="AB410">
        <f t="shared" si="118"/>
        <v>0</v>
      </c>
      <c r="AC410">
        <f t="shared" si="119"/>
        <v>1</v>
      </c>
      <c r="AD410">
        <f t="shared" si="120"/>
        <v>0</v>
      </c>
      <c r="AE410">
        <f t="shared" si="121"/>
        <v>0</v>
      </c>
      <c r="AF410">
        <f t="shared" si="122"/>
        <v>0</v>
      </c>
      <c r="AG410">
        <f t="shared" si="123"/>
        <v>0</v>
      </c>
      <c r="AH410">
        <f t="shared" si="124"/>
        <v>1</v>
      </c>
      <c r="AI410">
        <f t="shared" si="125"/>
        <v>1</v>
      </c>
    </row>
    <row r="411" spans="1:35" x14ac:dyDescent="0.2">
      <c r="A411">
        <v>189</v>
      </c>
      <c r="B411" t="s">
        <v>749</v>
      </c>
      <c r="C411">
        <v>5</v>
      </c>
      <c r="D411" t="s">
        <v>1303</v>
      </c>
      <c r="E411" t="s">
        <v>19</v>
      </c>
      <c r="F411" t="s">
        <v>19</v>
      </c>
      <c r="G411" t="s">
        <v>18</v>
      </c>
      <c r="H411" t="s">
        <v>20</v>
      </c>
      <c r="I411">
        <v>5</v>
      </c>
      <c r="J411">
        <v>3</v>
      </c>
      <c r="K411" t="s">
        <v>1304</v>
      </c>
      <c r="L411" t="s">
        <v>494</v>
      </c>
      <c r="M411" t="s">
        <v>161</v>
      </c>
      <c r="N411" t="s">
        <v>147</v>
      </c>
      <c r="O411" t="s">
        <v>1305</v>
      </c>
      <c r="P411" t="s">
        <v>1306</v>
      </c>
      <c r="Q411">
        <f t="shared" si="108"/>
        <v>3</v>
      </c>
      <c r="R411">
        <f t="shared" si="109"/>
        <v>3</v>
      </c>
      <c r="S411">
        <f t="shared" si="110"/>
        <v>4</v>
      </c>
      <c r="T411">
        <f t="shared" si="111"/>
        <v>2</v>
      </c>
      <c r="U411">
        <v>40</v>
      </c>
      <c r="V411">
        <f t="shared" si="112"/>
        <v>0</v>
      </c>
      <c r="W411">
        <f t="shared" si="113"/>
        <v>1</v>
      </c>
      <c r="X411">
        <f t="shared" si="114"/>
        <v>1</v>
      </c>
      <c r="Y411">
        <f t="shared" si="115"/>
        <v>1</v>
      </c>
      <c r="Z411">
        <f t="shared" si="116"/>
        <v>1</v>
      </c>
      <c r="AA411">
        <f t="shared" si="117"/>
        <v>1</v>
      </c>
      <c r="AB411">
        <f t="shared" si="118"/>
        <v>1</v>
      </c>
      <c r="AC411">
        <f t="shared" si="119"/>
        <v>1</v>
      </c>
      <c r="AD411">
        <f t="shared" si="120"/>
        <v>1</v>
      </c>
      <c r="AE411">
        <f t="shared" si="121"/>
        <v>0</v>
      </c>
      <c r="AF411">
        <f t="shared" si="122"/>
        <v>0</v>
      </c>
      <c r="AG411">
        <f t="shared" si="123"/>
        <v>0</v>
      </c>
      <c r="AH411">
        <f t="shared" si="124"/>
        <v>1</v>
      </c>
      <c r="AI411">
        <f t="shared" si="125"/>
        <v>1</v>
      </c>
    </row>
    <row r="412" spans="1:35" x14ac:dyDescent="0.2">
      <c r="A412">
        <v>190</v>
      </c>
      <c r="B412" t="s">
        <v>749</v>
      </c>
      <c r="C412">
        <v>4</v>
      </c>
      <c r="D412" t="s">
        <v>1307</v>
      </c>
      <c r="E412" t="s">
        <v>39</v>
      </c>
      <c r="F412" t="s">
        <v>19</v>
      </c>
      <c r="G412" t="s">
        <v>39</v>
      </c>
      <c r="H412" t="s">
        <v>21</v>
      </c>
      <c r="I412">
        <v>2</v>
      </c>
      <c r="J412">
        <v>2</v>
      </c>
      <c r="K412" s="1">
        <v>700000</v>
      </c>
      <c r="L412" t="s">
        <v>41</v>
      </c>
      <c r="M412" t="s">
        <v>179</v>
      </c>
      <c r="N412" t="s">
        <v>24</v>
      </c>
      <c r="O412" t="s">
        <v>1308</v>
      </c>
      <c r="P412" t="s">
        <v>1309</v>
      </c>
      <c r="Q412">
        <f t="shared" si="108"/>
        <v>5</v>
      </c>
      <c r="R412">
        <f t="shared" si="109"/>
        <v>3</v>
      </c>
      <c r="S412">
        <f t="shared" si="110"/>
        <v>5</v>
      </c>
      <c r="T412">
        <f t="shared" si="111"/>
        <v>1</v>
      </c>
      <c r="U412">
        <v>700000</v>
      </c>
      <c r="V412">
        <f t="shared" si="112"/>
        <v>0</v>
      </c>
      <c r="W412">
        <f t="shared" si="113"/>
        <v>0</v>
      </c>
      <c r="X412">
        <f t="shared" si="114"/>
        <v>0</v>
      </c>
      <c r="Y412">
        <f t="shared" si="115"/>
        <v>0</v>
      </c>
      <c r="Z412">
        <f t="shared" si="116"/>
        <v>1</v>
      </c>
      <c r="AA412">
        <f t="shared" si="117"/>
        <v>0</v>
      </c>
      <c r="AB412">
        <f t="shared" si="118"/>
        <v>0</v>
      </c>
      <c r="AC412">
        <f t="shared" si="119"/>
        <v>0</v>
      </c>
      <c r="AD412">
        <f t="shared" si="120"/>
        <v>1</v>
      </c>
      <c r="AE412">
        <f t="shared" si="121"/>
        <v>1</v>
      </c>
      <c r="AF412">
        <f t="shared" si="122"/>
        <v>0</v>
      </c>
      <c r="AG412">
        <f t="shared" si="123"/>
        <v>0</v>
      </c>
      <c r="AH412">
        <f t="shared" si="124"/>
        <v>1</v>
      </c>
      <c r="AI412">
        <f t="shared" si="125"/>
        <v>0</v>
      </c>
    </row>
    <row r="413" spans="1:35" x14ac:dyDescent="0.2">
      <c r="A413">
        <v>191</v>
      </c>
      <c r="B413" t="s">
        <v>749</v>
      </c>
      <c r="C413">
        <v>4</v>
      </c>
      <c r="D413" t="s">
        <v>1310</v>
      </c>
      <c r="E413" t="s">
        <v>20</v>
      </c>
      <c r="F413" t="s">
        <v>18</v>
      </c>
      <c r="G413" t="s">
        <v>39</v>
      </c>
      <c r="H413" t="s">
        <v>21</v>
      </c>
      <c r="I413">
        <v>5</v>
      </c>
      <c r="J413">
        <v>3</v>
      </c>
      <c r="K413" t="s">
        <v>1311</v>
      </c>
      <c r="L413" t="s">
        <v>34</v>
      </c>
      <c r="M413" t="s">
        <v>161</v>
      </c>
      <c r="N413" t="s">
        <v>822</v>
      </c>
      <c r="O413" t="s">
        <v>1312</v>
      </c>
      <c r="P413" t="s">
        <v>1313</v>
      </c>
      <c r="Q413">
        <f t="shared" si="108"/>
        <v>2</v>
      </c>
      <c r="R413">
        <f t="shared" si="109"/>
        <v>4</v>
      </c>
      <c r="S413">
        <f t="shared" si="110"/>
        <v>5</v>
      </c>
      <c r="T413">
        <f t="shared" si="111"/>
        <v>1</v>
      </c>
      <c r="U413">
        <v>100</v>
      </c>
      <c r="V413">
        <f t="shared" si="112"/>
        <v>1</v>
      </c>
      <c r="W413">
        <f t="shared" si="113"/>
        <v>0</v>
      </c>
      <c r="X413">
        <f t="shared" si="114"/>
        <v>0</v>
      </c>
      <c r="Y413">
        <f t="shared" si="115"/>
        <v>1</v>
      </c>
      <c r="Z413">
        <f t="shared" si="116"/>
        <v>0</v>
      </c>
      <c r="AA413">
        <f t="shared" si="117"/>
        <v>1</v>
      </c>
      <c r="AB413">
        <f t="shared" si="118"/>
        <v>1</v>
      </c>
      <c r="AC413">
        <f t="shared" si="119"/>
        <v>1</v>
      </c>
      <c r="AD413">
        <f t="shared" si="120"/>
        <v>1</v>
      </c>
      <c r="AE413">
        <f t="shared" si="121"/>
        <v>0</v>
      </c>
      <c r="AF413">
        <f t="shared" si="122"/>
        <v>1</v>
      </c>
      <c r="AG413">
        <f t="shared" si="123"/>
        <v>1</v>
      </c>
      <c r="AH413">
        <f t="shared" si="124"/>
        <v>1</v>
      </c>
      <c r="AI413">
        <f t="shared" si="125"/>
        <v>0</v>
      </c>
    </row>
    <row r="414" spans="1:35" x14ac:dyDescent="0.2">
      <c r="A414">
        <v>192</v>
      </c>
      <c r="B414" t="s">
        <v>749</v>
      </c>
      <c r="C414">
        <v>6</v>
      </c>
      <c r="D414" t="s">
        <v>1314</v>
      </c>
      <c r="E414" t="s">
        <v>20</v>
      </c>
      <c r="F414" t="s">
        <v>39</v>
      </c>
      <c r="G414" t="s">
        <v>39</v>
      </c>
      <c r="H414" t="s">
        <v>21</v>
      </c>
      <c r="I414">
        <v>5</v>
      </c>
      <c r="J414">
        <v>4</v>
      </c>
      <c r="K414" s="1">
        <v>60</v>
      </c>
      <c r="L414" t="s">
        <v>494</v>
      </c>
      <c r="M414" t="s">
        <v>468</v>
      </c>
      <c r="N414" t="s">
        <v>36</v>
      </c>
      <c r="O414" t="s">
        <v>1315</v>
      </c>
      <c r="P414" t="s">
        <v>1316</v>
      </c>
      <c r="Q414">
        <f t="shared" si="108"/>
        <v>2</v>
      </c>
      <c r="R414">
        <f t="shared" si="109"/>
        <v>5</v>
      </c>
      <c r="S414">
        <f t="shared" si="110"/>
        <v>5</v>
      </c>
      <c r="T414">
        <f t="shared" si="111"/>
        <v>1</v>
      </c>
      <c r="U414">
        <v>60</v>
      </c>
      <c r="V414">
        <f t="shared" si="112"/>
        <v>0</v>
      </c>
      <c r="W414">
        <f t="shared" si="113"/>
        <v>1</v>
      </c>
      <c r="X414">
        <f t="shared" si="114"/>
        <v>1</v>
      </c>
      <c r="Y414">
        <f t="shared" si="115"/>
        <v>1</v>
      </c>
      <c r="Z414">
        <f t="shared" si="116"/>
        <v>1</v>
      </c>
      <c r="AA414">
        <f t="shared" si="117"/>
        <v>1</v>
      </c>
      <c r="AB414">
        <f t="shared" si="118"/>
        <v>1</v>
      </c>
      <c r="AC414">
        <f t="shared" si="119"/>
        <v>1</v>
      </c>
      <c r="AD414">
        <f t="shared" si="120"/>
        <v>1</v>
      </c>
      <c r="AE414">
        <f t="shared" si="121"/>
        <v>1</v>
      </c>
      <c r="AF414">
        <f t="shared" si="122"/>
        <v>0</v>
      </c>
      <c r="AG414">
        <f t="shared" si="123"/>
        <v>0</v>
      </c>
      <c r="AH414">
        <f t="shared" si="124"/>
        <v>0</v>
      </c>
      <c r="AI414">
        <f t="shared" si="125"/>
        <v>1</v>
      </c>
    </row>
    <row r="415" spans="1:35" x14ac:dyDescent="0.2">
      <c r="A415">
        <v>193</v>
      </c>
      <c r="B415" t="s">
        <v>749</v>
      </c>
      <c r="C415">
        <v>7</v>
      </c>
      <c r="D415" t="s">
        <v>1317</v>
      </c>
      <c r="E415" t="s">
        <v>18</v>
      </c>
      <c r="F415" t="s">
        <v>20</v>
      </c>
      <c r="G415" t="s">
        <v>20</v>
      </c>
      <c r="H415" t="s">
        <v>39</v>
      </c>
      <c r="I415">
        <v>5</v>
      </c>
      <c r="J415">
        <v>1</v>
      </c>
      <c r="K415" s="1">
        <v>500</v>
      </c>
      <c r="L415" t="s">
        <v>562</v>
      </c>
      <c r="M415" t="s">
        <v>154</v>
      </c>
      <c r="N415" t="s">
        <v>24</v>
      </c>
      <c r="O415" t="s">
        <v>409</v>
      </c>
      <c r="P415" t="s">
        <v>1318</v>
      </c>
      <c r="Q415">
        <f t="shared" si="108"/>
        <v>4</v>
      </c>
      <c r="R415">
        <f t="shared" si="109"/>
        <v>2</v>
      </c>
      <c r="S415">
        <f t="shared" si="110"/>
        <v>2</v>
      </c>
      <c r="T415">
        <f t="shared" si="111"/>
        <v>5</v>
      </c>
      <c r="U415">
        <v>500</v>
      </c>
      <c r="V415">
        <f t="shared" si="112"/>
        <v>0</v>
      </c>
      <c r="W415">
        <f t="shared" si="113"/>
        <v>1</v>
      </c>
      <c r="X415">
        <f t="shared" si="114"/>
        <v>1</v>
      </c>
      <c r="Y415">
        <f t="shared" si="115"/>
        <v>0</v>
      </c>
      <c r="Z415">
        <f t="shared" si="116"/>
        <v>1</v>
      </c>
      <c r="AA415">
        <f t="shared" si="117"/>
        <v>1</v>
      </c>
      <c r="AB415">
        <f t="shared" si="118"/>
        <v>0</v>
      </c>
      <c r="AC415">
        <f t="shared" si="119"/>
        <v>1</v>
      </c>
      <c r="AD415">
        <f t="shared" si="120"/>
        <v>0</v>
      </c>
      <c r="AE415">
        <f t="shared" si="121"/>
        <v>0</v>
      </c>
      <c r="AF415">
        <f t="shared" si="122"/>
        <v>0</v>
      </c>
      <c r="AG415">
        <f t="shared" si="123"/>
        <v>0</v>
      </c>
      <c r="AH415">
        <f t="shared" si="124"/>
        <v>1</v>
      </c>
      <c r="AI415">
        <f t="shared" si="125"/>
        <v>0</v>
      </c>
    </row>
    <row r="416" spans="1:35" x14ac:dyDescent="0.2">
      <c r="A416">
        <v>194</v>
      </c>
      <c r="B416" t="s">
        <v>749</v>
      </c>
      <c r="C416">
        <v>6</v>
      </c>
      <c r="D416" t="s">
        <v>1319</v>
      </c>
      <c r="E416" t="s">
        <v>18</v>
      </c>
      <c r="F416" t="s">
        <v>18</v>
      </c>
      <c r="G416" t="s">
        <v>19</v>
      </c>
      <c r="H416" t="s">
        <v>19</v>
      </c>
      <c r="I416">
        <v>7</v>
      </c>
      <c r="J416">
        <v>5</v>
      </c>
      <c r="K416" s="1">
        <v>10000</v>
      </c>
      <c r="L416" t="s">
        <v>562</v>
      </c>
      <c r="M416" t="s">
        <v>161</v>
      </c>
      <c r="N416" t="s">
        <v>36</v>
      </c>
      <c r="O416" t="s">
        <v>1320</v>
      </c>
      <c r="P416" t="s">
        <v>1321</v>
      </c>
      <c r="Q416">
        <f t="shared" si="108"/>
        <v>4</v>
      </c>
      <c r="R416">
        <f t="shared" si="109"/>
        <v>4</v>
      </c>
      <c r="S416">
        <f t="shared" si="110"/>
        <v>3</v>
      </c>
      <c r="T416">
        <f t="shared" si="111"/>
        <v>3</v>
      </c>
      <c r="U416">
        <v>10000</v>
      </c>
      <c r="V416">
        <f t="shared" si="112"/>
        <v>0</v>
      </c>
      <c r="W416">
        <f t="shared" si="113"/>
        <v>1</v>
      </c>
      <c r="X416">
        <f t="shared" si="114"/>
        <v>1</v>
      </c>
      <c r="Y416">
        <f t="shared" si="115"/>
        <v>0</v>
      </c>
      <c r="Z416">
        <f t="shared" si="116"/>
        <v>1</v>
      </c>
      <c r="AA416">
        <f t="shared" si="117"/>
        <v>1</v>
      </c>
      <c r="AB416">
        <f t="shared" si="118"/>
        <v>1</v>
      </c>
      <c r="AC416">
        <f t="shared" si="119"/>
        <v>1</v>
      </c>
      <c r="AD416">
        <f t="shared" si="120"/>
        <v>1</v>
      </c>
      <c r="AE416">
        <f t="shared" si="121"/>
        <v>0</v>
      </c>
      <c r="AF416">
        <f t="shared" si="122"/>
        <v>0</v>
      </c>
      <c r="AG416">
        <f t="shared" si="123"/>
        <v>0</v>
      </c>
      <c r="AH416">
        <f t="shared" si="124"/>
        <v>0</v>
      </c>
      <c r="AI416">
        <f t="shared" si="125"/>
        <v>1</v>
      </c>
    </row>
    <row r="417" spans="1:35" x14ac:dyDescent="0.2">
      <c r="A417">
        <v>195</v>
      </c>
      <c r="B417" t="s">
        <v>749</v>
      </c>
      <c r="C417">
        <v>5</v>
      </c>
      <c r="D417" t="s">
        <v>1322</v>
      </c>
      <c r="E417" t="s">
        <v>20</v>
      </c>
      <c r="F417" t="s">
        <v>18</v>
      </c>
      <c r="G417" t="s">
        <v>39</v>
      </c>
      <c r="H417" t="s">
        <v>21</v>
      </c>
      <c r="I417">
        <v>12</v>
      </c>
      <c r="J417">
        <v>6</v>
      </c>
      <c r="K417">
        <v>200</v>
      </c>
      <c r="L417" t="s">
        <v>494</v>
      </c>
      <c r="M417" t="s">
        <v>115</v>
      </c>
      <c r="N417" t="s">
        <v>147</v>
      </c>
      <c r="O417" t="s">
        <v>836</v>
      </c>
      <c r="P417" t="s">
        <v>1323</v>
      </c>
      <c r="Q417">
        <f t="shared" si="108"/>
        <v>2</v>
      </c>
      <c r="R417">
        <f t="shared" si="109"/>
        <v>4</v>
      </c>
      <c r="S417">
        <f t="shared" si="110"/>
        <v>5</v>
      </c>
      <c r="T417">
        <f t="shared" si="111"/>
        <v>1</v>
      </c>
      <c r="U417">
        <v>200</v>
      </c>
      <c r="V417">
        <f t="shared" si="112"/>
        <v>0</v>
      </c>
      <c r="W417">
        <f t="shared" si="113"/>
        <v>1</v>
      </c>
      <c r="X417">
        <f t="shared" si="114"/>
        <v>1</v>
      </c>
      <c r="Y417">
        <f t="shared" si="115"/>
        <v>1</v>
      </c>
      <c r="Z417">
        <f t="shared" si="116"/>
        <v>1</v>
      </c>
      <c r="AA417">
        <f t="shared" si="117"/>
        <v>0</v>
      </c>
      <c r="AB417">
        <f t="shared" si="118"/>
        <v>0</v>
      </c>
      <c r="AC417">
        <f t="shared" si="119"/>
        <v>1</v>
      </c>
      <c r="AD417">
        <f t="shared" si="120"/>
        <v>0</v>
      </c>
      <c r="AE417">
        <f t="shared" si="121"/>
        <v>0</v>
      </c>
      <c r="AF417">
        <f t="shared" si="122"/>
        <v>0</v>
      </c>
      <c r="AG417">
        <f t="shared" si="123"/>
        <v>0</v>
      </c>
      <c r="AH417">
        <f t="shared" si="124"/>
        <v>1</v>
      </c>
      <c r="AI417">
        <f t="shared" si="125"/>
        <v>1</v>
      </c>
    </row>
    <row r="418" spans="1:35" x14ac:dyDescent="0.2">
      <c r="A418">
        <v>196</v>
      </c>
      <c r="B418" t="s">
        <v>749</v>
      </c>
      <c r="C418">
        <v>9</v>
      </c>
      <c r="D418" t="s">
        <v>1324</v>
      </c>
      <c r="E418" t="s">
        <v>20</v>
      </c>
      <c r="F418" t="s">
        <v>18</v>
      </c>
      <c r="G418" t="s">
        <v>19</v>
      </c>
      <c r="H418" t="s">
        <v>20</v>
      </c>
      <c r="I418">
        <v>3</v>
      </c>
      <c r="J418">
        <v>3</v>
      </c>
      <c r="K418">
        <v>400</v>
      </c>
      <c r="L418" t="s">
        <v>41</v>
      </c>
      <c r="M418" t="s">
        <v>154</v>
      </c>
      <c r="N418" t="s">
        <v>84</v>
      </c>
      <c r="O418" t="s">
        <v>1325</v>
      </c>
      <c r="P418" t="s">
        <v>1326</v>
      </c>
      <c r="Q418">
        <f t="shared" si="108"/>
        <v>2</v>
      </c>
      <c r="R418">
        <f t="shared" si="109"/>
        <v>4</v>
      </c>
      <c r="S418">
        <f t="shared" si="110"/>
        <v>3</v>
      </c>
      <c r="T418">
        <f t="shared" si="111"/>
        <v>2</v>
      </c>
      <c r="U418">
        <v>400</v>
      </c>
      <c r="V418">
        <f t="shared" si="112"/>
        <v>0</v>
      </c>
      <c r="W418">
        <f t="shared" si="113"/>
        <v>0</v>
      </c>
      <c r="X418">
        <f t="shared" si="114"/>
        <v>0</v>
      </c>
      <c r="Y418">
        <f t="shared" si="115"/>
        <v>0</v>
      </c>
      <c r="Z418">
        <f t="shared" si="116"/>
        <v>1</v>
      </c>
      <c r="AA418">
        <f t="shared" si="117"/>
        <v>1</v>
      </c>
      <c r="AB418">
        <f t="shared" si="118"/>
        <v>0</v>
      </c>
      <c r="AC418">
        <f t="shared" si="119"/>
        <v>1</v>
      </c>
      <c r="AD418">
        <f t="shared" si="120"/>
        <v>0</v>
      </c>
      <c r="AE418">
        <f t="shared" si="121"/>
        <v>0</v>
      </c>
      <c r="AF418">
        <f t="shared" si="122"/>
        <v>0</v>
      </c>
      <c r="AG418">
        <f t="shared" si="123"/>
        <v>1</v>
      </c>
      <c r="AH418">
        <f t="shared" si="124"/>
        <v>0</v>
      </c>
      <c r="AI418">
        <f t="shared" si="125"/>
        <v>0</v>
      </c>
    </row>
    <row r="419" spans="1:35" x14ac:dyDescent="0.2">
      <c r="A419">
        <v>197</v>
      </c>
      <c r="B419" t="s">
        <v>749</v>
      </c>
      <c r="C419">
        <v>9</v>
      </c>
      <c r="D419" t="s">
        <v>1327</v>
      </c>
      <c r="E419" t="s">
        <v>39</v>
      </c>
      <c r="F419" t="s">
        <v>20</v>
      </c>
      <c r="G419" t="s">
        <v>21</v>
      </c>
      <c r="H419" t="s">
        <v>39</v>
      </c>
      <c r="I419">
        <v>3</v>
      </c>
      <c r="J419">
        <v>2</v>
      </c>
      <c r="K419" s="1">
        <v>1200000</v>
      </c>
      <c r="L419" t="s">
        <v>41</v>
      </c>
      <c r="M419" t="s">
        <v>115</v>
      </c>
      <c r="N419" t="s">
        <v>36</v>
      </c>
      <c r="O419" t="s">
        <v>1328</v>
      </c>
      <c r="P419" t="s">
        <v>1329</v>
      </c>
      <c r="Q419">
        <f t="shared" si="108"/>
        <v>5</v>
      </c>
      <c r="R419">
        <f t="shared" si="109"/>
        <v>2</v>
      </c>
      <c r="S419">
        <f t="shared" si="110"/>
        <v>1</v>
      </c>
      <c r="T419">
        <f t="shared" si="111"/>
        <v>5</v>
      </c>
      <c r="U419">
        <v>1200000</v>
      </c>
      <c r="V419">
        <f t="shared" si="112"/>
        <v>0</v>
      </c>
      <c r="W419">
        <f t="shared" si="113"/>
        <v>0</v>
      </c>
      <c r="X419">
        <f t="shared" si="114"/>
        <v>0</v>
      </c>
      <c r="Y419">
        <f t="shared" si="115"/>
        <v>0</v>
      </c>
      <c r="Z419">
        <f t="shared" si="116"/>
        <v>1</v>
      </c>
      <c r="AA419">
        <f t="shared" si="117"/>
        <v>0</v>
      </c>
      <c r="AB419">
        <f t="shared" si="118"/>
        <v>0</v>
      </c>
      <c r="AC419">
        <f t="shared" si="119"/>
        <v>1</v>
      </c>
      <c r="AD419">
        <f t="shared" si="120"/>
        <v>0</v>
      </c>
      <c r="AE419">
        <f t="shared" si="121"/>
        <v>0</v>
      </c>
      <c r="AF419">
        <f t="shared" si="122"/>
        <v>0</v>
      </c>
      <c r="AG419">
        <f t="shared" si="123"/>
        <v>0</v>
      </c>
      <c r="AH419">
        <f t="shared" si="124"/>
        <v>0</v>
      </c>
      <c r="AI419">
        <f t="shared" si="125"/>
        <v>1</v>
      </c>
    </row>
    <row r="420" spans="1:35" ht="68" x14ac:dyDescent="0.2">
      <c r="A420">
        <v>198</v>
      </c>
      <c r="B420" t="s">
        <v>749</v>
      </c>
      <c r="C420">
        <v>10</v>
      </c>
      <c r="D420" s="3" t="s">
        <v>1330</v>
      </c>
      <c r="E420" t="s">
        <v>19</v>
      </c>
      <c r="F420" t="s">
        <v>18</v>
      </c>
      <c r="G420" t="s">
        <v>39</v>
      </c>
      <c r="H420" t="s">
        <v>21</v>
      </c>
      <c r="I420">
        <v>20</v>
      </c>
      <c r="J420">
        <v>4</v>
      </c>
      <c r="K420">
        <v>9000000</v>
      </c>
      <c r="L420" t="s">
        <v>41</v>
      </c>
      <c r="M420" t="s">
        <v>48</v>
      </c>
      <c r="N420" t="s">
        <v>84</v>
      </c>
      <c r="O420" t="s">
        <v>1331</v>
      </c>
      <c r="P420" t="s">
        <v>1332</v>
      </c>
      <c r="Q420">
        <f t="shared" si="108"/>
        <v>3</v>
      </c>
      <c r="R420">
        <f t="shared" si="109"/>
        <v>4</v>
      </c>
      <c r="S420">
        <f t="shared" si="110"/>
        <v>5</v>
      </c>
      <c r="T420">
        <f t="shared" si="111"/>
        <v>1</v>
      </c>
      <c r="U420">
        <v>9000000</v>
      </c>
      <c r="V420">
        <f t="shared" si="112"/>
        <v>0</v>
      </c>
      <c r="W420">
        <f t="shared" si="113"/>
        <v>0</v>
      </c>
      <c r="X420">
        <f t="shared" si="114"/>
        <v>0</v>
      </c>
      <c r="Y420">
        <f t="shared" si="115"/>
        <v>0</v>
      </c>
      <c r="Z420">
        <f t="shared" si="116"/>
        <v>1</v>
      </c>
      <c r="AA420">
        <f t="shared" si="117"/>
        <v>1</v>
      </c>
      <c r="AB420">
        <f t="shared" si="118"/>
        <v>1</v>
      </c>
      <c r="AC420">
        <f t="shared" si="119"/>
        <v>1</v>
      </c>
      <c r="AD420">
        <f t="shared" si="120"/>
        <v>0</v>
      </c>
      <c r="AE420">
        <f t="shared" si="121"/>
        <v>0</v>
      </c>
      <c r="AF420">
        <f t="shared" si="122"/>
        <v>0</v>
      </c>
      <c r="AG420">
        <f t="shared" si="123"/>
        <v>1</v>
      </c>
      <c r="AH420">
        <f t="shared" si="124"/>
        <v>0</v>
      </c>
      <c r="AI420">
        <f t="shared" si="125"/>
        <v>0</v>
      </c>
    </row>
    <row r="421" spans="1:35" x14ac:dyDescent="0.2">
      <c r="A421">
        <v>199</v>
      </c>
      <c r="B421" t="s">
        <v>749</v>
      </c>
      <c r="C421">
        <v>6</v>
      </c>
      <c r="D421" t="s">
        <v>1333</v>
      </c>
      <c r="E421" t="s">
        <v>39</v>
      </c>
      <c r="F421" t="s">
        <v>21</v>
      </c>
      <c r="G421" t="s">
        <v>19</v>
      </c>
      <c r="H421" t="s">
        <v>18</v>
      </c>
      <c r="I421">
        <v>2</v>
      </c>
      <c r="J421">
        <v>2</v>
      </c>
      <c r="K421" s="1">
        <v>1000</v>
      </c>
      <c r="L421" t="s">
        <v>194</v>
      </c>
      <c r="M421" t="s">
        <v>42</v>
      </c>
      <c r="N421" t="s">
        <v>847</v>
      </c>
      <c r="O421" t="s">
        <v>1334</v>
      </c>
      <c r="P421" t="s">
        <v>1335</v>
      </c>
      <c r="Q421">
        <f t="shared" si="108"/>
        <v>5</v>
      </c>
      <c r="R421">
        <f t="shared" si="109"/>
        <v>1</v>
      </c>
      <c r="S421">
        <f t="shared" si="110"/>
        <v>3</v>
      </c>
      <c r="T421">
        <f t="shared" si="111"/>
        <v>4</v>
      </c>
      <c r="U421">
        <v>1000</v>
      </c>
      <c r="V421">
        <f t="shared" si="112"/>
        <v>0</v>
      </c>
      <c r="W421">
        <f t="shared" si="113"/>
        <v>0</v>
      </c>
      <c r="X421">
        <f t="shared" si="114"/>
        <v>0</v>
      </c>
      <c r="Y421">
        <f t="shared" si="115"/>
        <v>1</v>
      </c>
      <c r="Z421">
        <f t="shared" si="116"/>
        <v>1</v>
      </c>
      <c r="AA421">
        <f t="shared" si="117"/>
        <v>0</v>
      </c>
      <c r="AB421">
        <f t="shared" si="118"/>
        <v>1</v>
      </c>
      <c r="AC421">
        <f t="shared" si="119"/>
        <v>0</v>
      </c>
      <c r="AD421">
        <f t="shared" si="120"/>
        <v>0</v>
      </c>
      <c r="AE421">
        <f t="shared" si="121"/>
        <v>0</v>
      </c>
      <c r="AF421">
        <f t="shared" si="122"/>
        <v>1</v>
      </c>
      <c r="AG421">
        <f t="shared" si="123"/>
        <v>0</v>
      </c>
      <c r="AH421">
        <f t="shared" si="124"/>
        <v>0</v>
      </c>
      <c r="AI421">
        <f t="shared" si="125"/>
        <v>1</v>
      </c>
    </row>
    <row r="422" spans="1:35" x14ac:dyDescent="0.2">
      <c r="A422">
        <v>200</v>
      </c>
      <c r="B422" t="s">
        <v>749</v>
      </c>
      <c r="C422">
        <v>6</v>
      </c>
      <c r="D422" t="s">
        <v>1336</v>
      </c>
      <c r="E422" t="s">
        <v>19</v>
      </c>
      <c r="F422" t="s">
        <v>20</v>
      </c>
      <c r="G422" t="s">
        <v>19</v>
      </c>
      <c r="H422" t="s">
        <v>20</v>
      </c>
      <c r="I422">
        <v>3</v>
      </c>
      <c r="J422">
        <v>2</v>
      </c>
      <c r="K422">
        <v>0</v>
      </c>
      <c r="L422" t="s">
        <v>41</v>
      </c>
      <c r="M422" t="s">
        <v>23</v>
      </c>
      <c r="N422" t="s">
        <v>84</v>
      </c>
      <c r="O422" t="s">
        <v>148</v>
      </c>
      <c r="P422" t="s">
        <v>684</v>
      </c>
      <c r="Q422">
        <f t="shared" si="108"/>
        <v>3</v>
      </c>
      <c r="R422">
        <f t="shared" si="109"/>
        <v>2</v>
      </c>
      <c r="S422">
        <f t="shared" si="110"/>
        <v>3</v>
      </c>
      <c r="T422">
        <f t="shared" si="111"/>
        <v>2</v>
      </c>
      <c r="U422">
        <v>0</v>
      </c>
      <c r="V422">
        <f t="shared" si="112"/>
        <v>0</v>
      </c>
      <c r="W422">
        <f t="shared" si="113"/>
        <v>0</v>
      </c>
      <c r="X422">
        <f t="shared" si="114"/>
        <v>0</v>
      </c>
      <c r="Y422">
        <f t="shared" si="115"/>
        <v>0</v>
      </c>
      <c r="Z422">
        <f t="shared" si="116"/>
        <v>1</v>
      </c>
      <c r="AA422">
        <f t="shared" si="117"/>
        <v>1</v>
      </c>
      <c r="AB422">
        <f t="shared" si="118"/>
        <v>0</v>
      </c>
      <c r="AC422">
        <f t="shared" si="119"/>
        <v>0</v>
      </c>
      <c r="AD422">
        <f t="shared" si="120"/>
        <v>0</v>
      </c>
      <c r="AE422">
        <f t="shared" si="121"/>
        <v>0</v>
      </c>
      <c r="AF422">
        <f t="shared" si="122"/>
        <v>0</v>
      </c>
      <c r="AG422">
        <f t="shared" si="123"/>
        <v>1</v>
      </c>
      <c r="AH422">
        <f t="shared" si="124"/>
        <v>0</v>
      </c>
      <c r="AI422">
        <f t="shared" si="125"/>
        <v>0</v>
      </c>
    </row>
    <row r="423" spans="1:35" x14ac:dyDescent="0.2">
      <c r="A423">
        <v>201</v>
      </c>
      <c r="B423" t="s">
        <v>749</v>
      </c>
      <c r="C423">
        <v>5</v>
      </c>
      <c r="D423" t="s">
        <v>1337</v>
      </c>
      <c r="E423" t="s">
        <v>20</v>
      </c>
      <c r="F423" t="s">
        <v>19</v>
      </c>
      <c r="G423" t="s">
        <v>18</v>
      </c>
      <c r="H423" t="s">
        <v>20</v>
      </c>
      <c r="I423">
        <v>4</v>
      </c>
      <c r="J423">
        <v>2</v>
      </c>
      <c r="K423">
        <v>10000</v>
      </c>
      <c r="L423" t="s">
        <v>34</v>
      </c>
      <c r="M423" t="s">
        <v>123</v>
      </c>
      <c r="N423" t="s">
        <v>36</v>
      </c>
      <c r="O423" t="s">
        <v>590</v>
      </c>
      <c r="P423" t="s">
        <v>1338</v>
      </c>
      <c r="Q423">
        <f t="shared" si="108"/>
        <v>2</v>
      </c>
      <c r="R423">
        <f t="shared" si="109"/>
        <v>3</v>
      </c>
      <c r="S423">
        <f t="shared" si="110"/>
        <v>4</v>
      </c>
      <c r="T423">
        <f t="shared" si="111"/>
        <v>2</v>
      </c>
      <c r="U423">
        <v>10000</v>
      </c>
      <c r="V423">
        <f t="shared" si="112"/>
        <v>1</v>
      </c>
      <c r="W423">
        <f t="shared" si="113"/>
        <v>0</v>
      </c>
      <c r="X423">
        <f t="shared" si="114"/>
        <v>0</v>
      </c>
      <c r="Y423">
        <f t="shared" si="115"/>
        <v>1</v>
      </c>
      <c r="Z423">
        <f t="shared" si="116"/>
        <v>0</v>
      </c>
      <c r="AA423">
        <f t="shared" si="117"/>
        <v>0</v>
      </c>
      <c r="AB423">
        <f t="shared" si="118"/>
        <v>1</v>
      </c>
      <c r="AC423">
        <f t="shared" si="119"/>
        <v>1</v>
      </c>
      <c r="AD423">
        <f t="shared" si="120"/>
        <v>0</v>
      </c>
      <c r="AE423">
        <f t="shared" si="121"/>
        <v>0</v>
      </c>
      <c r="AF423">
        <f t="shared" si="122"/>
        <v>0</v>
      </c>
      <c r="AG423">
        <f t="shared" si="123"/>
        <v>0</v>
      </c>
      <c r="AH423">
        <f t="shared" si="124"/>
        <v>0</v>
      </c>
      <c r="AI423">
        <f t="shared" si="125"/>
        <v>1</v>
      </c>
    </row>
    <row r="424" spans="1:35" x14ac:dyDescent="0.2">
      <c r="A424">
        <v>202</v>
      </c>
      <c r="B424" t="s">
        <v>749</v>
      </c>
      <c r="C424">
        <v>3</v>
      </c>
      <c r="D424" t="s">
        <v>1339</v>
      </c>
      <c r="E424" t="s">
        <v>21</v>
      </c>
      <c r="F424" t="s">
        <v>39</v>
      </c>
      <c r="G424" t="s">
        <v>39</v>
      </c>
      <c r="H424" t="s">
        <v>20</v>
      </c>
      <c r="I424">
        <v>3</v>
      </c>
      <c r="J424">
        <v>2</v>
      </c>
      <c r="K424" s="1">
        <v>50</v>
      </c>
      <c r="L424" t="s">
        <v>601</v>
      </c>
      <c r="M424" t="s">
        <v>48</v>
      </c>
      <c r="N424" t="s">
        <v>36</v>
      </c>
      <c r="O424" t="s">
        <v>378</v>
      </c>
      <c r="P424" t="s">
        <v>1340</v>
      </c>
      <c r="Q424">
        <f t="shared" si="108"/>
        <v>1</v>
      </c>
      <c r="R424">
        <f t="shared" si="109"/>
        <v>5</v>
      </c>
      <c r="S424">
        <f t="shared" si="110"/>
        <v>5</v>
      </c>
      <c r="T424">
        <f t="shared" si="111"/>
        <v>2</v>
      </c>
      <c r="U424">
        <v>50</v>
      </c>
      <c r="V424">
        <f t="shared" si="112"/>
        <v>0</v>
      </c>
      <c r="W424">
        <f t="shared" si="113"/>
        <v>1</v>
      </c>
      <c r="X424">
        <f t="shared" si="114"/>
        <v>0</v>
      </c>
      <c r="Y424">
        <f t="shared" si="115"/>
        <v>1</v>
      </c>
      <c r="Z424">
        <f t="shared" si="116"/>
        <v>1</v>
      </c>
      <c r="AA424">
        <f t="shared" si="117"/>
        <v>1</v>
      </c>
      <c r="AB424">
        <f t="shared" si="118"/>
        <v>1</v>
      </c>
      <c r="AC424">
        <f t="shared" si="119"/>
        <v>1</v>
      </c>
      <c r="AD424">
        <f t="shared" si="120"/>
        <v>0</v>
      </c>
      <c r="AE424">
        <f t="shared" si="121"/>
        <v>0</v>
      </c>
      <c r="AF424">
        <f t="shared" si="122"/>
        <v>0</v>
      </c>
      <c r="AG424">
        <f t="shared" si="123"/>
        <v>0</v>
      </c>
      <c r="AH424">
        <f t="shared" si="124"/>
        <v>0</v>
      </c>
      <c r="AI424">
        <f t="shared" si="125"/>
        <v>1</v>
      </c>
    </row>
    <row r="425" spans="1:35" x14ac:dyDescent="0.2">
      <c r="A425">
        <v>203</v>
      </c>
      <c r="B425" t="s">
        <v>749</v>
      </c>
      <c r="C425">
        <v>5</v>
      </c>
      <c r="D425" t="s">
        <v>1341</v>
      </c>
      <c r="E425" t="s">
        <v>20</v>
      </c>
      <c r="F425" t="s">
        <v>18</v>
      </c>
      <c r="G425" t="s">
        <v>39</v>
      </c>
      <c r="H425" t="s">
        <v>20</v>
      </c>
      <c r="I425">
        <v>4</v>
      </c>
      <c r="J425">
        <v>4</v>
      </c>
      <c r="K425" t="s">
        <v>1342</v>
      </c>
      <c r="L425" t="s">
        <v>194</v>
      </c>
      <c r="M425" t="s">
        <v>48</v>
      </c>
      <c r="N425" t="s">
        <v>36</v>
      </c>
      <c r="O425" t="s">
        <v>1343</v>
      </c>
      <c r="P425" t="s">
        <v>1344</v>
      </c>
      <c r="Q425">
        <f t="shared" si="108"/>
        <v>2</v>
      </c>
      <c r="R425">
        <f t="shared" si="109"/>
        <v>4</v>
      </c>
      <c r="S425">
        <f t="shared" si="110"/>
        <v>5</v>
      </c>
      <c r="T425">
        <f t="shared" si="111"/>
        <v>2</v>
      </c>
      <c r="U425">
        <v>400</v>
      </c>
      <c r="V425">
        <f t="shared" si="112"/>
        <v>0</v>
      </c>
      <c r="W425">
        <f t="shared" si="113"/>
        <v>0</v>
      </c>
      <c r="X425">
        <f t="shared" si="114"/>
        <v>0</v>
      </c>
      <c r="Y425">
        <f t="shared" si="115"/>
        <v>1</v>
      </c>
      <c r="Z425">
        <f t="shared" si="116"/>
        <v>1</v>
      </c>
      <c r="AA425">
        <f t="shared" si="117"/>
        <v>1</v>
      </c>
      <c r="AB425">
        <f t="shared" si="118"/>
        <v>1</v>
      </c>
      <c r="AC425">
        <f t="shared" si="119"/>
        <v>1</v>
      </c>
      <c r="AD425">
        <f t="shared" si="120"/>
        <v>0</v>
      </c>
      <c r="AE425">
        <f t="shared" si="121"/>
        <v>0</v>
      </c>
      <c r="AF425">
        <f t="shared" si="122"/>
        <v>0</v>
      </c>
      <c r="AG425">
        <f t="shared" si="123"/>
        <v>0</v>
      </c>
      <c r="AH425">
        <f t="shared" si="124"/>
        <v>0</v>
      </c>
      <c r="AI425">
        <f t="shared" si="125"/>
        <v>1</v>
      </c>
    </row>
    <row r="426" spans="1:35" x14ac:dyDescent="0.2">
      <c r="A426">
        <v>204</v>
      </c>
      <c r="B426" t="s">
        <v>749</v>
      </c>
      <c r="C426">
        <v>8</v>
      </c>
      <c r="D426" t="s">
        <v>1345</v>
      </c>
      <c r="E426" t="s">
        <v>20</v>
      </c>
      <c r="F426" t="s">
        <v>18</v>
      </c>
      <c r="G426" t="s">
        <v>19</v>
      </c>
      <c r="H426" t="s">
        <v>20</v>
      </c>
      <c r="I426">
        <v>4</v>
      </c>
      <c r="J426">
        <v>7</v>
      </c>
      <c r="K426">
        <v>75000</v>
      </c>
      <c r="L426" t="s">
        <v>70</v>
      </c>
      <c r="M426" t="s">
        <v>115</v>
      </c>
      <c r="N426" t="s">
        <v>36</v>
      </c>
      <c r="O426" t="s">
        <v>1346</v>
      </c>
      <c r="P426" t="s">
        <v>1347</v>
      </c>
      <c r="Q426">
        <f t="shared" si="108"/>
        <v>2</v>
      </c>
      <c r="R426">
        <f t="shared" si="109"/>
        <v>4</v>
      </c>
      <c r="S426">
        <f t="shared" si="110"/>
        <v>3</v>
      </c>
      <c r="T426">
        <f t="shared" si="111"/>
        <v>2</v>
      </c>
      <c r="U426">
        <v>75000</v>
      </c>
      <c r="V426">
        <f t="shared" si="112"/>
        <v>0</v>
      </c>
      <c r="W426">
        <f t="shared" si="113"/>
        <v>0</v>
      </c>
      <c r="X426">
        <f t="shared" si="114"/>
        <v>0</v>
      </c>
      <c r="Y426">
        <f t="shared" si="115"/>
        <v>1</v>
      </c>
      <c r="Z426">
        <f t="shared" si="116"/>
        <v>0</v>
      </c>
      <c r="AA426">
        <f t="shared" si="117"/>
        <v>0</v>
      </c>
      <c r="AB426">
        <f t="shared" si="118"/>
        <v>0</v>
      </c>
      <c r="AC426">
        <f t="shared" si="119"/>
        <v>1</v>
      </c>
      <c r="AD426">
        <f t="shared" si="120"/>
        <v>0</v>
      </c>
      <c r="AE426">
        <f t="shared" si="121"/>
        <v>0</v>
      </c>
      <c r="AF426">
        <f t="shared" si="122"/>
        <v>0</v>
      </c>
      <c r="AG426">
        <f t="shared" si="123"/>
        <v>0</v>
      </c>
      <c r="AH426">
        <f t="shared" si="124"/>
        <v>0</v>
      </c>
      <c r="AI426">
        <f t="shared" si="125"/>
        <v>1</v>
      </c>
    </row>
    <row r="427" spans="1:35" x14ac:dyDescent="0.2">
      <c r="A427">
        <v>205</v>
      </c>
      <c r="B427" t="s">
        <v>749</v>
      </c>
      <c r="C427">
        <v>8</v>
      </c>
      <c r="D427" t="s">
        <v>1348</v>
      </c>
      <c r="E427" t="s">
        <v>20</v>
      </c>
      <c r="F427" t="s">
        <v>39</v>
      </c>
      <c r="G427" t="s">
        <v>18</v>
      </c>
      <c r="H427" t="s">
        <v>21</v>
      </c>
      <c r="I427">
        <v>5</v>
      </c>
      <c r="J427">
        <v>3</v>
      </c>
      <c r="K427">
        <v>10000</v>
      </c>
      <c r="L427" t="s">
        <v>194</v>
      </c>
      <c r="M427" t="s">
        <v>123</v>
      </c>
      <c r="N427" t="s">
        <v>36</v>
      </c>
      <c r="O427" t="s">
        <v>1349</v>
      </c>
      <c r="P427" t="s">
        <v>1350</v>
      </c>
      <c r="Q427">
        <f t="shared" si="108"/>
        <v>2</v>
      </c>
      <c r="R427">
        <f t="shared" si="109"/>
        <v>5</v>
      </c>
      <c r="S427">
        <f t="shared" si="110"/>
        <v>4</v>
      </c>
      <c r="T427">
        <f t="shared" si="111"/>
        <v>1</v>
      </c>
      <c r="U427">
        <v>10000</v>
      </c>
      <c r="V427">
        <f t="shared" si="112"/>
        <v>0</v>
      </c>
      <c r="W427">
        <f t="shared" si="113"/>
        <v>0</v>
      </c>
      <c r="X427">
        <f t="shared" si="114"/>
        <v>0</v>
      </c>
      <c r="Y427">
        <f t="shared" si="115"/>
        <v>1</v>
      </c>
      <c r="Z427">
        <f t="shared" si="116"/>
        <v>1</v>
      </c>
      <c r="AA427">
        <f t="shared" si="117"/>
        <v>0</v>
      </c>
      <c r="AB427">
        <f t="shared" si="118"/>
        <v>1</v>
      </c>
      <c r="AC427">
        <f t="shared" si="119"/>
        <v>1</v>
      </c>
      <c r="AD427">
        <f t="shared" si="120"/>
        <v>0</v>
      </c>
      <c r="AE427">
        <f t="shared" si="121"/>
        <v>0</v>
      </c>
      <c r="AF427">
        <f t="shared" si="122"/>
        <v>0</v>
      </c>
      <c r="AG427">
        <f t="shared" si="123"/>
        <v>0</v>
      </c>
      <c r="AH427">
        <f t="shared" si="124"/>
        <v>0</v>
      </c>
      <c r="AI427">
        <f t="shared" si="125"/>
        <v>1</v>
      </c>
    </row>
    <row r="428" spans="1:35" x14ac:dyDescent="0.2">
      <c r="A428">
        <v>206</v>
      </c>
      <c r="B428" t="s">
        <v>749</v>
      </c>
      <c r="C428">
        <v>9</v>
      </c>
      <c r="D428" t="s">
        <v>1351</v>
      </c>
      <c r="E428" t="s">
        <v>20</v>
      </c>
      <c r="F428" t="s">
        <v>18</v>
      </c>
      <c r="G428" t="s">
        <v>18</v>
      </c>
      <c r="H428" t="s">
        <v>21</v>
      </c>
      <c r="I428">
        <v>3</v>
      </c>
      <c r="J428">
        <v>5</v>
      </c>
      <c r="K428">
        <v>1000000</v>
      </c>
      <c r="L428" t="s">
        <v>194</v>
      </c>
      <c r="M428" t="s">
        <v>135</v>
      </c>
      <c r="N428" t="s">
        <v>622</v>
      </c>
      <c r="O428" t="s">
        <v>1240</v>
      </c>
      <c r="P428" t="s">
        <v>1352</v>
      </c>
      <c r="Q428">
        <f t="shared" si="108"/>
        <v>2</v>
      </c>
      <c r="R428">
        <f t="shared" si="109"/>
        <v>4</v>
      </c>
      <c r="S428">
        <f t="shared" si="110"/>
        <v>4</v>
      </c>
      <c r="T428">
        <f t="shared" si="111"/>
        <v>1</v>
      </c>
      <c r="U428">
        <v>1000000</v>
      </c>
      <c r="V428">
        <f t="shared" si="112"/>
        <v>0</v>
      </c>
      <c r="W428">
        <f t="shared" si="113"/>
        <v>0</v>
      </c>
      <c r="X428">
        <f t="shared" si="114"/>
        <v>0</v>
      </c>
      <c r="Y428">
        <f t="shared" si="115"/>
        <v>1</v>
      </c>
      <c r="Z428">
        <f t="shared" si="116"/>
        <v>1</v>
      </c>
      <c r="AA428">
        <f t="shared" si="117"/>
        <v>1</v>
      </c>
      <c r="AB428">
        <f t="shared" si="118"/>
        <v>1</v>
      </c>
      <c r="AC428">
        <f t="shared" si="119"/>
        <v>0</v>
      </c>
      <c r="AD428">
        <f t="shared" si="120"/>
        <v>0</v>
      </c>
      <c r="AE428">
        <f t="shared" si="121"/>
        <v>0</v>
      </c>
      <c r="AF428">
        <f t="shared" si="122"/>
        <v>0</v>
      </c>
      <c r="AG428">
        <f t="shared" si="123"/>
        <v>1</v>
      </c>
      <c r="AH428">
        <f t="shared" si="124"/>
        <v>0</v>
      </c>
      <c r="AI428">
        <f t="shared" si="125"/>
        <v>1</v>
      </c>
    </row>
    <row r="429" spans="1:35" x14ac:dyDescent="0.2">
      <c r="A429">
        <v>207</v>
      </c>
      <c r="B429" t="s">
        <v>749</v>
      </c>
      <c r="C429">
        <v>6</v>
      </c>
      <c r="D429" t="s">
        <v>1353</v>
      </c>
      <c r="E429" t="s">
        <v>18</v>
      </c>
      <c r="F429" t="s">
        <v>19</v>
      </c>
      <c r="G429" t="s">
        <v>39</v>
      </c>
      <c r="H429" t="s">
        <v>20</v>
      </c>
      <c r="I429">
        <v>3</v>
      </c>
      <c r="J429">
        <v>2</v>
      </c>
      <c r="K429" s="1">
        <v>150</v>
      </c>
      <c r="L429" t="s">
        <v>1071</v>
      </c>
      <c r="M429" t="s">
        <v>1354</v>
      </c>
      <c r="N429" t="s">
        <v>43</v>
      </c>
      <c r="O429" t="s">
        <v>1355</v>
      </c>
      <c r="P429" t="s">
        <v>1356</v>
      </c>
      <c r="Q429">
        <f t="shared" si="108"/>
        <v>4</v>
      </c>
      <c r="R429">
        <f t="shared" si="109"/>
        <v>3</v>
      </c>
      <c r="S429">
        <f t="shared" si="110"/>
        <v>5</v>
      </c>
      <c r="T429">
        <f t="shared" si="111"/>
        <v>2</v>
      </c>
      <c r="U429">
        <v>150</v>
      </c>
      <c r="V429">
        <f t="shared" si="112"/>
        <v>1</v>
      </c>
      <c r="W429">
        <f t="shared" si="113"/>
        <v>0</v>
      </c>
      <c r="X429">
        <f t="shared" si="114"/>
        <v>1</v>
      </c>
      <c r="Y429">
        <f t="shared" si="115"/>
        <v>1</v>
      </c>
      <c r="Z429">
        <f t="shared" si="116"/>
        <v>0</v>
      </c>
      <c r="AA429">
        <f t="shared" si="117"/>
        <v>0</v>
      </c>
      <c r="AB429">
        <f t="shared" si="118"/>
        <v>1</v>
      </c>
      <c r="AC429">
        <f t="shared" si="119"/>
        <v>1</v>
      </c>
      <c r="AD429">
        <f t="shared" si="120"/>
        <v>0</v>
      </c>
      <c r="AE429">
        <f t="shared" si="121"/>
        <v>1</v>
      </c>
      <c r="AF429">
        <f t="shared" si="122"/>
        <v>1</v>
      </c>
      <c r="AG429">
        <f t="shared" si="123"/>
        <v>1</v>
      </c>
      <c r="AH429">
        <f t="shared" si="124"/>
        <v>0</v>
      </c>
      <c r="AI429">
        <f t="shared" si="125"/>
        <v>0</v>
      </c>
    </row>
    <row r="430" spans="1:35" x14ac:dyDescent="0.2">
      <c r="A430">
        <v>208</v>
      </c>
      <c r="B430" t="s">
        <v>749</v>
      </c>
      <c r="C430">
        <v>3</v>
      </c>
      <c r="D430" t="s">
        <v>1357</v>
      </c>
      <c r="E430" t="s">
        <v>20</v>
      </c>
      <c r="F430" t="s">
        <v>18</v>
      </c>
      <c r="G430" t="s">
        <v>18</v>
      </c>
      <c r="H430" t="s">
        <v>21</v>
      </c>
      <c r="I430">
        <v>3</v>
      </c>
      <c r="J430">
        <v>3</v>
      </c>
      <c r="K430">
        <v>25</v>
      </c>
      <c r="L430" t="s">
        <v>601</v>
      </c>
      <c r="M430" t="s">
        <v>468</v>
      </c>
      <c r="N430" t="s">
        <v>84</v>
      </c>
      <c r="O430" t="s">
        <v>1358</v>
      </c>
      <c r="P430" t="s">
        <v>1359</v>
      </c>
      <c r="Q430">
        <f t="shared" si="108"/>
        <v>2</v>
      </c>
      <c r="R430">
        <f t="shared" si="109"/>
        <v>4</v>
      </c>
      <c r="S430">
        <f t="shared" si="110"/>
        <v>4</v>
      </c>
      <c r="T430">
        <f t="shared" si="111"/>
        <v>1</v>
      </c>
      <c r="U430">
        <v>25</v>
      </c>
      <c r="V430">
        <f t="shared" si="112"/>
        <v>0</v>
      </c>
      <c r="W430">
        <f t="shared" si="113"/>
        <v>1</v>
      </c>
      <c r="X430">
        <f t="shared" si="114"/>
        <v>0</v>
      </c>
      <c r="Y430">
        <f t="shared" si="115"/>
        <v>1</v>
      </c>
      <c r="Z430">
        <f t="shared" si="116"/>
        <v>1</v>
      </c>
      <c r="AA430">
        <f t="shared" si="117"/>
        <v>1</v>
      </c>
      <c r="AB430">
        <f t="shared" si="118"/>
        <v>1</v>
      </c>
      <c r="AC430">
        <f t="shared" si="119"/>
        <v>1</v>
      </c>
      <c r="AD430">
        <f t="shared" si="120"/>
        <v>1</v>
      </c>
      <c r="AE430">
        <f t="shared" si="121"/>
        <v>1</v>
      </c>
      <c r="AF430">
        <f t="shared" si="122"/>
        <v>0</v>
      </c>
      <c r="AG430">
        <f t="shared" si="123"/>
        <v>1</v>
      </c>
      <c r="AH430">
        <f t="shared" si="124"/>
        <v>0</v>
      </c>
      <c r="AI430">
        <f t="shared" si="125"/>
        <v>0</v>
      </c>
    </row>
    <row r="431" spans="1:35" x14ac:dyDescent="0.2">
      <c r="A431">
        <v>209</v>
      </c>
      <c r="B431" t="s">
        <v>749</v>
      </c>
      <c r="C431">
        <v>1</v>
      </c>
      <c r="D431" t="s">
        <v>1360</v>
      </c>
      <c r="E431" t="s">
        <v>21</v>
      </c>
      <c r="F431" t="s">
        <v>19</v>
      </c>
      <c r="G431" t="s">
        <v>19</v>
      </c>
      <c r="H431" t="s">
        <v>21</v>
      </c>
      <c r="I431">
        <v>3</v>
      </c>
      <c r="J431">
        <v>2</v>
      </c>
      <c r="K431">
        <v>0</v>
      </c>
      <c r="L431" t="s">
        <v>79</v>
      </c>
      <c r="M431" t="s">
        <v>115</v>
      </c>
      <c r="N431" t="s">
        <v>24</v>
      </c>
      <c r="O431" t="s">
        <v>1361</v>
      </c>
      <c r="P431" t="s">
        <v>1362</v>
      </c>
      <c r="Q431">
        <f t="shared" si="108"/>
        <v>1</v>
      </c>
      <c r="R431">
        <f t="shared" si="109"/>
        <v>3</v>
      </c>
      <c r="S431">
        <f t="shared" si="110"/>
        <v>3</v>
      </c>
      <c r="T431">
        <f t="shared" si="111"/>
        <v>1</v>
      </c>
      <c r="U431">
        <v>0</v>
      </c>
      <c r="V431">
        <f t="shared" si="112"/>
        <v>0</v>
      </c>
      <c r="W431">
        <f t="shared" si="113"/>
        <v>1</v>
      </c>
      <c r="X431">
        <f t="shared" si="114"/>
        <v>0</v>
      </c>
      <c r="Y431">
        <f t="shared" si="115"/>
        <v>0</v>
      </c>
      <c r="Z431">
        <f t="shared" si="116"/>
        <v>1</v>
      </c>
      <c r="AA431">
        <f t="shared" si="117"/>
        <v>0</v>
      </c>
      <c r="AB431">
        <f t="shared" si="118"/>
        <v>0</v>
      </c>
      <c r="AC431">
        <f t="shared" si="119"/>
        <v>1</v>
      </c>
      <c r="AD431">
        <f t="shared" si="120"/>
        <v>0</v>
      </c>
      <c r="AE431">
        <f t="shared" si="121"/>
        <v>0</v>
      </c>
      <c r="AF431">
        <f t="shared" si="122"/>
        <v>0</v>
      </c>
      <c r="AG431">
        <f t="shared" si="123"/>
        <v>0</v>
      </c>
      <c r="AH431">
        <f t="shared" si="124"/>
        <v>1</v>
      </c>
      <c r="AI431">
        <f t="shared" si="125"/>
        <v>0</v>
      </c>
    </row>
    <row r="432" spans="1:35" ht="51" x14ac:dyDescent="0.2">
      <c r="A432">
        <v>210</v>
      </c>
      <c r="B432" t="s">
        <v>749</v>
      </c>
      <c r="C432">
        <v>5</v>
      </c>
      <c r="D432" s="3" t="s">
        <v>1363</v>
      </c>
      <c r="E432" t="s">
        <v>21</v>
      </c>
      <c r="F432" t="s">
        <v>39</v>
      </c>
      <c r="G432" t="s">
        <v>39</v>
      </c>
      <c r="H432" t="s">
        <v>21</v>
      </c>
      <c r="I432">
        <v>4</v>
      </c>
      <c r="J432">
        <v>6</v>
      </c>
      <c r="K432">
        <v>500</v>
      </c>
      <c r="L432" t="s">
        <v>194</v>
      </c>
      <c r="M432" t="s">
        <v>1098</v>
      </c>
      <c r="N432" t="s">
        <v>43</v>
      </c>
      <c r="O432" t="s">
        <v>1364</v>
      </c>
      <c r="P432" t="s">
        <v>1365</v>
      </c>
      <c r="Q432">
        <f t="shared" si="108"/>
        <v>1</v>
      </c>
      <c r="R432">
        <f t="shared" si="109"/>
        <v>5</v>
      </c>
      <c r="S432">
        <f t="shared" si="110"/>
        <v>5</v>
      </c>
      <c r="T432">
        <f t="shared" si="111"/>
        <v>1</v>
      </c>
      <c r="U432">
        <v>500</v>
      </c>
      <c r="V432">
        <f t="shared" si="112"/>
        <v>0</v>
      </c>
      <c r="W432">
        <f t="shared" si="113"/>
        <v>0</v>
      </c>
      <c r="X432">
        <f t="shared" si="114"/>
        <v>0</v>
      </c>
      <c r="Y432">
        <f t="shared" si="115"/>
        <v>1</v>
      </c>
      <c r="Z432">
        <f t="shared" si="116"/>
        <v>1</v>
      </c>
      <c r="AA432">
        <f t="shared" si="117"/>
        <v>1</v>
      </c>
      <c r="AB432">
        <f t="shared" si="118"/>
        <v>1</v>
      </c>
      <c r="AC432">
        <f t="shared" si="119"/>
        <v>1</v>
      </c>
      <c r="AD432">
        <f t="shared" si="120"/>
        <v>0</v>
      </c>
      <c r="AE432">
        <f t="shared" si="121"/>
        <v>1</v>
      </c>
      <c r="AF432">
        <f t="shared" si="122"/>
        <v>1</v>
      </c>
      <c r="AG432">
        <f t="shared" si="123"/>
        <v>1</v>
      </c>
      <c r="AH432">
        <f t="shared" si="124"/>
        <v>0</v>
      </c>
      <c r="AI432">
        <f t="shared" si="125"/>
        <v>0</v>
      </c>
    </row>
    <row r="433" spans="1:35" x14ac:dyDescent="0.2">
      <c r="A433">
        <v>211</v>
      </c>
      <c r="B433" t="s">
        <v>749</v>
      </c>
      <c r="C433">
        <v>8</v>
      </c>
      <c r="D433" t="s">
        <v>1366</v>
      </c>
      <c r="E433" t="s">
        <v>18</v>
      </c>
      <c r="F433" t="s">
        <v>39</v>
      </c>
      <c r="G433" t="s">
        <v>39</v>
      </c>
      <c r="H433" t="s">
        <v>21</v>
      </c>
      <c r="I433">
        <v>2</v>
      </c>
      <c r="J433">
        <v>7</v>
      </c>
      <c r="K433" s="2">
        <v>10000000</v>
      </c>
      <c r="L433" t="s">
        <v>194</v>
      </c>
      <c r="M433" t="s">
        <v>161</v>
      </c>
      <c r="N433" t="s">
        <v>651</v>
      </c>
      <c r="O433" t="s">
        <v>1367</v>
      </c>
      <c r="P433" t="s">
        <v>1368</v>
      </c>
      <c r="Q433">
        <f t="shared" si="108"/>
        <v>4</v>
      </c>
      <c r="R433">
        <f t="shared" si="109"/>
        <v>5</v>
      </c>
      <c r="S433">
        <f t="shared" si="110"/>
        <v>5</v>
      </c>
      <c r="T433">
        <f t="shared" si="111"/>
        <v>1</v>
      </c>
      <c r="U433">
        <v>10000000</v>
      </c>
      <c r="V433">
        <f t="shared" si="112"/>
        <v>0</v>
      </c>
      <c r="W433">
        <f t="shared" si="113"/>
        <v>0</v>
      </c>
      <c r="X433">
        <f t="shared" si="114"/>
        <v>0</v>
      </c>
      <c r="Y433">
        <f t="shared" si="115"/>
        <v>1</v>
      </c>
      <c r="Z433">
        <f t="shared" si="116"/>
        <v>1</v>
      </c>
      <c r="AA433">
        <f t="shared" si="117"/>
        <v>1</v>
      </c>
      <c r="AB433">
        <f t="shared" si="118"/>
        <v>1</v>
      </c>
      <c r="AC433">
        <f t="shared" si="119"/>
        <v>1</v>
      </c>
      <c r="AD433">
        <f t="shared" si="120"/>
        <v>1</v>
      </c>
      <c r="AE433">
        <f t="shared" si="121"/>
        <v>0</v>
      </c>
      <c r="AF433">
        <f t="shared" si="122"/>
        <v>1</v>
      </c>
      <c r="AG433">
        <f t="shared" si="123"/>
        <v>0</v>
      </c>
      <c r="AH433">
        <f t="shared" si="124"/>
        <v>1</v>
      </c>
      <c r="AI433">
        <f t="shared" si="125"/>
        <v>0</v>
      </c>
    </row>
    <row r="434" spans="1:35" x14ac:dyDescent="0.2">
      <c r="A434">
        <v>212</v>
      </c>
      <c r="B434" t="s">
        <v>749</v>
      </c>
      <c r="C434">
        <v>4</v>
      </c>
      <c r="D434" t="s">
        <v>1369</v>
      </c>
      <c r="E434" t="s">
        <v>18</v>
      </c>
      <c r="F434" t="s">
        <v>18</v>
      </c>
      <c r="G434" t="s">
        <v>18</v>
      </c>
      <c r="H434" t="s">
        <v>20</v>
      </c>
      <c r="I434">
        <v>4</v>
      </c>
      <c r="J434">
        <v>2</v>
      </c>
      <c r="K434" t="s">
        <v>1370</v>
      </c>
      <c r="L434" t="s">
        <v>79</v>
      </c>
      <c r="M434" t="s">
        <v>123</v>
      </c>
      <c r="N434" t="s">
        <v>36</v>
      </c>
      <c r="O434" t="s">
        <v>1371</v>
      </c>
      <c r="P434" t="s">
        <v>1372</v>
      </c>
      <c r="Q434">
        <f t="shared" si="108"/>
        <v>4</v>
      </c>
      <c r="R434">
        <f t="shared" si="109"/>
        <v>4</v>
      </c>
      <c r="S434">
        <f t="shared" si="110"/>
        <v>4</v>
      </c>
      <c r="T434">
        <f t="shared" si="111"/>
        <v>2</v>
      </c>
      <c r="V434">
        <f t="shared" si="112"/>
        <v>0</v>
      </c>
      <c r="W434">
        <f t="shared" si="113"/>
        <v>1</v>
      </c>
      <c r="X434">
        <f t="shared" si="114"/>
        <v>0</v>
      </c>
      <c r="Y434">
        <f t="shared" si="115"/>
        <v>0</v>
      </c>
      <c r="Z434">
        <f t="shared" si="116"/>
        <v>1</v>
      </c>
      <c r="AA434">
        <f t="shared" si="117"/>
        <v>0</v>
      </c>
      <c r="AB434">
        <f t="shared" si="118"/>
        <v>1</v>
      </c>
      <c r="AC434">
        <f t="shared" si="119"/>
        <v>1</v>
      </c>
      <c r="AD434">
        <f t="shared" si="120"/>
        <v>0</v>
      </c>
      <c r="AE434">
        <f t="shared" si="121"/>
        <v>0</v>
      </c>
      <c r="AF434">
        <f t="shared" si="122"/>
        <v>0</v>
      </c>
      <c r="AG434">
        <f t="shared" si="123"/>
        <v>0</v>
      </c>
      <c r="AH434">
        <f t="shared" si="124"/>
        <v>0</v>
      </c>
      <c r="AI434">
        <f t="shared" si="125"/>
        <v>1</v>
      </c>
    </row>
    <row r="435" spans="1:35" x14ac:dyDescent="0.2">
      <c r="A435">
        <v>213</v>
      </c>
      <c r="B435" t="s">
        <v>749</v>
      </c>
      <c r="C435">
        <v>5</v>
      </c>
      <c r="D435" t="s">
        <v>1373</v>
      </c>
      <c r="E435" t="s">
        <v>19</v>
      </c>
      <c r="F435" t="s">
        <v>20</v>
      </c>
      <c r="G435" t="s">
        <v>39</v>
      </c>
      <c r="H435" t="s">
        <v>20</v>
      </c>
      <c r="I435">
        <v>3</v>
      </c>
      <c r="J435">
        <v>2</v>
      </c>
      <c r="K435">
        <v>250</v>
      </c>
      <c r="L435" t="s">
        <v>443</v>
      </c>
      <c r="M435" t="s">
        <v>468</v>
      </c>
      <c r="N435" t="s">
        <v>36</v>
      </c>
      <c r="O435" t="s">
        <v>141</v>
      </c>
      <c r="P435" t="s">
        <v>1374</v>
      </c>
      <c r="Q435">
        <f t="shared" si="108"/>
        <v>3</v>
      </c>
      <c r="R435">
        <f t="shared" si="109"/>
        <v>2</v>
      </c>
      <c r="S435">
        <f t="shared" si="110"/>
        <v>5</v>
      </c>
      <c r="T435">
        <f t="shared" si="111"/>
        <v>2</v>
      </c>
      <c r="U435">
        <v>250</v>
      </c>
      <c r="V435">
        <f t="shared" si="112"/>
        <v>1</v>
      </c>
      <c r="W435">
        <f t="shared" si="113"/>
        <v>0</v>
      </c>
      <c r="X435">
        <f t="shared" si="114"/>
        <v>0</v>
      </c>
      <c r="Y435">
        <f t="shared" si="115"/>
        <v>1</v>
      </c>
      <c r="Z435">
        <f t="shared" si="116"/>
        <v>1</v>
      </c>
      <c r="AA435">
        <f t="shared" si="117"/>
        <v>1</v>
      </c>
      <c r="AB435">
        <f t="shared" si="118"/>
        <v>1</v>
      </c>
      <c r="AC435">
        <f t="shared" si="119"/>
        <v>1</v>
      </c>
      <c r="AD435">
        <f t="shared" si="120"/>
        <v>1</v>
      </c>
      <c r="AE435">
        <f t="shared" si="121"/>
        <v>1</v>
      </c>
      <c r="AF435">
        <f t="shared" si="122"/>
        <v>0</v>
      </c>
      <c r="AG435">
        <f t="shared" si="123"/>
        <v>0</v>
      </c>
      <c r="AH435">
        <f t="shared" si="124"/>
        <v>0</v>
      </c>
      <c r="AI435">
        <f t="shared" si="125"/>
        <v>1</v>
      </c>
    </row>
    <row r="436" spans="1:35" x14ac:dyDescent="0.2">
      <c r="A436">
        <v>214</v>
      </c>
      <c r="B436" t="s">
        <v>749</v>
      </c>
      <c r="C436">
        <v>9</v>
      </c>
      <c r="D436" t="s">
        <v>1375</v>
      </c>
      <c r="E436" t="s">
        <v>19</v>
      </c>
      <c r="F436" t="s">
        <v>18</v>
      </c>
      <c r="G436" t="s">
        <v>18</v>
      </c>
      <c r="H436" t="s">
        <v>19</v>
      </c>
      <c r="I436">
        <v>3</v>
      </c>
      <c r="J436">
        <v>5</v>
      </c>
      <c r="K436" t="s">
        <v>1376</v>
      </c>
      <c r="L436" t="s">
        <v>70</v>
      </c>
      <c r="M436" t="s">
        <v>23</v>
      </c>
      <c r="N436" t="s">
        <v>36</v>
      </c>
      <c r="O436" t="s">
        <v>1377</v>
      </c>
      <c r="P436" t="s">
        <v>1378</v>
      </c>
      <c r="Q436">
        <f t="shared" si="108"/>
        <v>3</v>
      </c>
      <c r="R436">
        <f t="shared" si="109"/>
        <v>4</v>
      </c>
      <c r="S436">
        <f t="shared" si="110"/>
        <v>4</v>
      </c>
      <c r="T436">
        <f t="shared" si="111"/>
        <v>3</v>
      </c>
      <c r="U436">
        <v>80000</v>
      </c>
      <c r="V436">
        <f t="shared" si="112"/>
        <v>0</v>
      </c>
      <c r="W436">
        <f t="shared" si="113"/>
        <v>0</v>
      </c>
      <c r="X436">
        <f t="shared" si="114"/>
        <v>0</v>
      </c>
      <c r="Y436">
        <f t="shared" si="115"/>
        <v>1</v>
      </c>
      <c r="Z436">
        <f t="shared" si="116"/>
        <v>0</v>
      </c>
      <c r="AA436">
        <f t="shared" si="117"/>
        <v>1</v>
      </c>
      <c r="AB436">
        <f t="shared" si="118"/>
        <v>0</v>
      </c>
      <c r="AC436">
        <f t="shared" si="119"/>
        <v>0</v>
      </c>
      <c r="AD436">
        <f t="shared" si="120"/>
        <v>0</v>
      </c>
      <c r="AE436">
        <f t="shared" si="121"/>
        <v>0</v>
      </c>
      <c r="AF436">
        <f t="shared" si="122"/>
        <v>0</v>
      </c>
      <c r="AG436">
        <f t="shared" si="123"/>
        <v>0</v>
      </c>
      <c r="AH436">
        <f t="shared" si="124"/>
        <v>0</v>
      </c>
      <c r="AI436">
        <f t="shared" si="125"/>
        <v>1</v>
      </c>
    </row>
    <row r="437" spans="1:35" x14ac:dyDescent="0.2">
      <c r="A437">
        <v>215</v>
      </c>
      <c r="B437" t="s">
        <v>749</v>
      </c>
      <c r="C437">
        <v>2</v>
      </c>
      <c r="D437" t="s">
        <v>1379</v>
      </c>
      <c r="E437" t="s">
        <v>20</v>
      </c>
      <c r="F437" t="s">
        <v>18</v>
      </c>
      <c r="G437" t="s">
        <v>18</v>
      </c>
      <c r="H437" t="s">
        <v>20</v>
      </c>
      <c r="I437">
        <v>3</v>
      </c>
      <c r="J437">
        <v>4</v>
      </c>
      <c r="K437">
        <v>500</v>
      </c>
      <c r="L437" t="s">
        <v>194</v>
      </c>
      <c r="M437" t="s">
        <v>161</v>
      </c>
      <c r="N437" t="s">
        <v>24</v>
      </c>
      <c r="O437" t="s">
        <v>1105</v>
      </c>
      <c r="P437" t="s">
        <v>1380</v>
      </c>
      <c r="Q437">
        <f t="shared" si="108"/>
        <v>2</v>
      </c>
      <c r="R437">
        <f t="shared" si="109"/>
        <v>4</v>
      </c>
      <c r="S437">
        <f t="shared" si="110"/>
        <v>4</v>
      </c>
      <c r="T437">
        <f t="shared" si="111"/>
        <v>2</v>
      </c>
      <c r="U437">
        <v>500</v>
      </c>
      <c r="V437">
        <f t="shared" si="112"/>
        <v>0</v>
      </c>
      <c r="W437">
        <f t="shared" si="113"/>
        <v>0</v>
      </c>
      <c r="X437">
        <f t="shared" si="114"/>
        <v>0</v>
      </c>
      <c r="Y437">
        <f t="shared" si="115"/>
        <v>1</v>
      </c>
      <c r="Z437">
        <f t="shared" si="116"/>
        <v>1</v>
      </c>
      <c r="AA437">
        <f t="shared" si="117"/>
        <v>1</v>
      </c>
      <c r="AB437">
        <f t="shared" si="118"/>
        <v>1</v>
      </c>
      <c r="AC437">
        <f t="shared" si="119"/>
        <v>1</v>
      </c>
      <c r="AD437">
        <f t="shared" si="120"/>
        <v>1</v>
      </c>
      <c r="AE437">
        <f t="shared" si="121"/>
        <v>0</v>
      </c>
      <c r="AF437">
        <f t="shared" si="122"/>
        <v>0</v>
      </c>
      <c r="AG437">
        <f t="shared" si="123"/>
        <v>0</v>
      </c>
      <c r="AH437">
        <f t="shared" si="124"/>
        <v>1</v>
      </c>
      <c r="AI437">
        <f t="shared" si="125"/>
        <v>0</v>
      </c>
    </row>
    <row r="438" spans="1:35" x14ac:dyDescent="0.2">
      <c r="A438">
        <v>216</v>
      </c>
      <c r="B438" t="s">
        <v>749</v>
      </c>
      <c r="C438">
        <v>10</v>
      </c>
      <c r="D438" t="s">
        <v>1381</v>
      </c>
      <c r="E438" t="s">
        <v>39</v>
      </c>
      <c r="F438" t="s">
        <v>39</v>
      </c>
      <c r="G438" t="s">
        <v>39</v>
      </c>
      <c r="H438" t="s">
        <v>18</v>
      </c>
      <c r="I438">
        <v>3</v>
      </c>
      <c r="J438">
        <v>2</v>
      </c>
      <c r="K438">
        <v>200</v>
      </c>
      <c r="L438" t="s">
        <v>70</v>
      </c>
      <c r="M438" t="s">
        <v>135</v>
      </c>
      <c r="N438" t="s">
        <v>36</v>
      </c>
      <c r="O438" t="s">
        <v>1382</v>
      </c>
      <c r="P438" t="s">
        <v>1383</v>
      </c>
      <c r="Q438">
        <f t="shared" si="108"/>
        <v>5</v>
      </c>
      <c r="R438">
        <f t="shared" si="109"/>
        <v>5</v>
      </c>
      <c r="S438">
        <f t="shared" si="110"/>
        <v>5</v>
      </c>
      <c r="T438">
        <f t="shared" si="111"/>
        <v>4</v>
      </c>
      <c r="U438">
        <v>200</v>
      </c>
      <c r="V438">
        <f t="shared" si="112"/>
        <v>0</v>
      </c>
      <c r="W438">
        <f t="shared" si="113"/>
        <v>0</v>
      </c>
      <c r="X438">
        <f t="shared" si="114"/>
        <v>0</v>
      </c>
      <c r="Y438">
        <f t="shared" si="115"/>
        <v>1</v>
      </c>
      <c r="Z438">
        <f t="shared" si="116"/>
        <v>0</v>
      </c>
      <c r="AA438">
        <f t="shared" si="117"/>
        <v>1</v>
      </c>
      <c r="AB438">
        <f t="shared" si="118"/>
        <v>1</v>
      </c>
      <c r="AC438">
        <f t="shared" si="119"/>
        <v>0</v>
      </c>
      <c r="AD438">
        <f t="shared" si="120"/>
        <v>0</v>
      </c>
      <c r="AE438">
        <f t="shared" si="121"/>
        <v>0</v>
      </c>
      <c r="AF438">
        <f t="shared" si="122"/>
        <v>0</v>
      </c>
      <c r="AG438">
        <f t="shared" si="123"/>
        <v>0</v>
      </c>
      <c r="AH438">
        <f t="shared" si="124"/>
        <v>0</v>
      </c>
      <c r="AI438">
        <f t="shared" si="125"/>
        <v>1</v>
      </c>
    </row>
    <row r="439" spans="1:35" x14ac:dyDescent="0.2">
      <c r="A439">
        <v>217</v>
      </c>
      <c r="B439" t="s">
        <v>749</v>
      </c>
      <c r="C439">
        <v>9</v>
      </c>
      <c r="D439" t="s">
        <v>1384</v>
      </c>
      <c r="E439" t="s">
        <v>20</v>
      </c>
      <c r="F439" t="s">
        <v>18</v>
      </c>
      <c r="G439" t="s">
        <v>19</v>
      </c>
      <c r="H439" t="s">
        <v>21</v>
      </c>
      <c r="I439">
        <v>3</v>
      </c>
      <c r="J439">
        <v>4</v>
      </c>
      <c r="K439">
        <v>100</v>
      </c>
      <c r="L439" t="s">
        <v>601</v>
      </c>
      <c r="M439" t="s">
        <v>48</v>
      </c>
      <c r="N439" t="s">
        <v>847</v>
      </c>
      <c r="O439" t="s">
        <v>1385</v>
      </c>
      <c r="P439" t="s">
        <v>1386</v>
      </c>
      <c r="Q439">
        <f t="shared" si="108"/>
        <v>2</v>
      </c>
      <c r="R439">
        <f t="shared" si="109"/>
        <v>4</v>
      </c>
      <c r="S439">
        <f t="shared" si="110"/>
        <v>3</v>
      </c>
      <c r="T439">
        <f t="shared" si="111"/>
        <v>1</v>
      </c>
      <c r="U439">
        <v>100</v>
      </c>
      <c r="V439">
        <f t="shared" si="112"/>
        <v>0</v>
      </c>
      <c r="W439">
        <f t="shared" si="113"/>
        <v>1</v>
      </c>
      <c r="X439">
        <f t="shared" si="114"/>
        <v>0</v>
      </c>
      <c r="Y439">
        <f t="shared" si="115"/>
        <v>1</v>
      </c>
      <c r="Z439">
        <f t="shared" si="116"/>
        <v>1</v>
      </c>
      <c r="AA439">
        <f t="shared" si="117"/>
        <v>1</v>
      </c>
      <c r="AB439">
        <f t="shared" si="118"/>
        <v>1</v>
      </c>
      <c r="AC439">
        <f t="shared" si="119"/>
        <v>1</v>
      </c>
      <c r="AD439">
        <f t="shared" si="120"/>
        <v>0</v>
      </c>
      <c r="AE439">
        <f t="shared" si="121"/>
        <v>0</v>
      </c>
      <c r="AF439">
        <f t="shared" si="122"/>
        <v>1</v>
      </c>
      <c r="AG439">
        <f t="shared" si="123"/>
        <v>0</v>
      </c>
      <c r="AH439">
        <f t="shared" si="124"/>
        <v>0</v>
      </c>
      <c r="AI439">
        <f t="shared" si="125"/>
        <v>1</v>
      </c>
    </row>
    <row r="440" spans="1:35" ht="356" x14ac:dyDescent="0.2">
      <c r="A440">
        <v>218</v>
      </c>
      <c r="B440" t="s">
        <v>749</v>
      </c>
      <c r="C440">
        <v>6</v>
      </c>
      <c r="D440" t="s">
        <v>1387</v>
      </c>
      <c r="E440" t="s">
        <v>20</v>
      </c>
      <c r="F440" t="s">
        <v>18</v>
      </c>
      <c r="G440" t="s">
        <v>18</v>
      </c>
      <c r="H440" t="s">
        <v>21</v>
      </c>
      <c r="I440">
        <v>3</v>
      </c>
      <c r="J440">
        <v>2</v>
      </c>
      <c r="K440">
        <v>1000</v>
      </c>
      <c r="L440" t="s">
        <v>70</v>
      </c>
      <c r="M440" t="s">
        <v>280</v>
      </c>
      <c r="N440" t="s">
        <v>84</v>
      </c>
      <c r="O440" t="s">
        <v>1388</v>
      </c>
      <c r="P440" s="3" t="s">
        <v>1389</v>
      </c>
      <c r="Q440">
        <f t="shared" si="108"/>
        <v>2</v>
      </c>
      <c r="R440">
        <f t="shared" si="109"/>
        <v>4</v>
      </c>
      <c r="S440">
        <f t="shared" si="110"/>
        <v>4</v>
      </c>
      <c r="T440">
        <f t="shared" si="111"/>
        <v>1</v>
      </c>
      <c r="U440">
        <v>1000</v>
      </c>
      <c r="V440">
        <f t="shared" si="112"/>
        <v>0</v>
      </c>
      <c r="W440">
        <f t="shared" si="113"/>
        <v>0</v>
      </c>
      <c r="X440">
        <f t="shared" si="114"/>
        <v>0</v>
      </c>
      <c r="Y440">
        <f t="shared" si="115"/>
        <v>1</v>
      </c>
      <c r="Z440">
        <f t="shared" si="116"/>
        <v>0</v>
      </c>
      <c r="AA440">
        <f t="shared" si="117"/>
        <v>0</v>
      </c>
      <c r="AB440">
        <f t="shared" si="118"/>
        <v>1</v>
      </c>
      <c r="AC440">
        <f t="shared" si="119"/>
        <v>1</v>
      </c>
      <c r="AD440">
        <f t="shared" si="120"/>
        <v>1</v>
      </c>
      <c r="AE440">
        <f t="shared" si="121"/>
        <v>0</v>
      </c>
      <c r="AF440">
        <f t="shared" si="122"/>
        <v>0</v>
      </c>
      <c r="AG440">
        <f t="shared" si="123"/>
        <v>1</v>
      </c>
      <c r="AH440">
        <f t="shared" si="124"/>
        <v>0</v>
      </c>
      <c r="AI440">
        <f t="shared" si="125"/>
        <v>0</v>
      </c>
    </row>
    <row r="441" spans="1:35" x14ac:dyDescent="0.2">
      <c r="A441">
        <v>219</v>
      </c>
      <c r="B441" t="s">
        <v>749</v>
      </c>
      <c r="C441">
        <v>10</v>
      </c>
      <c r="D441" t="s">
        <v>1390</v>
      </c>
      <c r="E441" t="s">
        <v>20</v>
      </c>
      <c r="F441" t="s">
        <v>18</v>
      </c>
      <c r="G441" t="s">
        <v>19</v>
      </c>
      <c r="H441" t="s">
        <v>20</v>
      </c>
      <c r="I441">
        <v>5</v>
      </c>
      <c r="J441">
        <v>2</v>
      </c>
      <c r="K441">
        <v>875000000</v>
      </c>
      <c r="L441" t="s">
        <v>70</v>
      </c>
      <c r="M441" t="s">
        <v>123</v>
      </c>
      <c r="N441" t="s">
        <v>36</v>
      </c>
      <c r="O441" t="s">
        <v>368</v>
      </c>
      <c r="P441" t="s">
        <v>1391</v>
      </c>
      <c r="Q441">
        <f t="shared" si="108"/>
        <v>2</v>
      </c>
      <c r="R441">
        <f t="shared" si="109"/>
        <v>4</v>
      </c>
      <c r="S441">
        <f t="shared" si="110"/>
        <v>3</v>
      </c>
      <c r="T441">
        <f t="shared" si="111"/>
        <v>2</v>
      </c>
      <c r="U441">
        <v>875000000</v>
      </c>
      <c r="V441">
        <f t="shared" si="112"/>
        <v>0</v>
      </c>
      <c r="W441">
        <f t="shared" si="113"/>
        <v>0</v>
      </c>
      <c r="X441">
        <f t="shared" si="114"/>
        <v>0</v>
      </c>
      <c r="Y441">
        <f t="shared" si="115"/>
        <v>1</v>
      </c>
      <c r="Z441">
        <f t="shared" si="116"/>
        <v>0</v>
      </c>
      <c r="AA441">
        <f t="shared" si="117"/>
        <v>0</v>
      </c>
      <c r="AB441">
        <f t="shared" si="118"/>
        <v>1</v>
      </c>
      <c r="AC441">
        <f t="shared" si="119"/>
        <v>1</v>
      </c>
      <c r="AD441">
        <f t="shared" si="120"/>
        <v>0</v>
      </c>
      <c r="AE441">
        <f t="shared" si="121"/>
        <v>0</v>
      </c>
      <c r="AF441">
        <f t="shared" si="122"/>
        <v>0</v>
      </c>
      <c r="AG441">
        <f t="shared" si="123"/>
        <v>0</v>
      </c>
      <c r="AH441">
        <f t="shared" si="124"/>
        <v>0</v>
      </c>
      <c r="AI441">
        <f t="shared" si="125"/>
        <v>1</v>
      </c>
    </row>
    <row r="442" spans="1:35" x14ac:dyDescent="0.2">
      <c r="A442">
        <v>220</v>
      </c>
      <c r="B442" t="s">
        <v>749</v>
      </c>
      <c r="C442">
        <v>7</v>
      </c>
      <c r="D442" t="s">
        <v>1392</v>
      </c>
      <c r="E442" t="s">
        <v>19</v>
      </c>
      <c r="F442" t="s">
        <v>20</v>
      </c>
      <c r="G442" t="s">
        <v>39</v>
      </c>
      <c r="H442" t="s">
        <v>21</v>
      </c>
      <c r="I442">
        <v>4</v>
      </c>
      <c r="J442">
        <v>3</v>
      </c>
      <c r="K442">
        <v>10000</v>
      </c>
      <c r="L442" t="s">
        <v>70</v>
      </c>
      <c r="M442" t="s">
        <v>123</v>
      </c>
      <c r="N442" t="s">
        <v>84</v>
      </c>
      <c r="O442" t="s">
        <v>1393</v>
      </c>
      <c r="P442" t="s">
        <v>1394</v>
      </c>
      <c r="Q442">
        <f t="shared" si="108"/>
        <v>3</v>
      </c>
      <c r="R442">
        <f t="shared" si="109"/>
        <v>2</v>
      </c>
      <c r="S442">
        <f t="shared" si="110"/>
        <v>5</v>
      </c>
      <c r="T442">
        <f t="shared" si="111"/>
        <v>1</v>
      </c>
      <c r="U442">
        <v>10000</v>
      </c>
      <c r="V442">
        <f t="shared" si="112"/>
        <v>0</v>
      </c>
      <c r="W442">
        <f t="shared" si="113"/>
        <v>0</v>
      </c>
      <c r="X442">
        <f t="shared" si="114"/>
        <v>0</v>
      </c>
      <c r="Y442">
        <f t="shared" si="115"/>
        <v>1</v>
      </c>
      <c r="Z442">
        <f t="shared" si="116"/>
        <v>0</v>
      </c>
      <c r="AA442">
        <f t="shared" si="117"/>
        <v>0</v>
      </c>
      <c r="AB442">
        <f t="shared" si="118"/>
        <v>1</v>
      </c>
      <c r="AC442">
        <f t="shared" si="119"/>
        <v>1</v>
      </c>
      <c r="AD442">
        <f t="shared" si="120"/>
        <v>0</v>
      </c>
      <c r="AE442">
        <f t="shared" si="121"/>
        <v>0</v>
      </c>
      <c r="AF442">
        <f t="shared" si="122"/>
        <v>0</v>
      </c>
      <c r="AG442">
        <f t="shared" si="123"/>
        <v>1</v>
      </c>
      <c r="AH442">
        <f t="shared" si="124"/>
        <v>0</v>
      </c>
      <c r="AI442">
        <f t="shared" si="125"/>
        <v>0</v>
      </c>
    </row>
    <row r="443" spans="1:35" x14ac:dyDescent="0.2">
      <c r="A443">
        <v>221</v>
      </c>
      <c r="B443" t="s">
        <v>749</v>
      </c>
      <c r="C443">
        <v>2</v>
      </c>
      <c r="D443" t="s">
        <v>1395</v>
      </c>
      <c r="E443" t="s">
        <v>19</v>
      </c>
      <c r="F443" t="s">
        <v>20</v>
      </c>
      <c r="G443" t="s">
        <v>19</v>
      </c>
      <c r="H443" t="s">
        <v>20</v>
      </c>
      <c r="I443">
        <v>3</v>
      </c>
      <c r="J443">
        <v>4</v>
      </c>
      <c r="K443">
        <v>2000</v>
      </c>
      <c r="L443" t="s">
        <v>435</v>
      </c>
      <c r="M443" t="s">
        <v>135</v>
      </c>
      <c r="N443" t="s">
        <v>36</v>
      </c>
      <c r="O443" t="s">
        <v>1396</v>
      </c>
      <c r="P443" t="s">
        <v>1397</v>
      </c>
      <c r="Q443">
        <f t="shared" si="108"/>
        <v>3</v>
      </c>
      <c r="R443">
        <f t="shared" si="109"/>
        <v>2</v>
      </c>
      <c r="S443">
        <f t="shared" si="110"/>
        <v>3</v>
      </c>
      <c r="T443">
        <f t="shared" si="111"/>
        <v>2</v>
      </c>
      <c r="U443">
        <v>2000</v>
      </c>
      <c r="V443">
        <f t="shared" si="112"/>
        <v>1</v>
      </c>
      <c r="W443">
        <f t="shared" si="113"/>
        <v>0</v>
      </c>
      <c r="X443">
        <f t="shared" si="114"/>
        <v>0</v>
      </c>
      <c r="Y443">
        <f t="shared" si="115"/>
        <v>0</v>
      </c>
      <c r="Z443">
        <f t="shared" si="116"/>
        <v>1</v>
      </c>
      <c r="AA443">
        <f t="shared" si="117"/>
        <v>1</v>
      </c>
      <c r="AB443">
        <f t="shared" si="118"/>
        <v>1</v>
      </c>
      <c r="AC443">
        <f t="shared" si="119"/>
        <v>0</v>
      </c>
      <c r="AD443">
        <f t="shared" si="120"/>
        <v>0</v>
      </c>
      <c r="AE443">
        <f t="shared" si="121"/>
        <v>0</v>
      </c>
      <c r="AF443">
        <f t="shared" si="122"/>
        <v>0</v>
      </c>
      <c r="AG443">
        <f t="shared" si="123"/>
        <v>0</v>
      </c>
      <c r="AH443">
        <f t="shared" si="124"/>
        <v>0</v>
      </c>
      <c r="AI443">
        <f t="shared" si="125"/>
        <v>1</v>
      </c>
    </row>
    <row r="444" spans="1:35" x14ac:dyDescent="0.2">
      <c r="A444">
        <v>1</v>
      </c>
      <c r="B444" t="s">
        <v>1398</v>
      </c>
      <c r="E444" t="s">
        <v>20</v>
      </c>
      <c r="F444" t="s">
        <v>39</v>
      </c>
      <c r="G444" t="s">
        <v>39</v>
      </c>
      <c r="H444" t="s">
        <v>21</v>
      </c>
      <c r="P444" t="s">
        <v>1399</v>
      </c>
      <c r="Q444">
        <f t="shared" si="108"/>
        <v>2</v>
      </c>
      <c r="R444">
        <f t="shared" si="109"/>
        <v>5</v>
      </c>
      <c r="S444">
        <f t="shared" si="110"/>
        <v>5</v>
      </c>
      <c r="T444">
        <f t="shared" si="111"/>
        <v>1</v>
      </c>
      <c r="V444">
        <f t="shared" si="112"/>
        <v>0</v>
      </c>
      <c r="W444">
        <f t="shared" si="113"/>
        <v>0</v>
      </c>
      <c r="X444">
        <f t="shared" si="114"/>
        <v>0</v>
      </c>
      <c r="Y444">
        <f t="shared" si="115"/>
        <v>0</v>
      </c>
      <c r="Z444">
        <f t="shared" si="116"/>
        <v>0</v>
      </c>
      <c r="AA444">
        <f t="shared" si="117"/>
        <v>0</v>
      </c>
      <c r="AB444">
        <f t="shared" si="118"/>
        <v>0</v>
      </c>
      <c r="AC444">
        <f t="shared" si="119"/>
        <v>0</v>
      </c>
      <c r="AD444">
        <f t="shared" si="120"/>
        <v>0</v>
      </c>
      <c r="AE444">
        <f t="shared" si="121"/>
        <v>0</v>
      </c>
      <c r="AF444">
        <f t="shared" si="122"/>
        <v>0</v>
      </c>
      <c r="AG444">
        <f t="shared" si="123"/>
        <v>0</v>
      </c>
      <c r="AH444">
        <f t="shared" si="124"/>
        <v>0</v>
      </c>
      <c r="AI444">
        <f t="shared" si="125"/>
        <v>0</v>
      </c>
    </row>
    <row r="445" spans="1:35" x14ac:dyDescent="0.2">
      <c r="A445">
        <v>2</v>
      </c>
      <c r="B445" t="s">
        <v>1398</v>
      </c>
      <c r="Q445" t="str">
        <f t="shared" si="108"/>
        <v/>
      </c>
      <c r="R445" t="str">
        <f t="shared" si="109"/>
        <v/>
      </c>
      <c r="S445" t="str">
        <f t="shared" si="110"/>
        <v/>
      </c>
      <c r="T445" t="str">
        <f t="shared" si="111"/>
        <v/>
      </c>
      <c r="V445">
        <f t="shared" si="112"/>
        <v>0</v>
      </c>
      <c r="W445">
        <f t="shared" si="113"/>
        <v>0</v>
      </c>
      <c r="X445">
        <f t="shared" si="114"/>
        <v>0</v>
      </c>
      <c r="Y445">
        <f t="shared" si="115"/>
        <v>0</v>
      </c>
      <c r="Z445">
        <f t="shared" si="116"/>
        <v>0</v>
      </c>
      <c r="AA445">
        <f t="shared" si="117"/>
        <v>0</v>
      </c>
      <c r="AB445">
        <f t="shared" si="118"/>
        <v>0</v>
      </c>
      <c r="AC445">
        <f t="shared" si="119"/>
        <v>0</v>
      </c>
      <c r="AD445">
        <f t="shared" si="120"/>
        <v>0</v>
      </c>
      <c r="AE445">
        <f t="shared" si="121"/>
        <v>0</v>
      </c>
      <c r="AF445">
        <f t="shared" si="122"/>
        <v>0</v>
      </c>
      <c r="AG445">
        <f t="shared" si="123"/>
        <v>0</v>
      </c>
      <c r="AH445">
        <f t="shared" si="124"/>
        <v>0</v>
      </c>
      <c r="AI445">
        <f t="shared" si="125"/>
        <v>0</v>
      </c>
    </row>
    <row r="446" spans="1:35" x14ac:dyDescent="0.2">
      <c r="A446">
        <v>3</v>
      </c>
      <c r="B446" t="s">
        <v>1398</v>
      </c>
      <c r="C446">
        <v>7</v>
      </c>
      <c r="D446" t="s">
        <v>1400</v>
      </c>
      <c r="E446" t="s">
        <v>21</v>
      </c>
      <c r="F446" t="s">
        <v>39</v>
      </c>
      <c r="G446" t="s">
        <v>39</v>
      </c>
      <c r="H446" t="s">
        <v>21</v>
      </c>
      <c r="I446">
        <v>3</v>
      </c>
      <c r="J446">
        <v>1</v>
      </c>
      <c r="K446" s="1">
        <v>20</v>
      </c>
      <c r="Q446">
        <f t="shared" si="108"/>
        <v>1</v>
      </c>
      <c r="R446">
        <f t="shared" si="109"/>
        <v>5</v>
      </c>
      <c r="S446">
        <f t="shared" si="110"/>
        <v>5</v>
      </c>
      <c r="T446">
        <f t="shared" si="111"/>
        <v>1</v>
      </c>
      <c r="U446">
        <v>20</v>
      </c>
      <c r="V446">
        <f t="shared" si="112"/>
        <v>0</v>
      </c>
      <c r="W446">
        <f t="shared" si="113"/>
        <v>0</v>
      </c>
      <c r="X446">
        <f t="shared" si="114"/>
        <v>0</v>
      </c>
      <c r="Y446">
        <f t="shared" si="115"/>
        <v>0</v>
      </c>
      <c r="Z446">
        <f t="shared" si="116"/>
        <v>0</v>
      </c>
      <c r="AA446">
        <f t="shared" si="117"/>
        <v>0</v>
      </c>
      <c r="AB446">
        <f t="shared" si="118"/>
        <v>0</v>
      </c>
      <c r="AC446">
        <f t="shared" si="119"/>
        <v>0</v>
      </c>
      <c r="AD446">
        <f t="shared" si="120"/>
        <v>0</v>
      </c>
      <c r="AE446">
        <f t="shared" si="121"/>
        <v>0</v>
      </c>
      <c r="AF446">
        <f t="shared" si="122"/>
        <v>0</v>
      </c>
      <c r="AG446">
        <f t="shared" si="123"/>
        <v>0</v>
      </c>
      <c r="AH446">
        <f t="shared" si="124"/>
        <v>0</v>
      </c>
      <c r="AI446">
        <f t="shared" si="125"/>
        <v>0</v>
      </c>
    </row>
    <row r="447" spans="1:35" x14ac:dyDescent="0.2">
      <c r="A447">
        <v>4</v>
      </c>
      <c r="B447" t="s">
        <v>1398</v>
      </c>
      <c r="Q447" t="str">
        <f t="shared" si="108"/>
        <v/>
      </c>
      <c r="R447" t="str">
        <f t="shared" si="109"/>
        <v/>
      </c>
      <c r="S447" t="str">
        <f t="shared" si="110"/>
        <v/>
      </c>
      <c r="T447" t="str">
        <f t="shared" si="111"/>
        <v/>
      </c>
      <c r="V447">
        <f t="shared" si="112"/>
        <v>0</v>
      </c>
      <c r="W447">
        <f t="shared" si="113"/>
        <v>0</v>
      </c>
      <c r="X447">
        <f t="shared" si="114"/>
        <v>0</v>
      </c>
      <c r="Y447">
        <f t="shared" si="115"/>
        <v>0</v>
      </c>
      <c r="Z447">
        <f t="shared" si="116"/>
        <v>0</v>
      </c>
      <c r="AA447">
        <f t="shared" si="117"/>
        <v>0</v>
      </c>
      <c r="AB447">
        <f t="shared" si="118"/>
        <v>0</v>
      </c>
      <c r="AC447">
        <f t="shared" si="119"/>
        <v>0</v>
      </c>
      <c r="AD447">
        <f t="shared" si="120"/>
        <v>0</v>
      </c>
      <c r="AE447">
        <f t="shared" si="121"/>
        <v>0</v>
      </c>
      <c r="AF447">
        <f t="shared" si="122"/>
        <v>0</v>
      </c>
      <c r="AG447">
        <f t="shared" si="123"/>
        <v>0</v>
      </c>
      <c r="AH447">
        <f t="shared" si="124"/>
        <v>0</v>
      </c>
      <c r="AI447">
        <f t="shared" si="125"/>
        <v>0</v>
      </c>
    </row>
    <row r="448" spans="1:35" x14ac:dyDescent="0.2">
      <c r="A448">
        <v>5</v>
      </c>
      <c r="B448" t="s">
        <v>1398</v>
      </c>
      <c r="C448">
        <v>5</v>
      </c>
      <c r="D448" t="s">
        <v>1401</v>
      </c>
      <c r="E448" t="s">
        <v>21</v>
      </c>
      <c r="F448" t="s">
        <v>18</v>
      </c>
      <c r="G448" t="s">
        <v>18</v>
      </c>
      <c r="H448" t="s">
        <v>21</v>
      </c>
      <c r="I448">
        <v>4</v>
      </c>
      <c r="J448">
        <v>2</v>
      </c>
      <c r="K448">
        <v>100</v>
      </c>
      <c r="L448" t="s">
        <v>601</v>
      </c>
      <c r="M448" t="s">
        <v>23</v>
      </c>
      <c r="N448" t="s">
        <v>43</v>
      </c>
      <c r="O448" t="s">
        <v>1402</v>
      </c>
      <c r="P448" t="s">
        <v>1403</v>
      </c>
      <c r="Q448">
        <f t="shared" si="108"/>
        <v>1</v>
      </c>
      <c r="R448">
        <f t="shared" si="109"/>
        <v>4</v>
      </c>
      <c r="S448">
        <f t="shared" si="110"/>
        <v>4</v>
      </c>
      <c r="T448">
        <f t="shared" si="111"/>
        <v>1</v>
      </c>
      <c r="U448">
        <v>100</v>
      </c>
      <c r="V448">
        <f t="shared" si="112"/>
        <v>0</v>
      </c>
      <c r="W448">
        <f t="shared" si="113"/>
        <v>1</v>
      </c>
      <c r="X448">
        <f t="shared" si="114"/>
        <v>0</v>
      </c>
      <c r="Y448">
        <f t="shared" si="115"/>
        <v>1</v>
      </c>
      <c r="Z448">
        <f t="shared" si="116"/>
        <v>1</v>
      </c>
      <c r="AA448">
        <f t="shared" si="117"/>
        <v>1</v>
      </c>
      <c r="AB448">
        <f t="shared" si="118"/>
        <v>0</v>
      </c>
      <c r="AC448">
        <f t="shared" si="119"/>
        <v>0</v>
      </c>
      <c r="AD448">
        <f t="shared" si="120"/>
        <v>0</v>
      </c>
      <c r="AE448">
        <f t="shared" si="121"/>
        <v>0</v>
      </c>
      <c r="AF448">
        <f t="shared" si="122"/>
        <v>1</v>
      </c>
      <c r="AG448">
        <f t="shared" si="123"/>
        <v>1</v>
      </c>
      <c r="AH448">
        <f t="shared" si="124"/>
        <v>0</v>
      </c>
      <c r="AI448">
        <f t="shared" si="125"/>
        <v>0</v>
      </c>
    </row>
    <row r="449" spans="1:35" x14ac:dyDescent="0.2">
      <c r="A449">
        <v>6</v>
      </c>
      <c r="B449" t="s">
        <v>1398</v>
      </c>
      <c r="C449">
        <v>4</v>
      </c>
      <c r="D449" t="s">
        <v>1404</v>
      </c>
      <c r="E449" t="s">
        <v>21</v>
      </c>
      <c r="F449" t="s">
        <v>18</v>
      </c>
      <c r="G449" t="s">
        <v>39</v>
      </c>
      <c r="H449" t="s">
        <v>21</v>
      </c>
      <c r="I449">
        <v>2</v>
      </c>
      <c r="J449">
        <v>3</v>
      </c>
      <c r="K449">
        <v>60000</v>
      </c>
      <c r="L449" t="s">
        <v>34</v>
      </c>
      <c r="M449" t="s">
        <v>123</v>
      </c>
      <c r="N449" t="s">
        <v>215</v>
      </c>
      <c r="O449" t="s">
        <v>1405</v>
      </c>
      <c r="P449" t="s">
        <v>1406</v>
      </c>
      <c r="Q449">
        <f t="shared" si="108"/>
        <v>1</v>
      </c>
      <c r="R449">
        <f t="shared" si="109"/>
        <v>4</v>
      </c>
      <c r="S449">
        <f t="shared" si="110"/>
        <v>5</v>
      </c>
      <c r="T449">
        <f t="shared" si="111"/>
        <v>1</v>
      </c>
      <c r="U449">
        <v>60000</v>
      </c>
      <c r="V449">
        <f t="shared" si="112"/>
        <v>1</v>
      </c>
      <c r="W449">
        <f t="shared" si="113"/>
        <v>0</v>
      </c>
      <c r="X449">
        <f t="shared" si="114"/>
        <v>0</v>
      </c>
      <c r="Y449">
        <f t="shared" si="115"/>
        <v>1</v>
      </c>
      <c r="Z449">
        <f t="shared" si="116"/>
        <v>0</v>
      </c>
      <c r="AA449">
        <f t="shared" si="117"/>
        <v>0</v>
      </c>
      <c r="AB449">
        <f t="shared" si="118"/>
        <v>1</v>
      </c>
      <c r="AC449">
        <f t="shared" si="119"/>
        <v>1</v>
      </c>
      <c r="AD449">
        <f t="shared" si="120"/>
        <v>0</v>
      </c>
      <c r="AE449">
        <f t="shared" si="121"/>
        <v>0</v>
      </c>
      <c r="AF449">
        <f t="shared" si="122"/>
        <v>1</v>
      </c>
      <c r="AG449">
        <f t="shared" si="123"/>
        <v>0</v>
      </c>
      <c r="AH449">
        <f t="shared" si="124"/>
        <v>0</v>
      </c>
      <c r="AI449">
        <f t="shared" si="125"/>
        <v>0</v>
      </c>
    </row>
    <row r="450" spans="1:35" x14ac:dyDescent="0.2">
      <c r="A450">
        <v>7</v>
      </c>
      <c r="B450" t="s">
        <v>1398</v>
      </c>
      <c r="C450">
        <v>6</v>
      </c>
      <c r="D450" t="s">
        <v>1407</v>
      </c>
      <c r="E450" t="s">
        <v>21</v>
      </c>
      <c r="F450" t="s">
        <v>18</v>
      </c>
      <c r="G450" t="s">
        <v>18</v>
      </c>
      <c r="H450" t="s">
        <v>21</v>
      </c>
      <c r="I450">
        <v>3</v>
      </c>
      <c r="J450">
        <v>1</v>
      </c>
      <c r="K450">
        <v>100</v>
      </c>
      <c r="L450" t="s">
        <v>70</v>
      </c>
      <c r="M450" t="s">
        <v>123</v>
      </c>
      <c r="N450" t="s">
        <v>215</v>
      </c>
      <c r="O450" t="s">
        <v>1291</v>
      </c>
      <c r="P450" t="s">
        <v>1408</v>
      </c>
      <c r="Q450">
        <f t="shared" si="108"/>
        <v>1</v>
      </c>
      <c r="R450">
        <f t="shared" si="109"/>
        <v>4</v>
      </c>
      <c r="S450">
        <f t="shared" si="110"/>
        <v>4</v>
      </c>
      <c r="T450">
        <f t="shared" si="111"/>
        <v>1</v>
      </c>
      <c r="U450">
        <v>100</v>
      </c>
      <c r="V450">
        <f t="shared" si="112"/>
        <v>0</v>
      </c>
      <c r="W450">
        <f t="shared" si="113"/>
        <v>0</v>
      </c>
      <c r="X450">
        <f t="shared" si="114"/>
        <v>0</v>
      </c>
      <c r="Y450">
        <f t="shared" si="115"/>
        <v>1</v>
      </c>
      <c r="Z450">
        <f t="shared" si="116"/>
        <v>0</v>
      </c>
      <c r="AA450">
        <f t="shared" si="117"/>
        <v>0</v>
      </c>
      <c r="AB450">
        <f t="shared" si="118"/>
        <v>1</v>
      </c>
      <c r="AC450">
        <f t="shared" si="119"/>
        <v>1</v>
      </c>
      <c r="AD450">
        <f t="shared" si="120"/>
        <v>0</v>
      </c>
      <c r="AE450">
        <f t="shared" si="121"/>
        <v>0</v>
      </c>
      <c r="AF450">
        <f t="shared" si="122"/>
        <v>1</v>
      </c>
      <c r="AG450">
        <f t="shared" si="123"/>
        <v>0</v>
      </c>
      <c r="AH450">
        <f t="shared" si="124"/>
        <v>0</v>
      </c>
      <c r="AI450">
        <f t="shared" si="125"/>
        <v>0</v>
      </c>
    </row>
    <row r="451" spans="1:35" x14ac:dyDescent="0.2">
      <c r="A451">
        <v>8</v>
      </c>
      <c r="B451" t="s">
        <v>1398</v>
      </c>
      <c r="C451">
        <v>2</v>
      </c>
      <c r="D451" t="s">
        <v>1409</v>
      </c>
      <c r="E451" t="s">
        <v>20</v>
      </c>
      <c r="F451" t="s">
        <v>18</v>
      </c>
      <c r="G451" t="s">
        <v>18</v>
      </c>
      <c r="H451" t="s">
        <v>21</v>
      </c>
      <c r="I451">
        <v>3</v>
      </c>
      <c r="J451">
        <v>5</v>
      </c>
      <c r="K451">
        <v>200</v>
      </c>
      <c r="L451" t="s">
        <v>41</v>
      </c>
      <c r="M451" t="s">
        <v>23</v>
      </c>
      <c r="N451" t="s">
        <v>215</v>
      </c>
      <c r="O451" t="s">
        <v>1410</v>
      </c>
      <c r="P451" t="s">
        <v>1411</v>
      </c>
      <c r="Q451">
        <f t="shared" ref="Q451:Q514" si="126">IF(E451="", "", LEFT(E451, 1) * 1)</f>
        <v>2</v>
      </c>
      <c r="R451">
        <f t="shared" ref="R451:R514" si="127">IF(F451="","",VALUE(LEFT(F451,FIND(" ",F451)-1)))</f>
        <v>4</v>
      </c>
      <c r="S451">
        <f t="shared" ref="S451:S514" si="128">IF(G451="","",VALUE(LEFT(G451,FIND(" ",G451)-1)))</f>
        <v>4</v>
      </c>
      <c r="T451">
        <f t="shared" ref="T451:T514" si="129">IF(H451="","",VALUE(LEFT(H451,FIND(" ",H451)-1)))</f>
        <v>1</v>
      </c>
      <c r="U451">
        <v>200</v>
      </c>
      <c r="V451">
        <f t="shared" ref="V451:V514" si="130">IF(L451="",0,IF(ISNUMBER(SEARCH("Bathroom",L451)),1,0))</f>
        <v>0</v>
      </c>
      <c r="W451">
        <f t="shared" ref="W451:W514" si="131">IF(L451="",0,IF(ISNUMBER(SEARCH("Dining room",L451)),1,0))</f>
        <v>0</v>
      </c>
      <c r="X451">
        <f t="shared" ref="X451:X514" si="132">IF(L451="",0,IF(ISNUMBER(SEARCH("Office",L451)),1,0))</f>
        <v>0</v>
      </c>
      <c r="Y451">
        <f t="shared" ref="Y451:Y514" si="133">IF(L451="",0,IF(ISNUMBER(SEARCH("Bedroom",L451)),1,0))</f>
        <v>0</v>
      </c>
      <c r="Z451">
        <f t="shared" ref="Z451:Z514" si="134">IF(L451="",0,IF(ISNUMBER(SEARCH("Living room",L451)),1,0))</f>
        <v>1</v>
      </c>
      <c r="AA451">
        <f t="shared" ref="AA451:AA514" si="135">IF(M451="",0, IF(ISNUMBER(SEARCH("By yourself",M451)), 1, 0))</f>
        <v>1</v>
      </c>
      <c r="AB451">
        <f t="shared" ref="AB451:AB514" si="136">IF(M451="", 0, IF(ISNUMBER(SEARCH("Friends", M451)), 1, 0))</f>
        <v>0</v>
      </c>
      <c r="AC451">
        <f t="shared" ref="AC451:AC514" si="137">IF(M451="",0,IF(ISNUMBER(SEARCH("Family members", M451)), 1, 0))</f>
        <v>0</v>
      </c>
      <c r="AD451">
        <f t="shared" ref="AD451:AD514" si="138">IF(M451="", 0, IF(ISNUMBER(SEARCH("Coworkers/Classmates", M451)), 1, 0))</f>
        <v>0</v>
      </c>
      <c r="AE451">
        <f t="shared" ref="AE451:AE514" si="139">IF(M451="", 0, IF(ISNUMBER(SEARCH("Strangers", M451)), 1, 0))</f>
        <v>0</v>
      </c>
      <c r="AF451">
        <f t="shared" ref="AF451:AF514" si="140">IF(N451="", 0, IF(ISNUMBER(SEARCH("Spring", N451)), 1, 0))</f>
        <v>1</v>
      </c>
      <c r="AG451">
        <f t="shared" ref="AG451:AG514" si="141">IF(N451="", 0, IF(ISNUMBER(SEARCH("Summer", N451)), 1, 0))</f>
        <v>0</v>
      </c>
      <c r="AH451">
        <f t="shared" ref="AH451:AH514" si="142">IF(N451="", 0, IF(ISNUMBER(SEARCH("Fall", N451)), 1, 0))</f>
        <v>0</v>
      </c>
      <c r="AI451">
        <f t="shared" ref="AI451:AI514" si="143">IF(N451="", 0, IF(ISNUMBER(SEARCH("Winter", N451)), 1, 0))</f>
        <v>0</v>
      </c>
    </row>
    <row r="452" spans="1:35" x14ac:dyDescent="0.2">
      <c r="A452">
        <v>9</v>
      </c>
      <c r="B452" t="s">
        <v>1398</v>
      </c>
      <c r="C452">
        <v>6</v>
      </c>
      <c r="D452" t="s">
        <v>1412</v>
      </c>
      <c r="E452" t="s">
        <v>20</v>
      </c>
      <c r="F452" t="s">
        <v>39</v>
      </c>
      <c r="G452" t="s">
        <v>39</v>
      </c>
      <c r="H452" t="s">
        <v>21</v>
      </c>
      <c r="I452">
        <v>3</v>
      </c>
      <c r="J452">
        <v>1</v>
      </c>
      <c r="K452">
        <v>50000</v>
      </c>
      <c r="L452" t="s">
        <v>70</v>
      </c>
      <c r="M452" t="s">
        <v>42</v>
      </c>
      <c r="N452" t="s">
        <v>215</v>
      </c>
      <c r="O452" t="s">
        <v>1413</v>
      </c>
      <c r="P452" t="s">
        <v>1414</v>
      </c>
      <c r="Q452">
        <f t="shared" si="126"/>
        <v>2</v>
      </c>
      <c r="R452">
        <f t="shared" si="127"/>
        <v>5</v>
      </c>
      <c r="S452">
        <f t="shared" si="128"/>
        <v>5</v>
      </c>
      <c r="T452">
        <f t="shared" si="129"/>
        <v>1</v>
      </c>
      <c r="U452">
        <v>50000</v>
      </c>
      <c r="V452">
        <f t="shared" si="130"/>
        <v>0</v>
      </c>
      <c r="W452">
        <f t="shared" si="131"/>
        <v>0</v>
      </c>
      <c r="X452">
        <f t="shared" si="132"/>
        <v>0</v>
      </c>
      <c r="Y452">
        <f t="shared" si="133"/>
        <v>1</v>
      </c>
      <c r="Z452">
        <f t="shared" si="134"/>
        <v>0</v>
      </c>
      <c r="AA452">
        <f t="shared" si="135"/>
        <v>0</v>
      </c>
      <c r="AB452">
        <f t="shared" si="136"/>
        <v>1</v>
      </c>
      <c r="AC452">
        <f t="shared" si="137"/>
        <v>0</v>
      </c>
      <c r="AD452">
        <f t="shared" si="138"/>
        <v>0</v>
      </c>
      <c r="AE452">
        <f t="shared" si="139"/>
        <v>0</v>
      </c>
      <c r="AF452">
        <f t="shared" si="140"/>
        <v>1</v>
      </c>
      <c r="AG452">
        <f t="shared" si="141"/>
        <v>0</v>
      </c>
      <c r="AH452">
        <f t="shared" si="142"/>
        <v>0</v>
      </c>
      <c r="AI452">
        <f t="shared" si="143"/>
        <v>0</v>
      </c>
    </row>
    <row r="453" spans="1:35" x14ac:dyDescent="0.2">
      <c r="A453">
        <v>10</v>
      </c>
      <c r="B453" t="s">
        <v>1398</v>
      </c>
      <c r="C453">
        <v>9</v>
      </c>
      <c r="D453" t="s">
        <v>1415</v>
      </c>
      <c r="E453" t="s">
        <v>21</v>
      </c>
      <c r="F453" t="s">
        <v>39</v>
      </c>
      <c r="G453" t="s">
        <v>39</v>
      </c>
      <c r="H453" t="s">
        <v>21</v>
      </c>
      <c r="I453">
        <v>1</v>
      </c>
      <c r="J453">
        <v>1</v>
      </c>
      <c r="K453">
        <v>100000</v>
      </c>
      <c r="L453" t="s">
        <v>70</v>
      </c>
      <c r="M453" t="s">
        <v>23</v>
      </c>
      <c r="N453" t="s">
        <v>215</v>
      </c>
      <c r="O453" t="s">
        <v>1416</v>
      </c>
      <c r="P453" t="s">
        <v>1417</v>
      </c>
      <c r="Q453">
        <f t="shared" si="126"/>
        <v>1</v>
      </c>
      <c r="R453">
        <f t="shared" si="127"/>
        <v>5</v>
      </c>
      <c r="S453">
        <f t="shared" si="128"/>
        <v>5</v>
      </c>
      <c r="T453">
        <f t="shared" si="129"/>
        <v>1</v>
      </c>
      <c r="U453">
        <v>100000</v>
      </c>
      <c r="V453">
        <f t="shared" si="130"/>
        <v>0</v>
      </c>
      <c r="W453">
        <f t="shared" si="131"/>
        <v>0</v>
      </c>
      <c r="X453">
        <f t="shared" si="132"/>
        <v>0</v>
      </c>
      <c r="Y453">
        <f t="shared" si="133"/>
        <v>1</v>
      </c>
      <c r="Z453">
        <f t="shared" si="134"/>
        <v>0</v>
      </c>
      <c r="AA453">
        <f t="shared" si="135"/>
        <v>1</v>
      </c>
      <c r="AB453">
        <f t="shared" si="136"/>
        <v>0</v>
      </c>
      <c r="AC453">
        <f t="shared" si="137"/>
        <v>0</v>
      </c>
      <c r="AD453">
        <f t="shared" si="138"/>
        <v>0</v>
      </c>
      <c r="AE453">
        <f t="shared" si="139"/>
        <v>0</v>
      </c>
      <c r="AF453">
        <f t="shared" si="140"/>
        <v>1</v>
      </c>
      <c r="AG453">
        <f t="shared" si="141"/>
        <v>0</v>
      </c>
      <c r="AH453">
        <f t="shared" si="142"/>
        <v>0</v>
      </c>
      <c r="AI453">
        <f t="shared" si="143"/>
        <v>0</v>
      </c>
    </row>
    <row r="454" spans="1:35" x14ac:dyDescent="0.2">
      <c r="A454">
        <v>11</v>
      </c>
      <c r="B454" t="s">
        <v>1398</v>
      </c>
      <c r="C454">
        <v>8</v>
      </c>
      <c r="D454" t="s">
        <v>1418</v>
      </c>
      <c r="E454" t="s">
        <v>21</v>
      </c>
      <c r="F454" t="s">
        <v>39</v>
      </c>
      <c r="G454" t="s">
        <v>18</v>
      </c>
      <c r="H454" t="s">
        <v>21</v>
      </c>
      <c r="I454">
        <v>4</v>
      </c>
      <c r="J454">
        <v>1</v>
      </c>
      <c r="K454">
        <v>500</v>
      </c>
      <c r="L454" t="s">
        <v>47</v>
      </c>
      <c r="M454" t="s">
        <v>23</v>
      </c>
      <c r="N454" t="s">
        <v>43</v>
      </c>
      <c r="O454" t="s">
        <v>1419</v>
      </c>
      <c r="P454" t="s">
        <v>1420</v>
      </c>
      <c r="Q454">
        <f t="shared" si="126"/>
        <v>1</v>
      </c>
      <c r="R454">
        <f t="shared" si="127"/>
        <v>5</v>
      </c>
      <c r="S454">
        <f t="shared" si="128"/>
        <v>4</v>
      </c>
      <c r="T454">
        <f t="shared" si="129"/>
        <v>1</v>
      </c>
      <c r="U454">
        <v>500</v>
      </c>
      <c r="V454">
        <f t="shared" si="130"/>
        <v>0</v>
      </c>
      <c r="W454">
        <f t="shared" si="131"/>
        <v>0</v>
      </c>
      <c r="X454">
        <f t="shared" si="132"/>
        <v>1</v>
      </c>
      <c r="Y454">
        <f t="shared" si="133"/>
        <v>0</v>
      </c>
      <c r="Z454">
        <f t="shared" si="134"/>
        <v>1</v>
      </c>
      <c r="AA454">
        <f t="shared" si="135"/>
        <v>1</v>
      </c>
      <c r="AB454">
        <f t="shared" si="136"/>
        <v>0</v>
      </c>
      <c r="AC454">
        <f t="shared" si="137"/>
        <v>0</v>
      </c>
      <c r="AD454">
        <f t="shared" si="138"/>
        <v>0</v>
      </c>
      <c r="AE454">
        <f t="shared" si="139"/>
        <v>0</v>
      </c>
      <c r="AF454">
        <f t="shared" si="140"/>
        <v>1</v>
      </c>
      <c r="AG454">
        <f t="shared" si="141"/>
        <v>1</v>
      </c>
      <c r="AH454">
        <f t="shared" si="142"/>
        <v>0</v>
      </c>
      <c r="AI454">
        <f t="shared" si="143"/>
        <v>0</v>
      </c>
    </row>
    <row r="455" spans="1:35" x14ac:dyDescent="0.2">
      <c r="A455">
        <v>12</v>
      </c>
      <c r="B455" t="s">
        <v>1398</v>
      </c>
      <c r="C455">
        <v>1</v>
      </c>
      <c r="D455" t="s">
        <v>1421</v>
      </c>
      <c r="E455" t="s">
        <v>21</v>
      </c>
      <c r="F455" t="s">
        <v>18</v>
      </c>
      <c r="G455" t="s">
        <v>20</v>
      </c>
      <c r="H455" t="s">
        <v>21</v>
      </c>
      <c r="I455">
        <v>1</v>
      </c>
      <c r="J455">
        <v>1</v>
      </c>
      <c r="K455">
        <v>1000</v>
      </c>
      <c r="L455" t="s">
        <v>41</v>
      </c>
      <c r="M455" t="s">
        <v>280</v>
      </c>
      <c r="N455" t="s">
        <v>43</v>
      </c>
      <c r="O455" t="s">
        <v>1422</v>
      </c>
      <c r="P455" t="s">
        <v>1423</v>
      </c>
      <c r="Q455">
        <f t="shared" si="126"/>
        <v>1</v>
      </c>
      <c r="R455">
        <f t="shared" si="127"/>
        <v>4</v>
      </c>
      <c r="S455">
        <f t="shared" si="128"/>
        <v>2</v>
      </c>
      <c r="T455">
        <f t="shared" si="129"/>
        <v>1</v>
      </c>
      <c r="U455">
        <v>1000</v>
      </c>
      <c r="V455">
        <f t="shared" si="130"/>
        <v>0</v>
      </c>
      <c r="W455">
        <f t="shared" si="131"/>
        <v>0</v>
      </c>
      <c r="X455">
        <f t="shared" si="132"/>
        <v>0</v>
      </c>
      <c r="Y455">
        <f t="shared" si="133"/>
        <v>0</v>
      </c>
      <c r="Z455">
        <f t="shared" si="134"/>
        <v>1</v>
      </c>
      <c r="AA455">
        <f t="shared" si="135"/>
        <v>0</v>
      </c>
      <c r="AB455">
        <f t="shared" si="136"/>
        <v>1</v>
      </c>
      <c r="AC455">
        <f t="shared" si="137"/>
        <v>1</v>
      </c>
      <c r="AD455">
        <f t="shared" si="138"/>
        <v>1</v>
      </c>
      <c r="AE455">
        <f t="shared" si="139"/>
        <v>0</v>
      </c>
      <c r="AF455">
        <f t="shared" si="140"/>
        <v>1</v>
      </c>
      <c r="AG455">
        <f t="shared" si="141"/>
        <v>1</v>
      </c>
      <c r="AH455">
        <f t="shared" si="142"/>
        <v>0</v>
      </c>
      <c r="AI455">
        <f t="shared" si="143"/>
        <v>0</v>
      </c>
    </row>
    <row r="456" spans="1:35" x14ac:dyDescent="0.2">
      <c r="A456">
        <v>13</v>
      </c>
      <c r="B456" t="s">
        <v>1398</v>
      </c>
      <c r="C456">
        <v>7</v>
      </c>
      <c r="D456" t="s">
        <v>1424</v>
      </c>
      <c r="E456" t="s">
        <v>21</v>
      </c>
      <c r="F456" t="s">
        <v>39</v>
      </c>
      <c r="G456" t="s">
        <v>39</v>
      </c>
      <c r="H456" t="s">
        <v>21</v>
      </c>
      <c r="I456">
        <v>4</v>
      </c>
      <c r="J456">
        <v>4</v>
      </c>
      <c r="K456" t="s">
        <v>1425</v>
      </c>
      <c r="L456" t="s">
        <v>514</v>
      </c>
      <c r="M456" t="s">
        <v>468</v>
      </c>
      <c r="N456" t="s">
        <v>43</v>
      </c>
      <c r="O456" t="s">
        <v>1426</v>
      </c>
      <c r="P456" t="s">
        <v>1427</v>
      </c>
      <c r="Q456">
        <f t="shared" si="126"/>
        <v>1</v>
      </c>
      <c r="R456">
        <f t="shared" si="127"/>
        <v>5</v>
      </c>
      <c r="S456">
        <f t="shared" si="128"/>
        <v>5</v>
      </c>
      <c r="T456">
        <f t="shared" si="129"/>
        <v>1</v>
      </c>
      <c r="U456">
        <v>2000000</v>
      </c>
      <c r="V456">
        <f t="shared" si="130"/>
        <v>1</v>
      </c>
      <c r="W456">
        <f t="shared" si="131"/>
        <v>1</v>
      </c>
      <c r="X456">
        <f t="shared" si="132"/>
        <v>0</v>
      </c>
      <c r="Y456">
        <f t="shared" si="133"/>
        <v>0</v>
      </c>
      <c r="Z456">
        <f t="shared" si="134"/>
        <v>1</v>
      </c>
      <c r="AA456">
        <f t="shared" si="135"/>
        <v>1</v>
      </c>
      <c r="AB456">
        <f t="shared" si="136"/>
        <v>1</v>
      </c>
      <c r="AC456">
        <f t="shared" si="137"/>
        <v>1</v>
      </c>
      <c r="AD456">
        <f t="shared" si="138"/>
        <v>1</v>
      </c>
      <c r="AE456">
        <f t="shared" si="139"/>
        <v>1</v>
      </c>
      <c r="AF456">
        <f t="shared" si="140"/>
        <v>1</v>
      </c>
      <c r="AG456">
        <f t="shared" si="141"/>
        <v>1</v>
      </c>
      <c r="AH456">
        <f t="shared" si="142"/>
        <v>0</v>
      </c>
      <c r="AI456">
        <f t="shared" si="143"/>
        <v>0</v>
      </c>
    </row>
    <row r="457" spans="1:35" x14ac:dyDescent="0.2">
      <c r="A457">
        <v>14</v>
      </c>
      <c r="B457" t="s">
        <v>1398</v>
      </c>
      <c r="C457">
        <v>6</v>
      </c>
      <c r="D457" t="s">
        <v>1428</v>
      </c>
      <c r="E457" t="s">
        <v>21</v>
      </c>
      <c r="F457" t="s">
        <v>39</v>
      </c>
      <c r="G457" t="s">
        <v>18</v>
      </c>
      <c r="H457" t="s">
        <v>21</v>
      </c>
      <c r="I457">
        <v>4</v>
      </c>
      <c r="J457">
        <v>4</v>
      </c>
      <c r="K457">
        <v>10000</v>
      </c>
      <c r="L457" t="s">
        <v>47</v>
      </c>
      <c r="M457" t="s">
        <v>280</v>
      </c>
      <c r="N457" t="s">
        <v>43</v>
      </c>
      <c r="O457" t="s">
        <v>1429</v>
      </c>
      <c r="P457" t="s">
        <v>1430</v>
      </c>
      <c r="Q457">
        <f t="shared" si="126"/>
        <v>1</v>
      </c>
      <c r="R457">
        <f t="shared" si="127"/>
        <v>5</v>
      </c>
      <c r="S457">
        <f t="shared" si="128"/>
        <v>4</v>
      </c>
      <c r="T457">
        <f t="shared" si="129"/>
        <v>1</v>
      </c>
      <c r="U457">
        <v>10000</v>
      </c>
      <c r="V457">
        <f t="shared" si="130"/>
        <v>0</v>
      </c>
      <c r="W457">
        <f t="shared" si="131"/>
        <v>0</v>
      </c>
      <c r="X457">
        <f t="shared" si="132"/>
        <v>1</v>
      </c>
      <c r="Y457">
        <f t="shared" si="133"/>
        <v>0</v>
      </c>
      <c r="Z457">
        <f t="shared" si="134"/>
        <v>1</v>
      </c>
      <c r="AA457">
        <f t="shared" si="135"/>
        <v>0</v>
      </c>
      <c r="AB457">
        <f t="shared" si="136"/>
        <v>1</v>
      </c>
      <c r="AC457">
        <f t="shared" si="137"/>
        <v>1</v>
      </c>
      <c r="AD457">
        <f t="shared" si="138"/>
        <v>1</v>
      </c>
      <c r="AE457">
        <f t="shared" si="139"/>
        <v>0</v>
      </c>
      <c r="AF457">
        <f t="shared" si="140"/>
        <v>1</v>
      </c>
      <c r="AG457">
        <f t="shared" si="141"/>
        <v>1</v>
      </c>
      <c r="AH457">
        <f t="shared" si="142"/>
        <v>0</v>
      </c>
      <c r="AI457">
        <f t="shared" si="143"/>
        <v>0</v>
      </c>
    </row>
    <row r="458" spans="1:35" x14ac:dyDescent="0.2">
      <c r="A458">
        <v>15</v>
      </c>
      <c r="B458" t="s">
        <v>1398</v>
      </c>
      <c r="C458">
        <v>5</v>
      </c>
      <c r="D458" t="s">
        <v>1431</v>
      </c>
      <c r="E458" t="s">
        <v>20</v>
      </c>
      <c r="F458" t="s">
        <v>18</v>
      </c>
      <c r="G458" t="s">
        <v>39</v>
      </c>
      <c r="H458" t="s">
        <v>21</v>
      </c>
      <c r="I458">
        <v>1</v>
      </c>
      <c r="J458">
        <v>1</v>
      </c>
      <c r="K458">
        <v>2000000</v>
      </c>
      <c r="L458" t="s">
        <v>276</v>
      </c>
      <c r="M458" t="s">
        <v>48</v>
      </c>
      <c r="N458" t="s">
        <v>215</v>
      </c>
      <c r="O458" t="s">
        <v>1432</v>
      </c>
      <c r="P458" t="s">
        <v>1433</v>
      </c>
      <c r="Q458">
        <f t="shared" si="126"/>
        <v>2</v>
      </c>
      <c r="R458">
        <f t="shared" si="127"/>
        <v>4</v>
      </c>
      <c r="S458">
        <f t="shared" si="128"/>
        <v>5</v>
      </c>
      <c r="T458">
        <f t="shared" si="129"/>
        <v>1</v>
      </c>
      <c r="U458">
        <v>2000000</v>
      </c>
      <c r="V458">
        <f t="shared" si="130"/>
        <v>1</v>
      </c>
      <c r="W458">
        <f t="shared" si="131"/>
        <v>1</v>
      </c>
      <c r="X458">
        <f t="shared" si="132"/>
        <v>0</v>
      </c>
      <c r="Y458">
        <f t="shared" si="133"/>
        <v>1</v>
      </c>
      <c r="Z458">
        <f t="shared" si="134"/>
        <v>1</v>
      </c>
      <c r="AA458">
        <f t="shared" si="135"/>
        <v>1</v>
      </c>
      <c r="AB458">
        <f t="shared" si="136"/>
        <v>1</v>
      </c>
      <c r="AC458">
        <f t="shared" si="137"/>
        <v>1</v>
      </c>
      <c r="AD458">
        <f t="shared" si="138"/>
        <v>0</v>
      </c>
      <c r="AE458">
        <f t="shared" si="139"/>
        <v>0</v>
      </c>
      <c r="AF458">
        <f t="shared" si="140"/>
        <v>1</v>
      </c>
      <c r="AG458">
        <f t="shared" si="141"/>
        <v>0</v>
      </c>
      <c r="AH458">
        <f t="shared" si="142"/>
        <v>0</v>
      </c>
      <c r="AI458">
        <f t="shared" si="143"/>
        <v>0</v>
      </c>
    </row>
    <row r="459" spans="1:35" x14ac:dyDescent="0.2">
      <c r="A459">
        <v>16</v>
      </c>
      <c r="B459" t="s">
        <v>1398</v>
      </c>
      <c r="C459">
        <v>4</v>
      </c>
      <c r="D459" t="s">
        <v>1434</v>
      </c>
      <c r="E459" t="s">
        <v>21</v>
      </c>
      <c r="F459" t="s">
        <v>18</v>
      </c>
      <c r="G459" t="s">
        <v>18</v>
      </c>
      <c r="H459" t="s">
        <v>21</v>
      </c>
      <c r="I459">
        <v>3</v>
      </c>
      <c r="J459">
        <v>1</v>
      </c>
      <c r="K459">
        <v>3000000</v>
      </c>
      <c r="L459" t="s">
        <v>47</v>
      </c>
      <c r="M459" t="s">
        <v>23</v>
      </c>
      <c r="N459" t="s">
        <v>215</v>
      </c>
      <c r="O459" t="s">
        <v>1435</v>
      </c>
      <c r="P459" t="s">
        <v>1436</v>
      </c>
      <c r="Q459">
        <f t="shared" si="126"/>
        <v>1</v>
      </c>
      <c r="R459">
        <f t="shared" si="127"/>
        <v>4</v>
      </c>
      <c r="S459">
        <f t="shared" si="128"/>
        <v>4</v>
      </c>
      <c r="T459">
        <f t="shared" si="129"/>
        <v>1</v>
      </c>
      <c r="U459">
        <v>3000000</v>
      </c>
      <c r="V459">
        <f t="shared" si="130"/>
        <v>0</v>
      </c>
      <c r="W459">
        <f t="shared" si="131"/>
        <v>0</v>
      </c>
      <c r="X459">
        <f t="shared" si="132"/>
        <v>1</v>
      </c>
      <c r="Y459">
        <f t="shared" si="133"/>
        <v>0</v>
      </c>
      <c r="Z459">
        <f t="shared" si="134"/>
        <v>1</v>
      </c>
      <c r="AA459">
        <f t="shared" si="135"/>
        <v>1</v>
      </c>
      <c r="AB459">
        <f t="shared" si="136"/>
        <v>0</v>
      </c>
      <c r="AC459">
        <f t="shared" si="137"/>
        <v>0</v>
      </c>
      <c r="AD459">
        <f t="shared" si="138"/>
        <v>0</v>
      </c>
      <c r="AE459">
        <f t="shared" si="139"/>
        <v>0</v>
      </c>
      <c r="AF459">
        <f t="shared" si="140"/>
        <v>1</v>
      </c>
      <c r="AG459">
        <f t="shared" si="141"/>
        <v>0</v>
      </c>
      <c r="AH459">
        <f t="shared" si="142"/>
        <v>0</v>
      </c>
      <c r="AI459">
        <f t="shared" si="143"/>
        <v>0</v>
      </c>
    </row>
    <row r="460" spans="1:35" x14ac:dyDescent="0.2">
      <c r="A460">
        <v>17</v>
      </c>
      <c r="B460" t="s">
        <v>1398</v>
      </c>
      <c r="C460">
        <v>6</v>
      </c>
      <c r="D460" t="s">
        <v>1437</v>
      </c>
      <c r="E460" t="s">
        <v>20</v>
      </c>
      <c r="F460" t="s">
        <v>39</v>
      </c>
      <c r="G460" t="s">
        <v>39</v>
      </c>
      <c r="H460" t="s">
        <v>21</v>
      </c>
      <c r="I460">
        <v>4</v>
      </c>
      <c r="J460">
        <v>5</v>
      </c>
      <c r="K460">
        <v>80</v>
      </c>
      <c r="L460" t="s">
        <v>41</v>
      </c>
      <c r="M460" t="s">
        <v>115</v>
      </c>
      <c r="N460" t="s">
        <v>215</v>
      </c>
      <c r="O460" t="s">
        <v>1438</v>
      </c>
      <c r="P460" t="s">
        <v>1439</v>
      </c>
      <c r="Q460">
        <f t="shared" si="126"/>
        <v>2</v>
      </c>
      <c r="R460">
        <f t="shared" si="127"/>
        <v>5</v>
      </c>
      <c r="S460">
        <f t="shared" si="128"/>
        <v>5</v>
      </c>
      <c r="T460">
        <f t="shared" si="129"/>
        <v>1</v>
      </c>
      <c r="U460">
        <v>80</v>
      </c>
      <c r="V460">
        <f t="shared" si="130"/>
        <v>0</v>
      </c>
      <c r="W460">
        <f t="shared" si="131"/>
        <v>0</v>
      </c>
      <c r="X460">
        <f t="shared" si="132"/>
        <v>0</v>
      </c>
      <c r="Y460">
        <f t="shared" si="133"/>
        <v>0</v>
      </c>
      <c r="Z460">
        <f t="shared" si="134"/>
        <v>1</v>
      </c>
      <c r="AA460">
        <f t="shared" si="135"/>
        <v>0</v>
      </c>
      <c r="AB460">
        <f t="shared" si="136"/>
        <v>0</v>
      </c>
      <c r="AC460">
        <f t="shared" si="137"/>
        <v>1</v>
      </c>
      <c r="AD460">
        <f t="shared" si="138"/>
        <v>0</v>
      </c>
      <c r="AE460">
        <f t="shared" si="139"/>
        <v>0</v>
      </c>
      <c r="AF460">
        <f t="shared" si="140"/>
        <v>1</v>
      </c>
      <c r="AG460">
        <f t="shared" si="141"/>
        <v>0</v>
      </c>
      <c r="AH460">
        <f t="shared" si="142"/>
        <v>0</v>
      </c>
      <c r="AI460">
        <f t="shared" si="143"/>
        <v>0</v>
      </c>
    </row>
    <row r="461" spans="1:35" x14ac:dyDescent="0.2">
      <c r="A461">
        <v>18</v>
      </c>
      <c r="B461" t="s">
        <v>1398</v>
      </c>
      <c r="C461">
        <v>7</v>
      </c>
      <c r="D461" t="s">
        <v>1440</v>
      </c>
      <c r="E461" t="s">
        <v>21</v>
      </c>
      <c r="F461" t="s">
        <v>39</v>
      </c>
      <c r="G461" t="s">
        <v>39</v>
      </c>
      <c r="H461" t="s">
        <v>21</v>
      </c>
      <c r="I461">
        <v>1</v>
      </c>
      <c r="J461">
        <v>1</v>
      </c>
      <c r="K461" t="s">
        <v>1441</v>
      </c>
      <c r="L461" t="s">
        <v>41</v>
      </c>
      <c r="M461" t="s">
        <v>115</v>
      </c>
      <c r="N461" t="s">
        <v>84</v>
      </c>
      <c r="O461" t="s">
        <v>844</v>
      </c>
      <c r="P461" t="s">
        <v>1442</v>
      </c>
      <c r="Q461">
        <f t="shared" si="126"/>
        <v>1</v>
      </c>
      <c r="R461">
        <f t="shared" si="127"/>
        <v>5</v>
      </c>
      <c r="S461">
        <f t="shared" si="128"/>
        <v>5</v>
      </c>
      <c r="T461">
        <f t="shared" si="129"/>
        <v>1</v>
      </c>
      <c r="U461">
        <v>500</v>
      </c>
      <c r="V461">
        <f t="shared" si="130"/>
        <v>0</v>
      </c>
      <c r="W461">
        <f t="shared" si="131"/>
        <v>0</v>
      </c>
      <c r="X461">
        <f t="shared" si="132"/>
        <v>0</v>
      </c>
      <c r="Y461">
        <f t="shared" si="133"/>
        <v>0</v>
      </c>
      <c r="Z461">
        <f t="shared" si="134"/>
        <v>1</v>
      </c>
      <c r="AA461">
        <f t="shared" si="135"/>
        <v>0</v>
      </c>
      <c r="AB461">
        <f t="shared" si="136"/>
        <v>0</v>
      </c>
      <c r="AC461">
        <f t="shared" si="137"/>
        <v>1</v>
      </c>
      <c r="AD461">
        <f t="shared" si="138"/>
        <v>0</v>
      </c>
      <c r="AE461">
        <f t="shared" si="139"/>
        <v>0</v>
      </c>
      <c r="AF461">
        <f t="shared" si="140"/>
        <v>0</v>
      </c>
      <c r="AG461">
        <f t="shared" si="141"/>
        <v>1</v>
      </c>
      <c r="AH461">
        <f t="shared" si="142"/>
        <v>0</v>
      </c>
      <c r="AI461">
        <f t="shared" si="143"/>
        <v>0</v>
      </c>
    </row>
    <row r="462" spans="1:35" x14ac:dyDescent="0.2">
      <c r="A462">
        <v>19</v>
      </c>
      <c r="B462" t="s">
        <v>1398</v>
      </c>
      <c r="C462">
        <v>1</v>
      </c>
      <c r="D462" t="s">
        <v>1443</v>
      </c>
      <c r="E462" t="s">
        <v>20</v>
      </c>
      <c r="F462" t="s">
        <v>39</v>
      </c>
      <c r="G462" t="s">
        <v>39</v>
      </c>
      <c r="H462" t="s">
        <v>21</v>
      </c>
      <c r="I462">
        <v>1</v>
      </c>
      <c r="J462">
        <v>1</v>
      </c>
      <c r="K462">
        <v>450</v>
      </c>
      <c r="L462" t="s">
        <v>601</v>
      </c>
      <c r="M462" t="s">
        <v>280</v>
      </c>
      <c r="N462" t="s">
        <v>215</v>
      </c>
      <c r="O462" t="s">
        <v>1444</v>
      </c>
      <c r="P462" t="s">
        <v>1445</v>
      </c>
      <c r="Q462">
        <f t="shared" si="126"/>
        <v>2</v>
      </c>
      <c r="R462">
        <f t="shared" si="127"/>
        <v>5</v>
      </c>
      <c r="S462">
        <f t="shared" si="128"/>
        <v>5</v>
      </c>
      <c r="T462">
        <f t="shared" si="129"/>
        <v>1</v>
      </c>
      <c r="U462">
        <v>450</v>
      </c>
      <c r="V462">
        <f t="shared" si="130"/>
        <v>0</v>
      </c>
      <c r="W462">
        <f t="shared" si="131"/>
        <v>1</v>
      </c>
      <c r="X462">
        <f t="shared" si="132"/>
        <v>0</v>
      </c>
      <c r="Y462">
        <f t="shared" si="133"/>
        <v>1</v>
      </c>
      <c r="Z462">
        <f t="shared" si="134"/>
        <v>1</v>
      </c>
      <c r="AA462">
        <f t="shared" si="135"/>
        <v>0</v>
      </c>
      <c r="AB462">
        <f t="shared" si="136"/>
        <v>1</v>
      </c>
      <c r="AC462">
        <f t="shared" si="137"/>
        <v>1</v>
      </c>
      <c r="AD462">
        <f t="shared" si="138"/>
        <v>1</v>
      </c>
      <c r="AE462">
        <f t="shared" si="139"/>
        <v>0</v>
      </c>
      <c r="AF462">
        <f t="shared" si="140"/>
        <v>1</v>
      </c>
      <c r="AG462">
        <f t="shared" si="141"/>
        <v>0</v>
      </c>
      <c r="AH462">
        <f t="shared" si="142"/>
        <v>0</v>
      </c>
      <c r="AI462">
        <f t="shared" si="143"/>
        <v>0</v>
      </c>
    </row>
    <row r="463" spans="1:35" x14ac:dyDescent="0.2">
      <c r="A463">
        <v>20</v>
      </c>
      <c r="B463" t="s">
        <v>1398</v>
      </c>
      <c r="C463">
        <v>4</v>
      </c>
      <c r="D463" t="s">
        <v>1446</v>
      </c>
      <c r="E463" t="s">
        <v>20</v>
      </c>
      <c r="F463" t="s">
        <v>18</v>
      </c>
      <c r="G463" t="s">
        <v>18</v>
      </c>
      <c r="H463" t="s">
        <v>19</v>
      </c>
      <c r="I463">
        <v>3</v>
      </c>
      <c r="J463">
        <v>2</v>
      </c>
      <c r="K463" s="1">
        <v>300</v>
      </c>
      <c r="L463" t="s">
        <v>230</v>
      </c>
      <c r="M463" t="s">
        <v>48</v>
      </c>
      <c r="N463" t="s">
        <v>43</v>
      </c>
      <c r="O463" t="s">
        <v>1419</v>
      </c>
      <c r="P463" t="s">
        <v>1447</v>
      </c>
      <c r="Q463">
        <f t="shared" si="126"/>
        <v>2</v>
      </c>
      <c r="R463">
        <f t="shared" si="127"/>
        <v>4</v>
      </c>
      <c r="S463">
        <f t="shared" si="128"/>
        <v>4</v>
      </c>
      <c r="T463">
        <f t="shared" si="129"/>
        <v>3</v>
      </c>
      <c r="U463">
        <v>300</v>
      </c>
      <c r="V463">
        <f t="shared" si="130"/>
        <v>1</v>
      </c>
      <c r="W463">
        <f t="shared" si="131"/>
        <v>1</v>
      </c>
      <c r="X463">
        <f t="shared" si="132"/>
        <v>1</v>
      </c>
      <c r="Y463">
        <f t="shared" si="133"/>
        <v>1</v>
      </c>
      <c r="Z463">
        <f t="shared" si="134"/>
        <v>1</v>
      </c>
      <c r="AA463">
        <f t="shared" si="135"/>
        <v>1</v>
      </c>
      <c r="AB463">
        <f t="shared" si="136"/>
        <v>1</v>
      </c>
      <c r="AC463">
        <f t="shared" si="137"/>
        <v>1</v>
      </c>
      <c r="AD463">
        <f t="shared" si="138"/>
        <v>0</v>
      </c>
      <c r="AE463">
        <f t="shared" si="139"/>
        <v>0</v>
      </c>
      <c r="AF463">
        <f t="shared" si="140"/>
        <v>1</v>
      </c>
      <c r="AG463">
        <f t="shared" si="141"/>
        <v>1</v>
      </c>
      <c r="AH463">
        <f t="shared" si="142"/>
        <v>0</v>
      </c>
      <c r="AI463">
        <f t="shared" si="143"/>
        <v>0</v>
      </c>
    </row>
    <row r="464" spans="1:35" x14ac:dyDescent="0.2">
      <c r="A464">
        <v>21</v>
      </c>
      <c r="B464" t="s">
        <v>1398</v>
      </c>
      <c r="C464">
        <v>8</v>
      </c>
      <c r="D464" t="s">
        <v>1448</v>
      </c>
      <c r="E464" t="s">
        <v>21</v>
      </c>
      <c r="F464" t="s">
        <v>39</v>
      </c>
      <c r="G464" t="s">
        <v>39</v>
      </c>
      <c r="H464" t="s">
        <v>21</v>
      </c>
      <c r="I464">
        <v>4</v>
      </c>
      <c r="J464">
        <v>1</v>
      </c>
      <c r="K464">
        <v>250</v>
      </c>
      <c r="L464" t="s">
        <v>70</v>
      </c>
      <c r="M464" t="s">
        <v>280</v>
      </c>
      <c r="N464" t="s">
        <v>43</v>
      </c>
      <c r="O464" t="s">
        <v>1449</v>
      </c>
      <c r="P464" t="s">
        <v>1450</v>
      </c>
      <c r="Q464">
        <f t="shared" si="126"/>
        <v>1</v>
      </c>
      <c r="R464">
        <f t="shared" si="127"/>
        <v>5</v>
      </c>
      <c r="S464">
        <f t="shared" si="128"/>
        <v>5</v>
      </c>
      <c r="T464">
        <f t="shared" si="129"/>
        <v>1</v>
      </c>
      <c r="U464">
        <v>250</v>
      </c>
      <c r="V464">
        <f t="shared" si="130"/>
        <v>0</v>
      </c>
      <c r="W464">
        <f t="shared" si="131"/>
        <v>0</v>
      </c>
      <c r="X464">
        <f t="shared" si="132"/>
        <v>0</v>
      </c>
      <c r="Y464">
        <f t="shared" si="133"/>
        <v>1</v>
      </c>
      <c r="Z464">
        <f t="shared" si="134"/>
        <v>0</v>
      </c>
      <c r="AA464">
        <f t="shared" si="135"/>
        <v>0</v>
      </c>
      <c r="AB464">
        <f t="shared" si="136"/>
        <v>1</v>
      </c>
      <c r="AC464">
        <f t="shared" si="137"/>
        <v>1</v>
      </c>
      <c r="AD464">
        <f t="shared" si="138"/>
        <v>1</v>
      </c>
      <c r="AE464">
        <f t="shared" si="139"/>
        <v>0</v>
      </c>
      <c r="AF464">
        <f t="shared" si="140"/>
        <v>1</v>
      </c>
      <c r="AG464">
        <f t="shared" si="141"/>
        <v>1</v>
      </c>
      <c r="AH464">
        <f t="shared" si="142"/>
        <v>0</v>
      </c>
      <c r="AI464">
        <f t="shared" si="143"/>
        <v>0</v>
      </c>
    </row>
    <row r="465" spans="1:35" x14ac:dyDescent="0.2">
      <c r="A465">
        <v>22</v>
      </c>
      <c r="B465" t="s">
        <v>1398</v>
      </c>
      <c r="C465">
        <v>6</v>
      </c>
      <c r="D465" t="s">
        <v>1451</v>
      </c>
      <c r="E465" t="s">
        <v>21</v>
      </c>
      <c r="F465" t="s">
        <v>39</v>
      </c>
      <c r="G465" t="s">
        <v>39</v>
      </c>
      <c r="H465" t="s">
        <v>21</v>
      </c>
      <c r="I465">
        <v>3</v>
      </c>
      <c r="J465">
        <v>4</v>
      </c>
      <c r="K465">
        <v>250</v>
      </c>
      <c r="L465" t="s">
        <v>41</v>
      </c>
      <c r="M465" t="s">
        <v>48</v>
      </c>
      <c r="N465" t="s">
        <v>651</v>
      </c>
      <c r="O465" t="s">
        <v>1452</v>
      </c>
      <c r="P465" t="s">
        <v>1453</v>
      </c>
      <c r="Q465">
        <f t="shared" si="126"/>
        <v>1</v>
      </c>
      <c r="R465">
        <f t="shared" si="127"/>
        <v>5</v>
      </c>
      <c r="S465">
        <f t="shared" si="128"/>
        <v>5</v>
      </c>
      <c r="T465">
        <f t="shared" si="129"/>
        <v>1</v>
      </c>
      <c r="U465">
        <v>250</v>
      </c>
      <c r="V465">
        <f t="shared" si="130"/>
        <v>0</v>
      </c>
      <c r="W465">
        <f t="shared" si="131"/>
        <v>0</v>
      </c>
      <c r="X465">
        <f t="shared" si="132"/>
        <v>0</v>
      </c>
      <c r="Y465">
        <f t="shared" si="133"/>
        <v>0</v>
      </c>
      <c r="Z465">
        <f t="shared" si="134"/>
        <v>1</v>
      </c>
      <c r="AA465">
        <f t="shared" si="135"/>
        <v>1</v>
      </c>
      <c r="AB465">
        <f t="shared" si="136"/>
        <v>1</v>
      </c>
      <c r="AC465">
        <f t="shared" si="137"/>
        <v>1</v>
      </c>
      <c r="AD465">
        <f t="shared" si="138"/>
        <v>0</v>
      </c>
      <c r="AE465">
        <f t="shared" si="139"/>
        <v>0</v>
      </c>
      <c r="AF465">
        <f t="shared" si="140"/>
        <v>1</v>
      </c>
      <c r="AG465">
        <f t="shared" si="141"/>
        <v>0</v>
      </c>
      <c r="AH465">
        <f t="shared" si="142"/>
        <v>1</v>
      </c>
      <c r="AI465">
        <f t="shared" si="143"/>
        <v>0</v>
      </c>
    </row>
    <row r="466" spans="1:35" x14ac:dyDescent="0.2">
      <c r="A466">
        <v>23</v>
      </c>
      <c r="B466" t="s">
        <v>1398</v>
      </c>
      <c r="C466">
        <v>5</v>
      </c>
      <c r="D466" t="s">
        <v>1454</v>
      </c>
      <c r="E466" t="s">
        <v>21</v>
      </c>
      <c r="F466" t="s">
        <v>39</v>
      </c>
      <c r="G466" t="s">
        <v>39</v>
      </c>
      <c r="H466" t="s">
        <v>21</v>
      </c>
      <c r="I466">
        <v>1</v>
      </c>
      <c r="J466">
        <v>2</v>
      </c>
      <c r="K466">
        <v>200</v>
      </c>
      <c r="L466" t="s">
        <v>47</v>
      </c>
      <c r="M466" t="s">
        <v>1354</v>
      </c>
      <c r="N466" t="s">
        <v>43</v>
      </c>
      <c r="O466" t="s">
        <v>295</v>
      </c>
      <c r="P466" t="s">
        <v>1455</v>
      </c>
      <c r="Q466">
        <f t="shared" si="126"/>
        <v>1</v>
      </c>
      <c r="R466">
        <f t="shared" si="127"/>
        <v>5</v>
      </c>
      <c r="S466">
        <f t="shared" si="128"/>
        <v>5</v>
      </c>
      <c r="T466">
        <f t="shared" si="129"/>
        <v>1</v>
      </c>
      <c r="U466">
        <v>200</v>
      </c>
      <c r="V466">
        <f t="shared" si="130"/>
        <v>0</v>
      </c>
      <c r="W466">
        <f t="shared" si="131"/>
        <v>0</v>
      </c>
      <c r="X466">
        <f t="shared" si="132"/>
        <v>1</v>
      </c>
      <c r="Y466">
        <f t="shared" si="133"/>
        <v>0</v>
      </c>
      <c r="Z466">
        <f t="shared" si="134"/>
        <v>1</v>
      </c>
      <c r="AA466">
        <f t="shared" si="135"/>
        <v>0</v>
      </c>
      <c r="AB466">
        <f t="shared" si="136"/>
        <v>1</v>
      </c>
      <c r="AC466">
        <f t="shared" si="137"/>
        <v>1</v>
      </c>
      <c r="AD466">
        <f t="shared" si="138"/>
        <v>0</v>
      </c>
      <c r="AE466">
        <f t="shared" si="139"/>
        <v>1</v>
      </c>
      <c r="AF466">
        <f t="shared" si="140"/>
        <v>1</v>
      </c>
      <c r="AG466">
        <f t="shared" si="141"/>
        <v>1</v>
      </c>
      <c r="AH466">
        <f t="shared" si="142"/>
        <v>0</v>
      </c>
      <c r="AI466">
        <f t="shared" si="143"/>
        <v>0</v>
      </c>
    </row>
    <row r="467" spans="1:35" x14ac:dyDescent="0.2">
      <c r="A467">
        <v>24</v>
      </c>
      <c r="B467" t="s">
        <v>1398</v>
      </c>
      <c r="C467">
        <v>6</v>
      </c>
      <c r="D467" t="s">
        <v>1456</v>
      </c>
      <c r="E467" t="s">
        <v>20</v>
      </c>
      <c r="F467" t="s">
        <v>19</v>
      </c>
      <c r="G467" t="s">
        <v>19</v>
      </c>
      <c r="H467" t="s">
        <v>18</v>
      </c>
      <c r="I467">
        <v>4</v>
      </c>
      <c r="J467">
        <v>2</v>
      </c>
      <c r="K467">
        <v>100</v>
      </c>
      <c r="L467" t="s">
        <v>41</v>
      </c>
      <c r="M467" t="s">
        <v>42</v>
      </c>
      <c r="N467" t="s">
        <v>84</v>
      </c>
      <c r="O467" t="s">
        <v>1457</v>
      </c>
      <c r="P467" t="s">
        <v>1458</v>
      </c>
      <c r="Q467">
        <f t="shared" si="126"/>
        <v>2</v>
      </c>
      <c r="R467">
        <f t="shared" si="127"/>
        <v>3</v>
      </c>
      <c r="S467">
        <f t="shared" si="128"/>
        <v>3</v>
      </c>
      <c r="T467">
        <f t="shared" si="129"/>
        <v>4</v>
      </c>
      <c r="U467">
        <v>100</v>
      </c>
      <c r="V467">
        <f t="shared" si="130"/>
        <v>0</v>
      </c>
      <c r="W467">
        <f t="shared" si="131"/>
        <v>0</v>
      </c>
      <c r="X467">
        <f t="shared" si="132"/>
        <v>0</v>
      </c>
      <c r="Y467">
        <f t="shared" si="133"/>
        <v>0</v>
      </c>
      <c r="Z467">
        <f t="shared" si="134"/>
        <v>1</v>
      </c>
      <c r="AA467">
        <f t="shared" si="135"/>
        <v>0</v>
      </c>
      <c r="AB467">
        <f t="shared" si="136"/>
        <v>1</v>
      </c>
      <c r="AC467">
        <f t="shared" si="137"/>
        <v>0</v>
      </c>
      <c r="AD467">
        <f t="shared" si="138"/>
        <v>0</v>
      </c>
      <c r="AE467">
        <f t="shared" si="139"/>
        <v>0</v>
      </c>
      <c r="AF467">
        <f t="shared" si="140"/>
        <v>0</v>
      </c>
      <c r="AG467">
        <f t="shared" si="141"/>
        <v>1</v>
      </c>
      <c r="AH467">
        <f t="shared" si="142"/>
        <v>0</v>
      </c>
      <c r="AI467">
        <f t="shared" si="143"/>
        <v>0</v>
      </c>
    </row>
    <row r="468" spans="1:35" x14ac:dyDescent="0.2">
      <c r="A468">
        <v>25</v>
      </c>
      <c r="B468" t="s">
        <v>1398</v>
      </c>
      <c r="C468">
        <v>8</v>
      </c>
      <c r="D468" t="s">
        <v>1459</v>
      </c>
      <c r="E468" t="s">
        <v>21</v>
      </c>
      <c r="F468" t="s">
        <v>39</v>
      </c>
      <c r="G468" t="s">
        <v>39</v>
      </c>
      <c r="H468" t="s">
        <v>21</v>
      </c>
      <c r="I468">
        <v>3</v>
      </c>
      <c r="J468">
        <v>1</v>
      </c>
      <c r="K468">
        <v>100</v>
      </c>
      <c r="L468" t="s">
        <v>79</v>
      </c>
      <c r="M468" t="s">
        <v>468</v>
      </c>
      <c r="N468" t="s">
        <v>43</v>
      </c>
      <c r="O468" t="s">
        <v>1460</v>
      </c>
      <c r="P468" t="s">
        <v>1461</v>
      </c>
      <c r="Q468">
        <f t="shared" si="126"/>
        <v>1</v>
      </c>
      <c r="R468">
        <f t="shared" si="127"/>
        <v>5</v>
      </c>
      <c r="S468">
        <f t="shared" si="128"/>
        <v>5</v>
      </c>
      <c r="T468">
        <f t="shared" si="129"/>
        <v>1</v>
      </c>
      <c r="U468">
        <v>100</v>
      </c>
      <c r="V468">
        <f t="shared" si="130"/>
        <v>0</v>
      </c>
      <c r="W468">
        <f t="shared" si="131"/>
        <v>1</v>
      </c>
      <c r="X468">
        <f t="shared" si="132"/>
        <v>0</v>
      </c>
      <c r="Y468">
        <f t="shared" si="133"/>
        <v>0</v>
      </c>
      <c r="Z468">
        <f t="shared" si="134"/>
        <v>1</v>
      </c>
      <c r="AA468">
        <f t="shared" si="135"/>
        <v>1</v>
      </c>
      <c r="AB468">
        <f t="shared" si="136"/>
        <v>1</v>
      </c>
      <c r="AC468">
        <f t="shared" si="137"/>
        <v>1</v>
      </c>
      <c r="AD468">
        <f t="shared" si="138"/>
        <v>1</v>
      </c>
      <c r="AE468">
        <f t="shared" si="139"/>
        <v>1</v>
      </c>
      <c r="AF468">
        <f t="shared" si="140"/>
        <v>1</v>
      </c>
      <c r="AG468">
        <f t="shared" si="141"/>
        <v>1</v>
      </c>
      <c r="AH468">
        <f t="shared" si="142"/>
        <v>0</v>
      </c>
      <c r="AI468">
        <f t="shared" si="143"/>
        <v>0</v>
      </c>
    </row>
    <row r="469" spans="1:35" x14ac:dyDescent="0.2">
      <c r="A469">
        <v>26</v>
      </c>
      <c r="B469" t="s">
        <v>1398</v>
      </c>
      <c r="C469">
        <v>6</v>
      </c>
      <c r="D469" t="s">
        <v>1462</v>
      </c>
      <c r="E469" t="s">
        <v>21</v>
      </c>
      <c r="F469" t="s">
        <v>39</v>
      </c>
      <c r="G469" t="s">
        <v>39</v>
      </c>
      <c r="H469" t="s">
        <v>21</v>
      </c>
      <c r="I469">
        <v>2</v>
      </c>
      <c r="J469">
        <v>1</v>
      </c>
      <c r="K469">
        <v>400</v>
      </c>
      <c r="L469" t="s">
        <v>41</v>
      </c>
      <c r="M469" t="s">
        <v>23</v>
      </c>
      <c r="N469" t="s">
        <v>215</v>
      </c>
      <c r="O469" t="s">
        <v>909</v>
      </c>
      <c r="P469" t="s">
        <v>1463</v>
      </c>
      <c r="Q469">
        <f t="shared" si="126"/>
        <v>1</v>
      </c>
      <c r="R469">
        <f t="shared" si="127"/>
        <v>5</v>
      </c>
      <c r="S469">
        <f t="shared" si="128"/>
        <v>5</v>
      </c>
      <c r="T469">
        <f t="shared" si="129"/>
        <v>1</v>
      </c>
      <c r="U469">
        <v>400</v>
      </c>
      <c r="V469">
        <f t="shared" si="130"/>
        <v>0</v>
      </c>
      <c r="W469">
        <f t="shared" si="131"/>
        <v>0</v>
      </c>
      <c r="X469">
        <f t="shared" si="132"/>
        <v>0</v>
      </c>
      <c r="Y469">
        <f t="shared" si="133"/>
        <v>0</v>
      </c>
      <c r="Z469">
        <f t="shared" si="134"/>
        <v>1</v>
      </c>
      <c r="AA469">
        <f t="shared" si="135"/>
        <v>1</v>
      </c>
      <c r="AB469">
        <f t="shared" si="136"/>
        <v>0</v>
      </c>
      <c r="AC469">
        <f t="shared" si="137"/>
        <v>0</v>
      </c>
      <c r="AD469">
        <f t="shared" si="138"/>
        <v>0</v>
      </c>
      <c r="AE469">
        <f t="shared" si="139"/>
        <v>0</v>
      </c>
      <c r="AF469">
        <f t="shared" si="140"/>
        <v>1</v>
      </c>
      <c r="AG469">
        <f t="shared" si="141"/>
        <v>0</v>
      </c>
      <c r="AH469">
        <f t="shared" si="142"/>
        <v>0</v>
      </c>
      <c r="AI469">
        <f t="shared" si="143"/>
        <v>0</v>
      </c>
    </row>
    <row r="470" spans="1:35" x14ac:dyDescent="0.2">
      <c r="A470">
        <v>27</v>
      </c>
      <c r="B470" t="s">
        <v>1398</v>
      </c>
      <c r="C470">
        <v>5</v>
      </c>
      <c r="D470" t="s">
        <v>1464</v>
      </c>
      <c r="E470" t="s">
        <v>20</v>
      </c>
      <c r="F470" t="s">
        <v>39</v>
      </c>
      <c r="G470" t="s">
        <v>39</v>
      </c>
      <c r="H470" t="s">
        <v>20</v>
      </c>
      <c r="I470">
        <v>3</v>
      </c>
      <c r="J470">
        <v>2</v>
      </c>
      <c r="K470" t="s">
        <v>1465</v>
      </c>
      <c r="L470" t="s">
        <v>70</v>
      </c>
      <c r="M470" t="s">
        <v>123</v>
      </c>
      <c r="N470" t="s">
        <v>215</v>
      </c>
      <c r="O470" t="s">
        <v>814</v>
      </c>
      <c r="P470" t="s">
        <v>1466</v>
      </c>
      <c r="Q470">
        <f t="shared" si="126"/>
        <v>2</v>
      </c>
      <c r="R470">
        <f t="shared" si="127"/>
        <v>5</v>
      </c>
      <c r="S470">
        <f t="shared" si="128"/>
        <v>5</v>
      </c>
      <c r="T470">
        <f t="shared" si="129"/>
        <v>2</v>
      </c>
      <c r="U470">
        <v>1000</v>
      </c>
      <c r="V470">
        <f t="shared" si="130"/>
        <v>0</v>
      </c>
      <c r="W470">
        <f t="shared" si="131"/>
        <v>0</v>
      </c>
      <c r="X470">
        <f t="shared" si="132"/>
        <v>0</v>
      </c>
      <c r="Y470">
        <f t="shared" si="133"/>
        <v>1</v>
      </c>
      <c r="Z470">
        <f t="shared" si="134"/>
        <v>0</v>
      </c>
      <c r="AA470">
        <f t="shared" si="135"/>
        <v>0</v>
      </c>
      <c r="AB470">
        <f t="shared" si="136"/>
        <v>1</v>
      </c>
      <c r="AC470">
        <f t="shared" si="137"/>
        <v>1</v>
      </c>
      <c r="AD470">
        <f t="shared" si="138"/>
        <v>0</v>
      </c>
      <c r="AE470">
        <f t="shared" si="139"/>
        <v>0</v>
      </c>
      <c r="AF470">
        <f t="shared" si="140"/>
        <v>1</v>
      </c>
      <c r="AG470">
        <f t="shared" si="141"/>
        <v>0</v>
      </c>
      <c r="AH470">
        <f t="shared" si="142"/>
        <v>0</v>
      </c>
      <c r="AI470">
        <f t="shared" si="143"/>
        <v>0</v>
      </c>
    </row>
    <row r="471" spans="1:35" x14ac:dyDescent="0.2">
      <c r="A471">
        <v>28</v>
      </c>
      <c r="B471" t="s">
        <v>1398</v>
      </c>
      <c r="C471">
        <v>6</v>
      </c>
      <c r="D471" t="s">
        <v>1467</v>
      </c>
      <c r="E471" t="s">
        <v>20</v>
      </c>
      <c r="F471" t="s">
        <v>18</v>
      </c>
      <c r="G471" t="s">
        <v>18</v>
      </c>
      <c r="H471" t="s">
        <v>20</v>
      </c>
      <c r="I471">
        <v>4</v>
      </c>
      <c r="J471">
        <v>3</v>
      </c>
      <c r="K471" s="1">
        <v>50</v>
      </c>
      <c r="L471" t="s">
        <v>41</v>
      </c>
      <c r="M471" t="s">
        <v>42</v>
      </c>
      <c r="N471" t="s">
        <v>215</v>
      </c>
      <c r="O471" t="s">
        <v>1468</v>
      </c>
      <c r="P471" t="s">
        <v>1469</v>
      </c>
      <c r="Q471">
        <f t="shared" si="126"/>
        <v>2</v>
      </c>
      <c r="R471">
        <f t="shared" si="127"/>
        <v>4</v>
      </c>
      <c r="S471">
        <f t="shared" si="128"/>
        <v>4</v>
      </c>
      <c r="T471">
        <f t="shared" si="129"/>
        <v>2</v>
      </c>
      <c r="U471">
        <v>50</v>
      </c>
      <c r="V471">
        <f t="shared" si="130"/>
        <v>0</v>
      </c>
      <c r="W471">
        <f t="shared" si="131"/>
        <v>0</v>
      </c>
      <c r="X471">
        <f t="shared" si="132"/>
        <v>0</v>
      </c>
      <c r="Y471">
        <f t="shared" si="133"/>
        <v>0</v>
      </c>
      <c r="Z471">
        <f t="shared" si="134"/>
        <v>1</v>
      </c>
      <c r="AA471">
        <f t="shared" si="135"/>
        <v>0</v>
      </c>
      <c r="AB471">
        <f t="shared" si="136"/>
        <v>1</v>
      </c>
      <c r="AC471">
        <f t="shared" si="137"/>
        <v>0</v>
      </c>
      <c r="AD471">
        <f t="shared" si="138"/>
        <v>0</v>
      </c>
      <c r="AE471">
        <f t="shared" si="139"/>
        <v>0</v>
      </c>
      <c r="AF471">
        <f t="shared" si="140"/>
        <v>1</v>
      </c>
      <c r="AG471">
        <f t="shared" si="141"/>
        <v>0</v>
      </c>
      <c r="AH471">
        <f t="shared" si="142"/>
        <v>0</v>
      </c>
      <c r="AI471">
        <f t="shared" si="143"/>
        <v>0</v>
      </c>
    </row>
    <row r="472" spans="1:35" x14ac:dyDescent="0.2">
      <c r="A472">
        <v>29</v>
      </c>
      <c r="B472" t="s">
        <v>1398</v>
      </c>
      <c r="C472">
        <v>4</v>
      </c>
      <c r="D472" t="s">
        <v>1470</v>
      </c>
      <c r="E472" t="s">
        <v>20</v>
      </c>
      <c r="F472" t="s">
        <v>39</v>
      </c>
      <c r="G472" t="s">
        <v>39</v>
      </c>
      <c r="H472" t="s">
        <v>21</v>
      </c>
      <c r="I472">
        <v>3</v>
      </c>
      <c r="J472">
        <v>3</v>
      </c>
      <c r="K472" s="1">
        <v>100</v>
      </c>
      <c r="L472" t="s">
        <v>514</v>
      </c>
      <c r="M472" t="s">
        <v>48</v>
      </c>
      <c r="N472" t="s">
        <v>43</v>
      </c>
      <c r="O472" t="s">
        <v>1471</v>
      </c>
      <c r="P472" t="s">
        <v>1472</v>
      </c>
      <c r="Q472">
        <f t="shared" si="126"/>
        <v>2</v>
      </c>
      <c r="R472">
        <f t="shared" si="127"/>
        <v>5</v>
      </c>
      <c r="S472">
        <f t="shared" si="128"/>
        <v>5</v>
      </c>
      <c r="T472">
        <f t="shared" si="129"/>
        <v>1</v>
      </c>
      <c r="U472">
        <v>100</v>
      </c>
      <c r="V472">
        <f t="shared" si="130"/>
        <v>1</v>
      </c>
      <c r="W472">
        <f t="shared" si="131"/>
        <v>1</v>
      </c>
      <c r="X472">
        <f t="shared" si="132"/>
        <v>0</v>
      </c>
      <c r="Y472">
        <f t="shared" si="133"/>
        <v>0</v>
      </c>
      <c r="Z472">
        <f t="shared" si="134"/>
        <v>1</v>
      </c>
      <c r="AA472">
        <f t="shared" si="135"/>
        <v>1</v>
      </c>
      <c r="AB472">
        <f t="shared" si="136"/>
        <v>1</v>
      </c>
      <c r="AC472">
        <f t="shared" si="137"/>
        <v>1</v>
      </c>
      <c r="AD472">
        <f t="shared" si="138"/>
        <v>0</v>
      </c>
      <c r="AE472">
        <f t="shared" si="139"/>
        <v>0</v>
      </c>
      <c r="AF472">
        <f t="shared" si="140"/>
        <v>1</v>
      </c>
      <c r="AG472">
        <f t="shared" si="141"/>
        <v>1</v>
      </c>
      <c r="AH472">
        <f t="shared" si="142"/>
        <v>0</v>
      </c>
      <c r="AI472">
        <f t="shared" si="143"/>
        <v>0</v>
      </c>
    </row>
    <row r="473" spans="1:35" x14ac:dyDescent="0.2">
      <c r="A473">
        <v>30</v>
      </c>
      <c r="B473" t="s">
        <v>1398</v>
      </c>
      <c r="C473">
        <v>2</v>
      </c>
      <c r="D473" t="s">
        <v>1473</v>
      </c>
      <c r="E473" t="s">
        <v>19</v>
      </c>
      <c r="F473" t="s">
        <v>18</v>
      </c>
      <c r="G473" t="s">
        <v>18</v>
      </c>
      <c r="H473" t="s">
        <v>20</v>
      </c>
      <c r="I473">
        <v>2</v>
      </c>
      <c r="J473">
        <v>1</v>
      </c>
      <c r="K473">
        <v>300</v>
      </c>
      <c r="L473" t="s">
        <v>122</v>
      </c>
      <c r="M473" t="s">
        <v>468</v>
      </c>
      <c r="N473" t="s">
        <v>215</v>
      </c>
      <c r="O473" t="s">
        <v>1474</v>
      </c>
      <c r="P473" t="s">
        <v>1475</v>
      </c>
      <c r="Q473">
        <f t="shared" si="126"/>
        <v>3</v>
      </c>
      <c r="R473">
        <f t="shared" si="127"/>
        <v>4</v>
      </c>
      <c r="S473">
        <f t="shared" si="128"/>
        <v>4</v>
      </c>
      <c r="T473">
        <f t="shared" si="129"/>
        <v>2</v>
      </c>
      <c r="U473">
        <v>300</v>
      </c>
      <c r="V473">
        <f t="shared" si="130"/>
        <v>1</v>
      </c>
      <c r="W473">
        <f t="shared" si="131"/>
        <v>0</v>
      </c>
      <c r="X473">
        <f t="shared" si="132"/>
        <v>1</v>
      </c>
      <c r="Y473">
        <f t="shared" si="133"/>
        <v>0</v>
      </c>
      <c r="Z473">
        <f t="shared" si="134"/>
        <v>1</v>
      </c>
      <c r="AA473">
        <f t="shared" si="135"/>
        <v>1</v>
      </c>
      <c r="AB473">
        <f t="shared" si="136"/>
        <v>1</v>
      </c>
      <c r="AC473">
        <f t="shared" si="137"/>
        <v>1</v>
      </c>
      <c r="AD473">
        <f t="shared" si="138"/>
        <v>1</v>
      </c>
      <c r="AE473">
        <f t="shared" si="139"/>
        <v>1</v>
      </c>
      <c r="AF473">
        <f t="shared" si="140"/>
        <v>1</v>
      </c>
      <c r="AG473">
        <f t="shared" si="141"/>
        <v>0</v>
      </c>
      <c r="AH473">
        <f t="shared" si="142"/>
        <v>0</v>
      </c>
      <c r="AI473">
        <f t="shared" si="143"/>
        <v>0</v>
      </c>
    </row>
    <row r="474" spans="1:35" x14ac:dyDescent="0.2">
      <c r="A474">
        <v>31</v>
      </c>
      <c r="B474" t="s">
        <v>1398</v>
      </c>
      <c r="C474">
        <v>7</v>
      </c>
      <c r="D474" t="s">
        <v>1476</v>
      </c>
      <c r="E474" t="s">
        <v>18</v>
      </c>
      <c r="F474" t="s">
        <v>18</v>
      </c>
      <c r="G474" t="s">
        <v>18</v>
      </c>
      <c r="H474" t="s">
        <v>21</v>
      </c>
      <c r="I474">
        <v>3</v>
      </c>
      <c r="J474">
        <v>2</v>
      </c>
      <c r="K474">
        <v>10</v>
      </c>
      <c r="L474" t="s">
        <v>1477</v>
      </c>
      <c r="M474" t="s">
        <v>123</v>
      </c>
      <c r="N474" t="s">
        <v>43</v>
      </c>
      <c r="O474" t="s">
        <v>909</v>
      </c>
      <c r="P474" t="s">
        <v>1478</v>
      </c>
      <c r="Q474">
        <f t="shared" si="126"/>
        <v>4</v>
      </c>
      <c r="R474">
        <f t="shared" si="127"/>
        <v>4</v>
      </c>
      <c r="S474">
        <f t="shared" si="128"/>
        <v>4</v>
      </c>
      <c r="T474">
        <f t="shared" si="129"/>
        <v>1</v>
      </c>
      <c r="U474">
        <v>10</v>
      </c>
      <c r="V474">
        <f t="shared" si="130"/>
        <v>1</v>
      </c>
      <c r="W474">
        <f t="shared" si="131"/>
        <v>0</v>
      </c>
      <c r="X474">
        <f t="shared" si="132"/>
        <v>1</v>
      </c>
      <c r="Y474">
        <f t="shared" si="133"/>
        <v>1</v>
      </c>
      <c r="Z474">
        <f t="shared" si="134"/>
        <v>1</v>
      </c>
      <c r="AA474">
        <f t="shared" si="135"/>
        <v>0</v>
      </c>
      <c r="AB474">
        <f t="shared" si="136"/>
        <v>1</v>
      </c>
      <c r="AC474">
        <f t="shared" si="137"/>
        <v>1</v>
      </c>
      <c r="AD474">
        <f t="shared" si="138"/>
        <v>0</v>
      </c>
      <c r="AE474">
        <f t="shared" si="139"/>
        <v>0</v>
      </c>
      <c r="AF474">
        <f t="shared" si="140"/>
        <v>1</v>
      </c>
      <c r="AG474">
        <f t="shared" si="141"/>
        <v>1</v>
      </c>
      <c r="AH474">
        <f t="shared" si="142"/>
        <v>0</v>
      </c>
      <c r="AI474">
        <f t="shared" si="143"/>
        <v>0</v>
      </c>
    </row>
    <row r="475" spans="1:35" x14ac:dyDescent="0.2">
      <c r="A475">
        <v>32</v>
      </c>
      <c r="B475" t="s">
        <v>1398</v>
      </c>
      <c r="C475">
        <v>6</v>
      </c>
      <c r="D475" t="s">
        <v>1479</v>
      </c>
      <c r="E475" t="s">
        <v>21</v>
      </c>
      <c r="F475" t="s">
        <v>18</v>
      </c>
      <c r="G475" t="s">
        <v>39</v>
      </c>
      <c r="H475" t="s">
        <v>21</v>
      </c>
      <c r="I475">
        <v>1</v>
      </c>
      <c r="J475">
        <v>1</v>
      </c>
      <c r="K475" s="1">
        <v>100</v>
      </c>
      <c r="L475" t="s">
        <v>194</v>
      </c>
      <c r="M475" t="s">
        <v>123</v>
      </c>
      <c r="N475" t="s">
        <v>215</v>
      </c>
      <c r="O475" t="s">
        <v>1480</v>
      </c>
      <c r="P475" t="s">
        <v>1481</v>
      </c>
      <c r="Q475">
        <f t="shared" si="126"/>
        <v>1</v>
      </c>
      <c r="R475">
        <f t="shared" si="127"/>
        <v>4</v>
      </c>
      <c r="S475">
        <f t="shared" si="128"/>
        <v>5</v>
      </c>
      <c r="T475">
        <f t="shared" si="129"/>
        <v>1</v>
      </c>
      <c r="U475">
        <v>100</v>
      </c>
      <c r="V475">
        <f t="shared" si="130"/>
        <v>0</v>
      </c>
      <c r="W475">
        <f t="shared" si="131"/>
        <v>0</v>
      </c>
      <c r="X475">
        <f t="shared" si="132"/>
        <v>0</v>
      </c>
      <c r="Y475">
        <f t="shared" si="133"/>
        <v>1</v>
      </c>
      <c r="Z475">
        <f t="shared" si="134"/>
        <v>1</v>
      </c>
      <c r="AA475">
        <f t="shared" si="135"/>
        <v>0</v>
      </c>
      <c r="AB475">
        <f t="shared" si="136"/>
        <v>1</v>
      </c>
      <c r="AC475">
        <f t="shared" si="137"/>
        <v>1</v>
      </c>
      <c r="AD475">
        <f t="shared" si="138"/>
        <v>0</v>
      </c>
      <c r="AE475">
        <f t="shared" si="139"/>
        <v>0</v>
      </c>
      <c r="AF475">
        <f t="shared" si="140"/>
        <v>1</v>
      </c>
      <c r="AG475">
        <f t="shared" si="141"/>
        <v>0</v>
      </c>
      <c r="AH475">
        <f t="shared" si="142"/>
        <v>0</v>
      </c>
      <c r="AI475">
        <f t="shared" si="143"/>
        <v>0</v>
      </c>
    </row>
    <row r="476" spans="1:35" x14ac:dyDescent="0.2">
      <c r="A476">
        <v>33</v>
      </c>
      <c r="B476" t="s">
        <v>1398</v>
      </c>
      <c r="C476">
        <v>3</v>
      </c>
      <c r="D476" t="s">
        <v>1482</v>
      </c>
      <c r="E476" t="s">
        <v>21</v>
      </c>
      <c r="F476" t="s">
        <v>18</v>
      </c>
      <c r="G476" t="s">
        <v>39</v>
      </c>
      <c r="H476" t="s">
        <v>21</v>
      </c>
      <c r="I476">
        <v>2</v>
      </c>
      <c r="J476">
        <v>1</v>
      </c>
      <c r="K476">
        <v>25</v>
      </c>
      <c r="L476" t="s">
        <v>79</v>
      </c>
      <c r="M476" t="s">
        <v>135</v>
      </c>
      <c r="N476" t="s">
        <v>84</v>
      </c>
      <c r="O476" t="s">
        <v>1483</v>
      </c>
      <c r="P476" t="s">
        <v>1484</v>
      </c>
      <c r="Q476">
        <f t="shared" si="126"/>
        <v>1</v>
      </c>
      <c r="R476">
        <f t="shared" si="127"/>
        <v>4</v>
      </c>
      <c r="S476">
        <f t="shared" si="128"/>
        <v>5</v>
      </c>
      <c r="T476">
        <f t="shared" si="129"/>
        <v>1</v>
      </c>
      <c r="U476">
        <v>25</v>
      </c>
      <c r="V476">
        <f t="shared" si="130"/>
        <v>0</v>
      </c>
      <c r="W476">
        <f t="shared" si="131"/>
        <v>1</v>
      </c>
      <c r="X476">
        <f t="shared" si="132"/>
        <v>0</v>
      </c>
      <c r="Y476">
        <f t="shared" si="133"/>
        <v>0</v>
      </c>
      <c r="Z476">
        <f t="shared" si="134"/>
        <v>1</v>
      </c>
      <c r="AA476">
        <f t="shared" si="135"/>
        <v>1</v>
      </c>
      <c r="AB476">
        <f t="shared" si="136"/>
        <v>1</v>
      </c>
      <c r="AC476">
        <f t="shared" si="137"/>
        <v>0</v>
      </c>
      <c r="AD476">
        <f t="shared" si="138"/>
        <v>0</v>
      </c>
      <c r="AE476">
        <f t="shared" si="139"/>
        <v>0</v>
      </c>
      <c r="AF476">
        <f t="shared" si="140"/>
        <v>0</v>
      </c>
      <c r="AG476">
        <f t="shared" si="141"/>
        <v>1</v>
      </c>
      <c r="AH476">
        <f t="shared" si="142"/>
        <v>0</v>
      </c>
      <c r="AI476">
        <f t="shared" si="143"/>
        <v>0</v>
      </c>
    </row>
    <row r="477" spans="1:35" x14ac:dyDescent="0.2">
      <c r="A477">
        <v>34</v>
      </c>
      <c r="B477" t="s">
        <v>1398</v>
      </c>
      <c r="C477">
        <v>4</v>
      </c>
      <c r="D477" t="s">
        <v>1485</v>
      </c>
      <c r="E477" t="s">
        <v>21</v>
      </c>
      <c r="F477" t="s">
        <v>18</v>
      </c>
      <c r="G477" t="s">
        <v>39</v>
      </c>
      <c r="H477" t="s">
        <v>21</v>
      </c>
      <c r="I477">
        <v>2</v>
      </c>
      <c r="J477">
        <v>2</v>
      </c>
      <c r="K477">
        <v>4000</v>
      </c>
      <c r="L477" t="s">
        <v>70</v>
      </c>
      <c r="M477" t="s">
        <v>42</v>
      </c>
      <c r="N477" t="s">
        <v>215</v>
      </c>
      <c r="O477" t="s">
        <v>1486</v>
      </c>
      <c r="P477" t="s">
        <v>1487</v>
      </c>
      <c r="Q477">
        <f t="shared" si="126"/>
        <v>1</v>
      </c>
      <c r="R477">
        <f t="shared" si="127"/>
        <v>4</v>
      </c>
      <c r="S477">
        <f t="shared" si="128"/>
        <v>5</v>
      </c>
      <c r="T477">
        <f t="shared" si="129"/>
        <v>1</v>
      </c>
      <c r="U477">
        <v>4000</v>
      </c>
      <c r="V477">
        <f t="shared" si="130"/>
        <v>0</v>
      </c>
      <c r="W477">
        <f t="shared" si="131"/>
        <v>0</v>
      </c>
      <c r="X477">
        <f t="shared" si="132"/>
        <v>0</v>
      </c>
      <c r="Y477">
        <f t="shared" si="133"/>
        <v>1</v>
      </c>
      <c r="Z477">
        <f t="shared" si="134"/>
        <v>0</v>
      </c>
      <c r="AA477">
        <f t="shared" si="135"/>
        <v>0</v>
      </c>
      <c r="AB477">
        <f t="shared" si="136"/>
        <v>1</v>
      </c>
      <c r="AC477">
        <f t="shared" si="137"/>
        <v>0</v>
      </c>
      <c r="AD477">
        <f t="shared" si="138"/>
        <v>0</v>
      </c>
      <c r="AE477">
        <f t="shared" si="139"/>
        <v>0</v>
      </c>
      <c r="AF477">
        <f t="shared" si="140"/>
        <v>1</v>
      </c>
      <c r="AG477">
        <f t="shared" si="141"/>
        <v>0</v>
      </c>
      <c r="AH477">
        <f t="shared" si="142"/>
        <v>0</v>
      </c>
      <c r="AI477">
        <f t="shared" si="143"/>
        <v>0</v>
      </c>
    </row>
    <row r="478" spans="1:35" x14ac:dyDescent="0.2">
      <c r="A478">
        <v>35</v>
      </c>
      <c r="B478" t="s">
        <v>1398</v>
      </c>
      <c r="C478">
        <v>5</v>
      </c>
      <c r="D478" t="s">
        <v>1488</v>
      </c>
      <c r="E478" t="s">
        <v>21</v>
      </c>
      <c r="F478" t="s">
        <v>18</v>
      </c>
      <c r="G478" t="s">
        <v>18</v>
      </c>
      <c r="H478" t="s">
        <v>21</v>
      </c>
      <c r="I478">
        <v>1</v>
      </c>
      <c r="J478">
        <v>2</v>
      </c>
      <c r="K478">
        <v>4</v>
      </c>
      <c r="L478" t="s">
        <v>41</v>
      </c>
      <c r="M478" t="s">
        <v>161</v>
      </c>
      <c r="N478" t="s">
        <v>43</v>
      </c>
      <c r="O478" t="s">
        <v>1489</v>
      </c>
      <c r="P478" t="s">
        <v>1490</v>
      </c>
      <c r="Q478">
        <f t="shared" si="126"/>
        <v>1</v>
      </c>
      <c r="R478">
        <f t="shared" si="127"/>
        <v>4</v>
      </c>
      <c r="S478">
        <f t="shared" si="128"/>
        <v>4</v>
      </c>
      <c r="T478">
        <f t="shared" si="129"/>
        <v>1</v>
      </c>
      <c r="U478">
        <v>4</v>
      </c>
      <c r="V478">
        <f t="shared" si="130"/>
        <v>0</v>
      </c>
      <c r="W478">
        <f t="shared" si="131"/>
        <v>0</v>
      </c>
      <c r="X478">
        <f t="shared" si="132"/>
        <v>0</v>
      </c>
      <c r="Y478">
        <f t="shared" si="133"/>
        <v>0</v>
      </c>
      <c r="Z478">
        <f t="shared" si="134"/>
        <v>1</v>
      </c>
      <c r="AA478">
        <f t="shared" si="135"/>
        <v>1</v>
      </c>
      <c r="AB478">
        <f t="shared" si="136"/>
        <v>1</v>
      </c>
      <c r="AC478">
        <f t="shared" si="137"/>
        <v>1</v>
      </c>
      <c r="AD478">
        <f t="shared" si="138"/>
        <v>1</v>
      </c>
      <c r="AE478">
        <f t="shared" si="139"/>
        <v>0</v>
      </c>
      <c r="AF478">
        <f t="shared" si="140"/>
        <v>1</v>
      </c>
      <c r="AG478">
        <f t="shared" si="141"/>
        <v>1</v>
      </c>
      <c r="AH478">
        <f t="shared" si="142"/>
        <v>0</v>
      </c>
      <c r="AI478">
        <f t="shared" si="143"/>
        <v>0</v>
      </c>
    </row>
    <row r="479" spans="1:35" x14ac:dyDescent="0.2">
      <c r="A479">
        <v>36</v>
      </c>
      <c r="B479" t="s">
        <v>1398</v>
      </c>
      <c r="C479">
        <v>2</v>
      </c>
      <c r="D479" t="s">
        <v>1491</v>
      </c>
      <c r="E479" t="s">
        <v>21</v>
      </c>
      <c r="F479" t="s">
        <v>18</v>
      </c>
      <c r="G479" t="s">
        <v>18</v>
      </c>
      <c r="H479" t="s">
        <v>21</v>
      </c>
      <c r="I479">
        <v>1</v>
      </c>
      <c r="J479">
        <v>2</v>
      </c>
      <c r="K479">
        <v>88</v>
      </c>
      <c r="L479" t="s">
        <v>41</v>
      </c>
      <c r="M479" t="s">
        <v>115</v>
      </c>
      <c r="N479" t="s">
        <v>215</v>
      </c>
      <c r="O479" t="s">
        <v>1492</v>
      </c>
      <c r="P479" t="s">
        <v>1493</v>
      </c>
      <c r="Q479">
        <f t="shared" si="126"/>
        <v>1</v>
      </c>
      <c r="R479">
        <f t="shared" si="127"/>
        <v>4</v>
      </c>
      <c r="S479">
        <f t="shared" si="128"/>
        <v>4</v>
      </c>
      <c r="T479">
        <f t="shared" si="129"/>
        <v>1</v>
      </c>
      <c r="U479">
        <v>88</v>
      </c>
      <c r="V479">
        <f t="shared" si="130"/>
        <v>0</v>
      </c>
      <c r="W479">
        <f t="shared" si="131"/>
        <v>0</v>
      </c>
      <c r="X479">
        <f t="shared" si="132"/>
        <v>0</v>
      </c>
      <c r="Y479">
        <f t="shared" si="133"/>
        <v>0</v>
      </c>
      <c r="Z479">
        <f t="shared" si="134"/>
        <v>1</v>
      </c>
      <c r="AA479">
        <f t="shared" si="135"/>
        <v>0</v>
      </c>
      <c r="AB479">
        <f t="shared" si="136"/>
        <v>0</v>
      </c>
      <c r="AC479">
        <f t="shared" si="137"/>
        <v>1</v>
      </c>
      <c r="AD479">
        <f t="shared" si="138"/>
        <v>0</v>
      </c>
      <c r="AE479">
        <f t="shared" si="139"/>
        <v>0</v>
      </c>
      <c r="AF479">
        <f t="shared" si="140"/>
        <v>1</v>
      </c>
      <c r="AG479">
        <f t="shared" si="141"/>
        <v>0</v>
      </c>
      <c r="AH479">
        <f t="shared" si="142"/>
        <v>0</v>
      </c>
      <c r="AI479">
        <f t="shared" si="143"/>
        <v>0</v>
      </c>
    </row>
    <row r="480" spans="1:35" x14ac:dyDescent="0.2">
      <c r="A480">
        <v>37</v>
      </c>
      <c r="B480" t="s">
        <v>1398</v>
      </c>
      <c r="C480">
        <v>6</v>
      </c>
      <c r="D480" t="s">
        <v>1494</v>
      </c>
      <c r="E480" t="s">
        <v>21</v>
      </c>
      <c r="F480" t="s">
        <v>18</v>
      </c>
      <c r="G480" t="s">
        <v>18</v>
      </c>
      <c r="H480" t="s">
        <v>20</v>
      </c>
      <c r="I480">
        <v>2</v>
      </c>
      <c r="J480">
        <v>3</v>
      </c>
      <c r="K480">
        <v>20</v>
      </c>
      <c r="L480" t="s">
        <v>714</v>
      </c>
      <c r="M480" t="s">
        <v>1098</v>
      </c>
      <c r="N480" t="s">
        <v>215</v>
      </c>
      <c r="O480" t="s">
        <v>593</v>
      </c>
      <c r="P480" t="s">
        <v>1495</v>
      </c>
      <c r="Q480">
        <f t="shared" si="126"/>
        <v>1</v>
      </c>
      <c r="R480">
        <f t="shared" si="127"/>
        <v>4</v>
      </c>
      <c r="S480">
        <f t="shared" si="128"/>
        <v>4</v>
      </c>
      <c r="T480">
        <f t="shared" si="129"/>
        <v>2</v>
      </c>
      <c r="U480">
        <v>20</v>
      </c>
      <c r="V480">
        <f t="shared" si="130"/>
        <v>0</v>
      </c>
      <c r="W480">
        <f t="shared" si="131"/>
        <v>0</v>
      </c>
      <c r="X480">
        <f t="shared" si="132"/>
        <v>1</v>
      </c>
      <c r="Y480">
        <f t="shared" si="133"/>
        <v>1</v>
      </c>
      <c r="Z480">
        <f t="shared" si="134"/>
        <v>1</v>
      </c>
      <c r="AA480">
        <f t="shared" si="135"/>
        <v>1</v>
      </c>
      <c r="AB480">
        <f t="shared" si="136"/>
        <v>1</v>
      </c>
      <c r="AC480">
        <f t="shared" si="137"/>
        <v>1</v>
      </c>
      <c r="AD480">
        <f t="shared" si="138"/>
        <v>0</v>
      </c>
      <c r="AE480">
        <f t="shared" si="139"/>
        <v>1</v>
      </c>
      <c r="AF480">
        <f t="shared" si="140"/>
        <v>1</v>
      </c>
      <c r="AG480">
        <f t="shared" si="141"/>
        <v>0</v>
      </c>
      <c r="AH480">
        <f t="shared" si="142"/>
        <v>0</v>
      </c>
      <c r="AI480">
        <f t="shared" si="143"/>
        <v>0</v>
      </c>
    </row>
    <row r="481" spans="1:35" x14ac:dyDescent="0.2">
      <c r="A481">
        <v>38</v>
      </c>
      <c r="B481" t="s">
        <v>1398</v>
      </c>
      <c r="C481">
        <v>7</v>
      </c>
      <c r="D481" t="s">
        <v>1496</v>
      </c>
      <c r="E481" t="s">
        <v>18</v>
      </c>
      <c r="F481" t="s">
        <v>18</v>
      </c>
      <c r="G481" t="s">
        <v>39</v>
      </c>
      <c r="H481" t="s">
        <v>21</v>
      </c>
      <c r="I481">
        <v>3</v>
      </c>
      <c r="J481">
        <v>3</v>
      </c>
      <c r="K481" s="1">
        <v>50000</v>
      </c>
      <c r="L481" t="s">
        <v>562</v>
      </c>
      <c r="M481" t="s">
        <v>48</v>
      </c>
      <c r="N481" t="s">
        <v>43</v>
      </c>
      <c r="O481" t="s">
        <v>1497</v>
      </c>
      <c r="P481" t="s">
        <v>1498</v>
      </c>
      <c r="Q481">
        <f t="shared" si="126"/>
        <v>4</v>
      </c>
      <c r="R481">
        <f t="shared" si="127"/>
        <v>4</v>
      </c>
      <c r="S481">
        <f t="shared" si="128"/>
        <v>5</v>
      </c>
      <c r="T481">
        <f t="shared" si="129"/>
        <v>1</v>
      </c>
      <c r="U481">
        <v>50000</v>
      </c>
      <c r="V481">
        <f t="shared" si="130"/>
        <v>0</v>
      </c>
      <c r="W481">
        <f t="shared" si="131"/>
        <v>1</v>
      </c>
      <c r="X481">
        <f t="shared" si="132"/>
        <v>1</v>
      </c>
      <c r="Y481">
        <f t="shared" si="133"/>
        <v>0</v>
      </c>
      <c r="Z481">
        <f t="shared" si="134"/>
        <v>1</v>
      </c>
      <c r="AA481">
        <f t="shared" si="135"/>
        <v>1</v>
      </c>
      <c r="AB481">
        <f t="shared" si="136"/>
        <v>1</v>
      </c>
      <c r="AC481">
        <f t="shared" si="137"/>
        <v>1</v>
      </c>
      <c r="AD481">
        <f t="shared" si="138"/>
        <v>0</v>
      </c>
      <c r="AE481">
        <f t="shared" si="139"/>
        <v>0</v>
      </c>
      <c r="AF481">
        <f t="shared" si="140"/>
        <v>1</v>
      </c>
      <c r="AG481">
        <f t="shared" si="141"/>
        <v>1</v>
      </c>
      <c r="AH481">
        <f t="shared" si="142"/>
        <v>0</v>
      </c>
      <c r="AI481">
        <f t="shared" si="143"/>
        <v>0</v>
      </c>
    </row>
    <row r="482" spans="1:35" x14ac:dyDescent="0.2">
      <c r="A482">
        <v>39</v>
      </c>
      <c r="B482" t="s">
        <v>1398</v>
      </c>
      <c r="C482">
        <v>10</v>
      </c>
      <c r="D482" t="s">
        <v>1499</v>
      </c>
      <c r="E482" t="s">
        <v>21</v>
      </c>
      <c r="F482" t="s">
        <v>39</v>
      </c>
      <c r="G482" t="s">
        <v>39</v>
      </c>
      <c r="H482" t="s">
        <v>21</v>
      </c>
      <c r="I482">
        <v>4</v>
      </c>
      <c r="J482">
        <v>3</v>
      </c>
      <c r="K482" s="4">
        <v>10000</v>
      </c>
      <c r="L482" t="s">
        <v>601</v>
      </c>
      <c r="M482" t="s">
        <v>123</v>
      </c>
      <c r="N482" t="s">
        <v>215</v>
      </c>
      <c r="O482" t="s">
        <v>1500</v>
      </c>
      <c r="P482" t="s">
        <v>1501</v>
      </c>
      <c r="Q482">
        <f t="shared" si="126"/>
        <v>1</v>
      </c>
      <c r="R482">
        <f t="shared" si="127"/>
        <v>5</v>
      </c>
      <c r="S482">
        <f t="shared" si="128"/>
        <v>5</v>
      </c>
      <c r="T482">
        <f t="shared" si="129"/>
        <v>1</v>
      </c>
      <c r="U482">
        <v>10000</v>
      </c>
      <c r="V482">
        <f t="shared" si="130"/>
        <v>0</v>
      </c>
      <c r="W482">
        <f t="shared" si="131"/>
        <v>1</v>
      </c>
      <c r="X482">
        <f t="shared" si="132"/>
        <v>0</v>
      </c>
      <c r="Y482">
        <f t="shared" si="133"/>
        <v>1</v>
      </c>
      <c r="Z482">
        <f t="shared" si="134"/>
        <v>1</v>
      </c>
      <c r="AA482">
        <f t="shared" si="135"/>
        <v>0</v>
      </c>
      <c r="AB482">
        <f t="shared" si="136"/>
        <v>1</v>
      </c>
      <c r="AC482">
        <f t="shared" si="137"/>
        <v>1</v>
      </c>
      <c r="AD482">
        <f t="shared" si="138"/>
        <v>0</v>
      </c>
      <c r="AE482">
        <f t="shared" si="139"/>
        <v>0</v>
      </c>
      <c r="AF482">
        <f t="shared" si="140"/>
        <v>1</v>
      </c>
      <c r="AG482">
        <f t="shared" si="141"/>
        <v>0</v>
      </c>
      <c r="AH482">
        <f t="shared" si="142"/>
        <v>0</v>
      </c>
      <c r="AI482">
        <f t="shared" si="143"/>
        <v>0</v>
      </c>
    </row>
    <row r="483" spans="1:35" x14ac:dyDescent="0.2">
      <c r="A483">
        <v>40</v>
      </c>
      <c r="B483" t="s">
        <v>1398</v>
      </c>
      <c r="C483">
        <v>2</v>
      </c>
      <c r="D483" t="s">
        <v>1502</v>
      </c>
      <c r="E483" t="s">
        <v>19</v>
      </c>
      <c r="F483" t="s">
        <v>18</v>
      </c>
      <c r="G483" t="s">
        <v>39</v>
      </c>
      <c r="H483" t="s">
        <v>21</v>
      </c>
      <c r="I483">
        <v>2</v>
      </c>
      <c r="J483">
        <v>2</v>
      </c>
      <c r="K483">
        <v>100000</v>
      </c>
      <c r="L483" t="s">
        <v>70</v>
      </c>
      <c r="M483" t="s">
        <v>42</v>
      </c>
      <c r="N483" t="s">
        <v>215</v>
      </c>
      <c r="O483" t="s">
        <v>1503</v>
      </c>
      <c r="P483" t="s">
        <v>1504</v>
      </c>
      <c r="Q483">
        <f t="shared" si="126"/>
        <v>3</v>
      </c>
      <c r="R483">
        <f t="shared" si="127"/>
        <v>4</v>
      </c>
      <c r="S483">
        <f t="shared" si="128"/>
        <v>5</v>
      </c>
      <c r="T483">
        <f t="shared" si="129"/>
        <v>1</v>
      </c>
      <c r="U483">
        <v>100000</v>
      </c>
      <c r="V483">
        <f t="shared" si="130"/>
        <v>0</v>
      </c>
      <c r="W483">
        <f t="shared" si="131"/>
        <v>0</v>
      </c>
      <c r="X483">
        <f t="shared" si="132"/>
        <v>0</v>
      </c>
      <c r="Y483">
        <f t="shared" si="133"/>
        <v>1</v>
      </c>
      <c r="Z483">
        <f t="shared" si="134"/>
        <v>0</v>
      </c>
      <c r="AA483">
        <f t="shared" si="135"/>
        <v>0</v>
      </c>
      <c r="AB483">
        <f t="shared" si="136"/>
        <v>1</v>
      </c>
      <c r="AC483">
        <f t="shared" si="137"/>
        <v>0</v>
      </c>
      <c r="AD483">
        <f t="shared" si="138"/>
        <v>0</v>
      </c>
      <c r="AE483">
        <f t="shared" si="139"/>
        <v>0</v>
      </c>
      <c r="AF483">
        <f t="shared" si="140"/>
        <v>1</v>
      </c>
      <c r="AG483">
        <f t="shared" si="141"/>
        <v>0</v>
      </c>
      <c r="AH483">
        <f t="shared" si="142"/>
        <v>0</v>
      </c>
      <c r="AI483">
        <f t="shared" si="143"/>
        <v>0</v>
      </c>
    </row>
    <row r="484" spans="1:35" x14ac:dyDescent="0.2">
      <c r="A484">
        <v>41</v>
      </c>
      <c r="B484" t="s">
        <v>1398</v>
      </c>
      <c r="C484">
        <v>6</v>
      </c>
      <c r="D484" t="s">
        <v>1505</v>
      </c>
      <c r="E484" t="s">
        <v>21</v>
      </c>
      <c r="F484" t="s">
        <v>39</v>
      </c>
      <c r="G484" t="s">
        <v>39</v>
      </c>
      <c r="H484" t="s">
        <v>21</v>
      </c>
      <c r="I484">
        <v>1</v>
      </c>
      <c r="J484">
        <v>1</v>
      </c>
      <c r="K484">
        <v>20000</v>
      </c>
      <c r="L484" t="s">
        <v>714</v>
      </c>
      <c r="M484" t="s">
        <v>958</v>
      </c>
      <c r="N484" t="s">
        <v>43</v>
      </c>
      <c r="O484" t="s">
        <v>1419</v>
      </c>
      <c r="P484" t="s">
        <v>1506</v>
      </c>
      <c r="Q484">
        <f t="shared" si="126"/>
        <v>1</v>
      </c>
      <c r="R484">
        <f t="shared" si="127"/>
        <v>5</v>
      </c>
      <c r="S484">
        <f t="shared" si="128"/>
        <v>5</v>
      </c>
      <c r="T484">
        <f t="shared" si="129"/>
        <v>1</v>
      </c>
      <c r="U484">
        <v>20000</v>
      </c>
      <c r="V484">
        <f t="shared" si="130"/>
        <v>0</v>
      </c>
      <c r="W484">
        <f t="shared" si="131"/>
        <v>0</v>
      </c>
      <c r="X484">
        <f t="shared" si="132"/>
        <v>1</v>
      </c>
      <c r="Y484">
        <f t="shared" si="133"/>
        <v>1</v>
      </c>
      <c r="Z484">
        <f t="shared" si="134"/>
        <v>1</v>
      </c>
      <c r="AA484">
        <f t="shared" si="135"/>
        <v>1</v>
      </c>
      <c r="AB484">
        <f t="shared" si="136"/>
        <v>0</v>
      </c>
      <c r="AC484">
        <f t="shared" si="137"/>
        <v>1</v>
      </c>
      <c r="AD484">
        <f t="shared" si="138"/>
        <v>0</v>
      </c>
      <c r="AE484">
        <f t="shared" si="139"/>
        <v>1</v>
      </c>
      <c r="AF484">
        <f t="shared" si="140"/>
        <v>1</v>
      </c>
      <c r="AG484">
        <f t="shared" si="141"/>
        <v>1</v>
      </c>
      <c r="AH484">
        <f t="shared" si="142"/>
        <v>0</v>
      </c>
      <c r="AI484">
        <f t="shared" si="143"/>
        <v>0</v>
      </c>
    </row>
    <row r="485" spans="1:35" x14ac:dyDescent="0.2">
      <c r="A485">
        <v>42</v>
      </c>
      <c r="B485" t="s">
        <v>1398</v>
      </c>
      <c r="C485">
        <v>7</v>
      </c>
      <c r="D485" t="s">
        <v>1507</v>
      </c>
      <c r="E485" t="s">
        <v>20</v>
      </c>
      <c r="F485" t="s">
        <v>39</v>
      </c>
      <c r="G485" t="s">
        <v>39</v>
      </c>
      <c r="H485" t="s">
        <v>21</v>
      </c>
      <c r="I485">
        <v>2</v>
      </c>
      <c r="J485">
        <v>3</v>
      </c>
      <c r="K485">
        <v>250000</v>
      </c>
      <c r="L485" t="s">
        <v>1477</v>
      </c>
      <c r="M485" t="s">
        <v>781</v>
      </c>
      <c r="N485" t="s">
        <v>215</v>
      </c>
      <c r="O485" t="s">
        <v>1508</v>
      </c>
      <c r="P485" t="s">
        <v>1509</v>
      </c>
      <c r="Q485">
        <f t="shared" si="126"/>
        <v>2</v>
      </c>
      <c r="R485">
        <f t="shared" si="127"/>
        <v>5</v>
      </c>
      <c r="S485">
        <f t="shared" si="128"/>
        <v>5</v>
      </c>
      <c r="T485">
        <f t="shared" si="129"/>
        <v>1</v>
      </c>
      <c r="U485">
        <v>250000</v>
      </c>
      <c r="V485">
        <f t="shared" si="130"/>
        <v>1</v>
      </c>
      <c r="W485">
        <f t="shared" si="131"/>
        <v>0</v>
      </c>
      <c r="X485">
        <f t="shared" si="132"/>
        <v>1</v>
      </c>
      <c r="Y485">
        <f t="shared" si="133"/>
        <v>1</v>
      </c>
      <c r="Z485">
        <f t="shared" si="134"/>
        <v>1</v>
      </c>
      <c r="AA485">
        <f t="shared" si="135"/>
        <v>0</v>
      </c>
      <c r="AB485">
        <f t="shared" si="136"/>
        <v>1</v>
      </c>
      <c r="AC485">
        <f t="shared" si="137"/>
        <v>1</v>
      </c>
      <c r="AD485">
        <f t="shared" si="138"/>
        <v>1</v>
      </c>
      <c r="AE485">
        <f t="shared" si="139"/>
        <v>1</v>
      </c>
      <c r="AF485">
        <f t="shared" si="140"/>
        <v>1</v>
      </c>
      <c r="AG485">
        <f t="shared" si="141"/>
        <v>0</v>
      </c>
      <c r="AH485">
        <f t="shared" si="142"/>
        <v>0</v>
      </c>
      <c r="AI485">
        <f t="shared" si="143"/>
        <v>0</v>
      </c>
    </row>
    <row r="486" spans="1:35" x14ac:dyDescent="0.2">
      <c r="A486">
        <v>43</v>
      </c>
      <c r="B486" t="s">
        <v>1398</v>
      </c>
      <c r="C486">
        <v>3</v>
      </c>
      <c r="D486" t="s">
        <v>1510</v>
      </c>
      <c r="E486" t="s">
        <v>20</v>
      </c>
      <c r="F486" t="s">
        <v>19</v>
      </c>
      <c r="G486" t="s">
        <v>18</v>
      </c>
      <c r="H486" t="s">
        <v>18</v>
      </c>
      <c r="I486">
        <v>3</v>
      </c>
      <c r="J486">
        <v>1</v>
      </c>
      <c r="K486">
        <v>5000</v>
      </c>
      <c r="L486" t="s">
        <v>79</v>
      </c>
      <c r="M486" t="s">
        <v>115</v>
      </c>
      <c r="N486" t="s">
        <v>43</v>
      </c>
      <c r="O486" t="s">
        <v>1489</v>
      </c>
      <c r="P486" t="s">
        <v>1511</v>
      </c>
      <c r="Q486">
        <f t="shared" si="126"/>
        <v>2</v>
      </c>
      <c r="R486">
        <f t="shared" si="127"/>
        <v>3</v>
      </c>
      <c r="S486">
        <f t="shared" si="128"/>
        <v>4</v>
      </c>
      <c r="T486">
        <f t="shared" si="129"/>
        <v>4</v>
      </c>
      <c r="U486">
        <v>5000</v>
      </c>
      <c r="V486">
        <f t="shared" si="130"/>
        <v>0</v>
      </c>
      <c r="W486">
        <f t="shared" si="131"/>
        <v>1</v>
      </c>
      <c r="X486">
        <f t="shared" si="132"/>
        <v>0</v>
      </c>
      <c r="Y486">
        <f t="shared" si="133"/>
        <v>0</v>
      </c>
      <c r="Z486">
        <f t="shared" si="134"/>
        <v>1</v>
      </c>
      <c r="AA486">
        <f t="shared" si="135"/>
        <v>0</v>
      </c>
      <c r="AB486">
        <f t="shared" si="136"/>
        <v>0</v>
      </c>
      <c r="AC486">
        <f t="shared" si="137"/>
        <v>1</v>
      </c>
      <c r="AD486">
        <f t="shared" si="138"/>
        <v>0</v>
      </c>
      <c r="AE486">
        <f t="shared" si="139"/>
        <v>0</v>
      </c>
      <c r="AF486">
        <f t="shared" si="140"/>
        <v>1</v>
      </c>
      <c r="AG486">
        <f t="shared" si="141"/>
        <v>1</v>
      </c>
      <c r="AH486">
        <f t="shared" si="142"/>
        <v>0</v>
      </c>
      <c r="AI486">
        <f t="shared" si="143"/>
        <v>0</v>
      </c>
    </row>
    <row r="487" spans="1:35" x14ac:dyDescent="0.2">
      <c r="A487">
        <v>44</v>
      </c>
      <c r="B487" t="s">
        <v>1398</v>
      </c>
      <c r="C487">
        <v>7</v>
      </c>
      <c r="D487" t="s">
        <v>1512</v>
      </c>
      <c r="E487" t="s">
        <v>21</v>
      </c>
      <c r="F487" t="s">
        <v>39</v>
      </c>
      <c r="G487" t="s">
        <v>39</v>
      </c>
      <c r="H487" t="s">
        <v>21</v>
      </c>
      <c r="I487">
        <v>2</v>
      </c>
      <c r="J487">
        <v>3</v>
      </c>
      <c r="K487">
        <v>50</v>
      </c>
      <c r="L487" t="s">
        <v>601</v>
      </c>
      <c r="M487" t="s">
        <v>154</v>
      </c>
      <c r="N487" t="s">
        <v>43</v>
      </c>
      <c r="O487" t="s">
        <v>909</v>
      </c>
      <c r="P487" t="s">
        <v>1513</v>
      </c>
      <c r="Q487">
        <f t="shared" si="126"/>
        <v>1</v>
      </c>
      <c r="R487">
        <f t="shared" si="127"/>
        <v>5</v>
      </c>
      <c r="S487">
        <f t="shared" si="128"/>
        <v>5</v>
      </c>
      <c r="T487">
        <f t="shared" si="129"/>
        <v>1</v>
      </c>
      <c r="U487">
        <v>50</v>
      </c>
      <c r="V487">
        <f t="shared" si="130"/>
        <v>0</v>
      </c>
      <c r="W487">
        <f t="shared" si="131"/>
        <v>1</v>
      </c>
      <c r="X487">
        <f t="shared" si="132"/>
        <v>0</v>
      </c>
      <c r="Y487">
        <f t="shared" si="133"/>
        <v>1</v>
      </c>
      <c r="Z487">
        <f t="shared" si="134"/>
        <v>1</v>
      </c>
      <c r="AA487">
        <f t="shared" si="135"/>
        <v>1</v>
      </c>
      <c r="AB487">
        <f t="shared" si="136"/>
        <v>0</v>
      </c>
      <c r="AC487">
        <f t="shared" si="137"/>
        <v>1</v>
      </c>
      <c r="AD487">
        <f t="shared" si="138"/>
        <v>0</v>
      </c>
      <c r="AE487">
        <f t="shared" si="139"/>
        <v>0</v>
      </c>
      <c r="AF487">
        <f t="shared" si="140"/>
        <v>1</v>
      </c>
      <c r="AG487">
        <f t="shared" si="141"/>
        <v>1</v>
      </c>
      <c r="AH487">
        <f t="shared" si="142"/>
        <v>0</v>
      </c>
      <c r="AI487">
        <f t="shared" si="143"/>
        <v>0</v>
      </c>
    </row>
    <row r="488" spans="1:35" x14ac:dyDescent="0.2">
      <c r="A488">
        <v>45</v>
      </c>
      <c r="B488" t="s">
        <v>1398</v>
      </c>
      <c r="C488">
        <v>5</v>
      </c>
      <c r="D488" t="s">
        <v>1514</v>
      </c>
      <c r="E488" t="s">
        <v>21</v>
      </c>
      <c r="F488" t="s">
        <v>20</v>
      </c>
      <c r="G488" t="s">
        <v>39</v>
      </c>
      <c r="H488" t="s">
        <v>21</v>
      </c>
      <c r="I488">
        <v>5</v>
      </c>
      <c r="J488">
        <v>4</v>
      </c>
      <c r="K488">
        <v>100000</v>
      </c>
      <c r="L488" t="s">
        <v>230</v>
      </c>
      <c r="M488" t="s">
        <v>468</v>
      </c>
      <c r="N488" t="s">
        <v>84</v>
      </c>
      <c r="O488" t="s">
        <v>1515</v>
      </c>
      <c r="P488" t="s">
        <v>1516</v>
      </c>
      <c r="Q488">
        <f t="shared" si="126"/>
        <v>1</v>
      </c>
      <c r="R488">
        <f t="shared" si="127"/>
        <v>2</v>
      </c>
      <c r="S488">
        <f t="shared" si="128"/>
        <v>5</v>
      </c>
      <c r="T488">
        <f t="shared" si="129"/>
        <v>1</v>
      </c>
      <c r="U488">
        <v>100000</v>
      </c>
      <c r="V488">
        <f t="shared" si="130"/>
        <v>1</v>
      </c>
      <c r="W488">
        <f t="shared" si="131"/>
        <v>1</v>
      </c>
      <c r="X488">
        <f t="shared" si="132"/>
        <v>1</v>
      </c>
      <c r="Y488">
        <f t="shared" si="133"/>
        <v>1</v>
      </c>
      <c r="Z488">
        <f t="shared" si="134"/>
        <v>1</v>
      </c>
      <c r="AA488">
        <f t="shared" si="135"/>
        <v>1</v>
      </c>
      <c r="AB488">
        <f t="shared" si="136"/>
        <v>1</v>
      </c>
      <c r="AC488">
        <f t="shared" si="137"/>
        <v>1</v>
      </c>
      <c r="AD488">
        <f t="shared" si="138"/>
        <v>1</v>
      </c>
      <c r="AE488">
        <f t="shared" si="139"/>
        <v>1</v>
      </c>
      <c r="AF488">
        <f t="shared" si="140"/>
        <v>0</v>
      </c>
      <c r="AG488">
        <f t="shared" si="141"/>
        <v>1</v>
      </c>
      <c r="AH488">
        <f t="shared" si="142"/>
        <v>0</v>
      </c>
      <c r="AI488">
        <f t="shared" si="143"/>
        <v>0</v>
      </c>
    </row>
    <row r="489" spans="1:35" x14ac:dyDescent="0.2">
      <c r="A489">
        <v>46</v>
      </c>
      <c r="B489" t="s">
        <v>1398</v>
      </c>
      <c r="C489">
        <v>7</v>
      </c>
      <c r="D489" t="s">
        <v>1517</v>
      </c>
      <c r="E489" t="s">
        <v>21</v>
      </c>
      <c r="F489" t="s">
        <v>39</v>
      </c>
      <c r="G489" t="s">
        <v>18</v>
      </c>
      <c r="H489" t="s">
        <v>21</v>
      </c>
      <c r="I489">
        <v>3</v>
      </c>
      <c r="J489">
        <v>3</v>
      </c>
      <c r="K489">
        <v>25</v>
      </c>
      <c r="L489" t="s">
        <v>79</v>
      </c>
      <c r="M489" t="s">
        <v>781</v>
      </c>
      <c r="N489" t="s">
        <v>43</v>
      </c>
      <c r="O489" t="s">
        <v>1518</v>
      </c>
      <c r="P489" t="s">
        <v>1519</v>
      </c>
      <c r="Q489">
        <f t="shared" si="126"/>
        <v>1</v>
      </c>
      <c r="R489">
        <f t="shared" si="127"/>
        <v>5</v>
      </c>
      <c r="S489">
        <f t="shared" si="128"/>
        <v>4</v>
      </c>
      <c r="T489">
        <f t="shared" si="129"/>
        <v>1</v>
      </c>
      <c r="U489">
        <v>25</v>
      </c>
      <c r="V489">
        <f t="shared" si="130"/>
        <v>0</v>
      </c>
      <c r="W489">
        <f t="shared" si="131"/>
        <v>1</v>
      </c>
      <c r="X489">
        <f t="shared" si="132"/>
        <v>0</v>
      </c>
      <c r="Y489">
        <f t="shared" si="133"/>
        <v>0</v>
      </c>
      <c r="Z489">
        <f t="shared" si="134"/>
        <v>1</v>
      </c>
      <c r="AA489">
        <f t="shared" si="135"/>
        <v>0</v>
      </c>
      <c r="AB489">
        <f t="shared" si="136"/>
        <v>1</v>
      </c>
      <c r="AC489">
        <f t="shared" si="137"/>
        <v>1</v>
      </c>
      <c r="AD489">
        <f t="shared" si="138"/>
        <v>1</v>
      </c>
      <c r="AE489">
        <f t="shared" si="139"/>
        <v>1</v>
      </c>
      <c r="AF489">
        <f t="shared" si="140"/>
        <v>1</v>
      </c>
      <c r="AG489">
        <f t="shared" si="141"/>
        <v>1</v>
      </c>
      <c r="AH489">
        <f t="shared" si="142"/>
        <v>0</v>
      </c>
      <c r="AI489">
        <f t="shared" si="143"/>
        <v>0</v>
      </c>
    </row>
    <row r="490" spans="1:35" x14ac:dyDescent="0.2">
      <c r="A490">
        <v>47</v>
      </c>
      <c r="B490" t="s">
        <v>1398</v>
      </c>
      <c r="C490">
        <v>3</v>
      </c>
      <c r="D490" t="s">
        <v>1520</v>
      </c>
      <c r="E490" t="s">
        <v>21</v>
      </c>
      <c r="F490" t="s">
        <v>39</v>
      </c>
      <c r="G490" t="s">
        <v>18</v>
      </c>
      <c r="H490" t="s">
        <v>21</v>
      </c>
      <c r="I490">
        <v>3</v>
      </c>
      <c r="J490">
        <v>3</v>
      </c>
      <c r="K490">
        <v>125</v>
      </c>
      <c r="L490" t="s">
        <v>1521</v>
      </c>
      <c r="M490" t="s">
        <v>42</v>
      </c>
      <c r="N490" t="s">
        <v>215</v>
      </c>
      <c r="O490" t="s">
        <v>1522</v>
      </c>
      <c r="P490" t="s">
        <v>1523</v>
      </c>
      <c r="Q490">
        <f t="shared" si="126"/>
        <v>1</v>
      </c>
      <c r="R490">
        <f t="shared" si="127"/>
        <v>5</v>
      </c>
      <c r="S490">
        <f t="shared" si="128"/>
        <v>4</v>
      </c>
      <c r="T490">
        <f t="shared" si="129"/>
        <v>1</v>
      </c>
      <c r="U490">
        <v>125</v>
      </c>
      <c r="V490">
        <f t="shared" si="130"/>
        <v>1</v>
      </c>
      <c r="W490">
        <f t="shared" si="131"/>
        <v>1</v>
      </c>
      <c r="X490">
        <f t="shared" si="132"/>
        <v>1</v>
      </c>
      <c r="Y490">
        <f t="shared" si="133"/>
        <v>1</v>
      </c>
      <c r="Z490">
        <f t="shared" si="134"/>
        <v>0</v>
      </c>
      <c r="AA490">
        <f t="shared" si="135"/>
        <v>0</v>
      </c>
      <c r="AB490">
        <f t="shared" si="136"/>
        <v>1</v>
      </c>
      <c r="AC490">
        <f t="shared" si="137"/>
        <v>0</v>
      </c>
      <c r="AD490">
        <f t="shared" si="138"/>
        <v>0</v>
      </c>
      <c r="AE490">
        <f t="shared" si="139"/>
        <v>0</v>
      </c>
      <c r="AF490">
        <f t="shared" si="140"/>
        <v>1</v>
      </c>
      <c r="AG490">
        <f t="shared" si="141"/>
        <v>0</v>
      </c>
      <c r="AH490">
        <f t="shared" si="142"/>
        <v>0</v>
      </c>
      <c r="AI490">
        <f t="shared" si="143"/>
        <v>0</v>
      </c>
    </row>
    <row r="491" spans="1:35" x14ac:dyDescent="0.2">
      <c r="A491">
        <v>48</v>
      </c>
      <c r="B491" t="s">
        <v>1398</v>
      </c>
      <c r="C491">
        <v>10</v>
      </c>
      <c r="D491" t="s">
        <v>1524</v>
      </c>
      <c r="E491" t="s">
        <v>21</v>
      </c>
      <c r="F491" t="s">
        <v>18</v>
      </c>
      <c r="G491" t="s">
        <v>39</v>
      </c>
      <c r="H491" t="s">
        <v>21</v>
      </c>
      <c r="I491">
        <v>1</v>
      </c>
      <c r="J491">
        <v>1</v>
      </c>
      <c r="K491">
        <v>2000</v>
      </c>
      <c r="L491" t="s">
        <v>601</v>
      </c>
      <c r="M491" t="s">
        <v>48</v>
      </c>
      <c r="N491" t="s">
        <v>43</v>
      </c>
      <c r="O491" t="s">
        <v>1419</v>
      </c>
      <c r="P491" t="s">
        <v>1525</v>
      </c>
      <c r="Q491">
        <f t="shared" si="126"/>
        <v>1</v>
      </c>
      <c r="R491">
        <f t="shared" si="127"/>
        <v>4</v>
      </c>
      <c r="S491">
        <f t="shared" si="128"/>
        <v>5</v>
      </c>
      <c r="T491">
        <f t="shared" si="129"/>
        <v>1</v>
      </c>
      <c r="U491">
        <v>2000</v>
      </c>
      <c r="V491">
        <f t="shared" si="130"/>
        <v>0</v>
      </c>
      <c r="W491">
        <f t="shared" si="131"/>
        <v>1</v>
      </c>
      <c r="X491">
        <f t="shared" si="132"/>
        <v>0</v>
      </c>
      <c r="Y491">
        <f t="shared" si="133"/>
        <v>1</v>
      </c>
      <c r="Z491">
        <f t="shared" si="134"/>
        <v>1</v>
      </c>
      <c r="AA491">
        <f t="shared" si="135"/>
        <v>1</v>
      </c>
      <c r="AB491">
        <f t="shared" si="136"/>
        <v>1</v>
      </c>
      <c r="AC491">
        <f t="shared" si="137"/>
        <v>1</v>
      </c>
      <c r="AD491">
        <f t="shared" si="138"/>
        <v>0</v>
      </c>
      <c r="AE491">
        <f t="shared" si="139"/>
        <v>0</v>
      </c>
      <c r="AF491">
        <f t="shared" si="140"/>
        <v>1</v>
      </c>
      <c r="AG491">
        <f t="shared" si="141"/>
        <v>1</v>
      </c>
      <c r="AH491">
        <f t="shared" si="142"/>
        <v>0</v>
      </c>
      <c r="AI491">
        <f t="shared" si="143"/>
        <v>0</v>
      </c>
    </row>
    <row r="492" spans="1:35" x14ac:dyDescent="0.2">
      <c r="A492">
        <v>49</v>
      </c>
      <c r="B492" t="s">
        <v>1398</v>
      </c>
      <c r="C492">
        <v>8</v>
      </c>
      <c r="D492" t="s">
        <v>1526</v>
      </c>
      <c r="E492" t="s">
        <v>21</v>
      </c>
      <c r="F492" t="s">
        <v>39</v>
      </c>
      <c r="G492" t="s">
        <v>18</v>
      </c>
      <c r="H492" t="s">
        <v>21</v>
      </c>
      <c r="I492">
        <v>4</v>
      </c>
      <c r="J492">
        <v>1</v>
      </c>
      <c r="K492" s="1">
        <v>100</v>
      </c>
      <c r="L492" t="s">
        <v>494</v>
      </c>
      <c r="M492" t="s">
        <v>781</v>
      </c>
      <c r="N492" t="s">
        <v>215</v>
      </c>
      <c r="O492" t="s">
        <v>1527</v>
      </c>
      <c r="P492" t="s">
        <v>1528</v>
      </c>
      <c r="Q492">
        <f t="shared" si="126"/>
        <v>1</v>
      </c>
      <c r="R492">
        <f t="shared" si="127"/>
        <v>5</v>
      </c>
      <c r="S492">
        <f t="shared" si="128"/>
        <v>4</v>
      </c>
      <c r="T492">
        <f t="shared" si="129"/>
        <v>1</v>
      </c>
      <c r="U492">
        <v>100</v>
      </c>
      <c r="V492">
        <f t="shared" si="130"/>
        <v>0</v>
      </c>
      <c r="W492">
        <f t="shared" si="131"/>
        <v>1</v>
      </c>
      <c r="X492">
        <f t="shared" si="132"/>
        <v>1</v>
      </c>
      <c r="Y492">
        <f t="shared" si="133"/>
        <v>1</v>
      </c>
      <c r="Z492">
        <f t="shared" si="134"/>
        <v>1</v>
      </c>
      <c r="AA492">
        <f t="shared" si="135"/>
        <v>0</v>
      </c>
      <c r="AB492">
        <f t="shared" si="136"/>
        <v>1</v>
      </c>
      <c r="AC492">
        <f t="shared" si="137"/>
        <v>1</v>
      </c>
      <c r="AD492">
        <f t="shared" si="138"/>
        <v>1</v>
      </c>
      <c r="AE492">
        <f t="shared" si="139"/>
        <v>1</v>
      </c>
      <c r="AF492">
        <f t="shared" si="140"/>
        <v>1</v>
      </c>
      <c r="AG492">
        <f t="shared" si="141"/>
        <v>0</v>
      </c>
      <c r="AH492">
        <f t="shared" si="142"/>
        <v>0</v>
      </c>
      <c r="AI492">
        <f t="shared" si="143"/>
        <v>0</v>
      </c>
    </row>
    <row r="493" spans="1:35" x14ac:dyDescent="0.2">
      <c r="A493">
        <v>50</v>
      </c>
      <c r="B493" t="s">
        <v>1398</v>
      </c>
      <c r="C493">
        <v>10</v>
      </c>
      <c r="D493" t="s">
        <v>1529</v>
      </c>
      <c r="E493" t="s">
        <v>20</v>
      </c>
      <c r="F493" t="s">
        <v>19</v>
      </c>
      <c r="G493" t="s">
        <v>19</v>
      </c>
      <c r="H493" t="s">
        <v>21</v>
      </c>
      <c r="I493">
        <v>1</v>
      </c>
      <c r="J493">
        <v>30</v>
      </c>
      <c r="K493" s="2">
        <v>700000000</v>
      </c>
      <c r="L493" t="s">
        <v>98</v>
      </c>
      <c r="M493" t="s">
        <v>468</v>
      </c>
      <c r="N493" t="s">
        <v>43</v>
      </c>
      <c r="O493" t="s">
        <v>1530</v>
      </c>
      <c r="P493" t="s">
        <v>1531</v>
      </c>
      <c r="Q493">
        <f t="shared" si="126"/>
        <v>2</v>
      </c>
      <c r="R493">
        <f t="shared" si="127"/>
        <v>3</v>
      </c>
      <c r="S493">
        <f t="shared" si="128"/>
        <v>3</v>
      </c>
      <c r="T493">
        <f t="shared" si="129"/>
        <v>1</v>
      </c>
      <c r="U493">
        <v>700000000</v>
      </c>
      <c r="V493">
        <f t="shared" si="130"/>
        <v>0</v>
      </c>
      <c r="W493">
        <f t="shared" si="131"/>
        <v>1</v>
      </c>
      <c r="X493">
        <f t="shared" si="132"/>
        <v>0</v>
      </c>
      <c r="Y493">
        <f t="shared" si="133"/>
        <v>0</v>
      </c>
      <c r="Z493">
        <f t="shared" si="134"/>
        <v>0</v>
      </c>
      <c r="AA493">
        <f t="shared" si="135"/>
        <v>1</v>
      </c>
      <c r="AB493">
        <f t="shared" si="136"/>
        <v>1</v>
      </c>
      <c r="AC493">
        <f t="shared" si="137"/>
        <v>1</v>
      </c>
      <c r="AD493">
        <f t="shared" si="138"/>
        <v>1</v>
      </c>
      <c r="AE493">
        <f t="shared" si="139"/>
        <v>1</v>
      </c>
      <c r="AF493">
        <f t="shared" si="140"/>
        <v>1</v>
      </c>
      <c r="AG493">
        <f t="shared" si="141"/>
        <v>1</v>
      </c>
      <c r="AH493">
        <f t="shared" si="142"/>
        <v>0</v>
      </c>
      <c r="AI493">
        <f t="shared" si="143"/>
        <v>0</v>
      </c>
    </row>
    <row r="494" spans="1:35" x14ac:dyDescent="0.2">
      <c r="A494">
        <v>51</v>
      </c>
      <c r="B494" t="s">
        <v>1398</v>
      </c>
      <c r="C494">
        <v>6</v>
      </c>
      <c r="D494" t="s">
        <v>1418</v>
      </c>
      <c r="E494" t="s">
        <v>21</v>
      </c>
      <c r="F494" t="s">
        <v>18</v>
      </c>
      <c r="G494" t="s">
        <v>39</v>
      </c>
      <c r="H494" t="s">
        <v>21</v>
      </c>
      <c r="I494">
        <v>2</v>
      </c>
      <c r="J494">
        <v>3</v>
      </c>
      <c r="K494">
        <v>2500</v>
      </c>
      <c r="L494" t="s">
        <v>75</v>
      </c>
      <c r="M494" t="s">
        <v>42</v>
      </c>
      <c r="N494" t="s">
        <v>43</v>
      </c>
      <c r="O494" t="s">
        <v>1532</v>
      </c>
      <c r="P494" t="s">
        <v>1533</v>
      </c>
      <c r="Q494">
        <f t="shared" si="126"/>
        <v>1</v>
      </c>
      <c r="R494">
        <f t="shared" si="127"/>
        <v>4</v>
      </c>
      <c r="S494">
        <f t="shared" si="128"/>
        <v>5</v>
      </c>
      <c r="T494">
        <f t="shared" si="129"/>
        <v>1</v>
      </c>
      <c r="U494">
        <v>2500</v>
      </c>
      <c r="V494">
        <f t="shared" si="130"/>
        <v>0</v>
      </c>
      <c r="W494">
        <f t="shared" si="131"/>
        <v>0</v>
      </c>
      <c r="X494">
        <f t="shared" si="132"/>
        <v>1</v>
      </c>
      <c r="Y494">
        <f t="shared" si="133"/>
        <v>1</v>
      </c>
      <c r="Z494">
        <f t="shared" si="134"/>
        <v>0</v>
      </c>
      <c r="AA494">
        <f t="shared" si="135"/>
        <v>0</v>
      </c>
      <c r="AB494">
        <f t="shared" si="136"/>
        <v>1</v>
      </c>
      <c r="AC494">
        <f t="shared" si="137"/>
        <v>0</v>
      </c>
      <c r="AD494">
        <f t="shared" si="138"/>
        <v>0</v>
      </c>
      <c r="AE494">
        <f t="shared" si="139"/>
        <v>0</v>
      </c>
      <c r="AF494">
        <f t="shared" si="140"/>
        <v>1</v>
      </c>
      <c r="AG494">
        <f t="shared" si="141"/>
        <v>1</v>
      </c>
      <c r="AH494">
        <f t="shared" si="142"/>
        <v>0</v>
      </c>
      <c r="AI494">
        <f t="shared" si="143"/>
        <v>0</v>
      </c>
    </row>
    <row r="495" spans="1:35" x14ac:dyDescent="0.2">
      <c r="A495">
        <v>52</v>
      </c>
      <c r="B495" t="s">
        <v>1398</v>
      </c>
      <c r="C495">
        <v>3</v>
      </c>
      <c r="D495" t="s">
        <v>1534</v>
      </c>
      <c r="E495" t="s">
        <v>19</v>
      </c>
      <c r="F495" t="s">
        <v>19</v>
      </c>
      <c r="G495" t="s">
        <v>19</v>
      </c>
      <c r="H495" t="s">
        <v>19</v>
      </c>
      <c r="I495">
        <v>1</v>
      </c>
      <c r="J495">
        <v>1</v>
      </c>
      <c r="K495">
        <v>5</v>
      </c>
      <c r="L495" t="s">
        <v>22</v>
      </c>
      <c r="M495" t="s">
        <v>179</v>
      </c>
      <c r="N495" t="s">
        <v>215</v>
      </c>
      <c r="O495" t="s">
        <v>183</v>
      </c>
      <c r="P495" t="s">
        <v>1535</v>
      </c>
      <c r="Q495">
        <f t="shared" si="126"/>
        <v>3</v>
      </c>
      <c r="R495">
        <f t="shared" si="127"/>
        <v>3</v>
      </c>
      <c r="S495">
        <f t="shared" si="128"/>
        <v>3</v>
      </c>
      <c r="T495">
        <f t="shared" si="129"/>
        <v>3</v>
      </c>
      <c r="U495">
        <v>5</v>
      </c>
      <c r="V495">
        <f t="shared" si="130"/>
        <v>1</v>
      </c>
      <c r="W495">
        <f t="shared" si="131"/>
        <v>0</v>
      </c>
      <c r="X495">
        <f t="shared" si="132"/>
        <v>0</v>
      </c>
      <c r="Y495">
        <f t="shared" si="133"/>
        <v>0</v>
      </c>
      <c r="Z495">
        <f t="shared" si="134"/>
        <v>0</v>
      </c>
      <c r="AA495">
        <f t="shared" si="135"/>
        <v>0</v>
      </c>
      <c r="AB495">
        <f t="shared" si="136"/>
        <v>0</v>
      </c>
      <c r="AC495">
        <f t="shared" si="137"/>
        <v>0</v>
      </c>
      <c r="AD495">
        <f t="shared" si="138"/>
        <v>1</v>
      </c>
      <c r="AE495">
        <f t="shared" si="139"/>
        <v>1</v>
      </c>
      <c r="AF495">
        <f t="shared" si="140"/>
        <v>1</v>
      </c>
      <c r="AG495">
        <f t="shared" si="141"/>
        <v>0</v>
      </c>
      <c r="AH495">
        <f t="shared" si="142"/>
        <v>0</v>
      </c>
      <c r="AI495">
        <f t="shared" si="143"/>
        <v>0</v>
      </c>
    </row>
    <row r="496" spans="1:35" x14ac:dyDescent="0.2">
      <c r="A496">
        <v>53</v>
      </c>
      <c r="B496" t="s">
        <v>1398</v>
      </c>
      <c r="C496">
        <v>6</v>
      </c>
      <c r="D496" t="s">
        <v>1536</v>
      </c>
      <c r="E496" t="s">
        <v>20</v>
      </c>
      <c r="F496" t="s">
        <v>39</v>
      </c>
      <c r="G496" t="s">
        <v>39</v>
      </c>
      <c r="H496" t="s">
        <v>21</v>
      </c>
      <c r="I496">
        <v>5</v>
      </c>
      <c r="J496">
        <v>1</v>
      </c>
      <c r="K496">
        <v>100</v>
      </c>
      <c r="L496" t="s">
        <v>230</v>
      </c>
      <c r="M496" t="s">
        <v>48</v>
      </c>
      <c r="N496" t="s">
        <v>43</v>
      </c>
      <c r="O496" t="s">
        <v>1537</v>
      </c>
      <c r="P496" t="s">
        <v>1538</v>
      </c>
      <c r="Q496">
        <f t="shared" si="126"/>
        <v>2</v>
      </c>
      <c r="R496">
        <f t="shared" si="127"/>
        <v>5</v>
      </c>
      <c r="S496">
        <f t="shared" si="128"/>
        <v>5</v>
      </c>
      <c r="T496">
        <f t="shared" si="129"/>
        <v>1</v>
      </c>
      <c r="U496">
        <v>100</v>
      </c>
      <c r="V496">
        <f t="shared" si="130"/>
        <v>1</v>
      </c>
      <c r="W496">
        <f t="shared" si="131"/>
        <v>1</v>
      </c>
      <c r="X496">
        <f t="shared" si="132"/>
        <v>1</v>
      </c>
      <c r="Y496">
        <f t="shared" si="133"/>
        <v>1</v>
      </c>
      <c r="Z496">
        <f t="shared" si="134"/>
        <v>1</v>
      </c>
      <c r="AA496">
        <f t="shared" si="135"/>
        <v>1</v>
      </c>
      <c r="AB496">
        <f t="shared" si="136"/>
        <v>1</v>
      </c>
      <c r="AC496">
        <f t="shared" si="137"/>
        <v>1</v>
      </c>
      <c r="AD496">
        <f t="shared" si="138"/>
        <v>0</v>
      </c>
      <c r="AE496">
        <f t="shared" si="139"/>
        <v>0</v>
      </c>
      <c r="AF496">
        <f t="shared" si="140"/>
        <v>1</v>
      </c>
      <c r="AG496">
        <f t="shared" si="141"/>
        <v>1</v>
      </c>
      <c r="AH496">
        <f t="shared" si="142"/>
        <v>0</v>
      </c>
      <c r="AI496">
        <f t="shared" si="143"/>
        <v>0</v>
      </c>
    </row>
    <row r="497" spans="1:35" x14ac:dyDescent="0.2">
      <c r="A497">
        <v>54</v>
      </c>
      <c r="B497" t="s">
        <v>1398</v>
      </c>
      <c r="C497">
        <v>7</v>
      </c>
      <c r="D497" t="s">
        <v>1539</v>
      </c>
      <c r="E497" t="s">
        <v>21</v>
      </c>
      <c r="F497" t="s">
        <v>39</v>
      </c>
      <c r="G497" t="s">
        <v>39</v>
      </c>
      <c r="H497" t="s">
        <v>21</v>
      </c>
      <c r="I497">
        <v>9</v>
      </c>
      <c r="J497">
        <v>9</v>
      </c>
      <c r="K497" t="s">
        <v>1540</v>
      </c>
      <c r="L497" t="s">
        <v>494</v>
      </c>
      <c r="M497" t="s">
        <v>161</v>
      </c>
      <c r="N497" t="s">
        <v>84</v>
      </c>
      <c r="O497" t="s">
        <v>1541</v>
      </c>
      <c r="P497" t="s">
        <v>1542</v>
      </c>
      <c r="Q497">
        <f t="shared" si="126"/>
        <v>1</v>
      </c>
      <c r="R497">
        <f t="shared" si="127"/>
        <v>5</v>
      </c>
      <c r="S497">
        <f t="shared" si="128"/>
        <v>5</v>
      </c>
      <c r="T497">
        <f t="shared" si="129"/>
        <v>1</v>
      </c>
      <c r="U497">
        <v>1500</v>
      </c>
      <c r="V497">
        <f t="shared" si="130"/>
        <v>0</v>
      </c>
      <c r="W497">
        <f t="shared" si="131"/>
        <v>1</v>
      </c>
      <c r="X497">
        <f t="shared" si="132"/>
        <v>1</v>
      </c>
      <c r="Y497">
        <f t="shared" si="133"/>
        <v>1</v>
      </c>
      <c r="Z497">
        <f t="shared" si="134"/>
        <v>1</v>
      </c>
      <c r="AA497">
        <f t="shared" si="135"/>
        <v>1</v>
      </c>
      <c r="AB497">
        <f t="shared" si="136"/>
        <v>1</v>
      </c>
      <c r="AC497">
        <f t="shared" si="137"/>
        <v>1</v>
      </c>
      <c r="AD497">
        <f t="shared" si="138"/>
        <v>1</v>
      </c>
      <c r="AE497">
        <f t="shared" si="139"/>
        <v>0</v>
      </c>
      <c r="AF497">
        <f t="shared" si="140"/>
        <v>0</v>
      </c>
      <c r="AG497">
        <f t="shared" si="141"/>
        <v>1</v>
      </c>
      <c r="AH497">
        <f t="shared" si="142"/>
        <v>0</v>
      </c>
      <c r="AI497">
        <f t="shared" si="143"/>
        <v>0</v>
      </c>
    </row>
    <row r="498" spans="1:35" x14ac:dyDescent="0.2">
      <c r="A498">
        <v>55</v>
      </c>
      <c r="B498" t="s">
        <v>1398</v>
      </c>
      <c r="C498">
        <v>10</v>
      </c>
      <c r="D498" t="s">
        <v>1543</v>
      </c>
      <c r="E498" t="s">
        <v>21</v>
      </c>
      <c r="F498" t="s">
        <v>39</v>
      </c>
      <c r="G498" t="s">
        <v>39</v>
      </c>
      <c r="H498" t="s">
        <v>21</v>
      </c>
      <c r="I498">
        <v>1</v>
      </c>
      <c r="J498">
        <v>1</v>
      </c>
      <c r="K498" s="1">
        <v>2000</v>
      </c>
      <c r="L498" t="s">
        <v>494</v>
      </c>
      <c r="M498" t="s">
        <v>468</v>
      </c>
      <c r="N498" t="s">
        <v>215</v>
      </c>
      <c r="O498" t="s">
        <v>1105</v>
      </c>
      <c r="P498" t="s">
        <v>1544</v>
      </c>
      <c r="Q498">
        <f t="shared" si="126"/>
        <v>1</v>
      </c>
      <c r="R498">
        <f t="shared" si="127"/>
        <v>5</v>
      </c>
      <c r="S498">
        <f t="shared" si="128"/>
        <v>5</v>
      </c>
      <c r="T498">
        <f t="shared" si="129"/>
        <v>1</v>
      </c>
      <c r="U498">
        <v>2000</v>
      </c>
      <c r="V498">
        <f t="shared" si="130"/>
        <v>0</v>
      </c>
      <c r="W498">
        <f t="shared" si="131"/>
        <v>1</v>
      </c>
      <c r="X498">
        <f t="shared" si="132"/>
        <v>1</v>
      </c>
      <c r="Y498">
        <f t="shared" si="133"/>
        <v>1</v>
      </c>
      <c r="Z498">
        <f t="shared" si="134"/>
        <v>1</v>
      </c>
      <c r="AA498">
        <f t="shared" si="135"/>
        <v>1</v>
      </c>
      <c r="AB498">
        <f t="shared" si="136"/>
        <v>1</v>
      </c>
      <c r="AC498">
        <f t="shared" si="137"/>
        <v>1</v>
      </c>
      <c r="AD498">
        <f t="shared" si="138"/>
        <v>1</v>
      </c>
      <c r="AE498">
        <f t="shared" si="139"/>
        <v>1</v>
      </c>
      <c r="AF498">
        <f t="shared" si="140"/>
        <v>1</v>
      </c>
      <c r="AG498">
        <f t="shared" si="141"/>
        <v>0</v>
      </c>
      <c r="AH498">
        <f t="shared" si="142"/>
        <v>0</v>
      </c>
      <c r="AI498">
        <f t="shared" si="143"/>
        <v>0</v>
      </c>
    </row>
    <row r="499" spans="1:35" x14ac:dyDescent="0.2">
      <c r="A499">
        <v>56</v>
      </c>
      <c r="B499" t="s">
        <v>1398</v>
      </c>
      <c r="C499">
        <v>3</v>
      </c>
      <c r="D499" t="s">
        <v>1545</v>
      </c>
      <c r="E499" t="s">
        <v>21</v>
      </c>
      <c r="F499" t="s">
        <v>39</v>
      </c>
      <c r="G499" t="s">
        <v>39</v>
      </c>
      <c r="H499" t="s">
        <v>20</v>
      </c>
      <c r="I499">
        <v>3</v>
      </c>
      <c r="J499">
        <v>1</v>
      </c>
      <c r="K499">
        <v>2000000</v>
      </c>
      <c r="L499" t="s">
        <v>194</v>
      </c>
      <c r="M499" t="s">
        <v>154</v>
      </c>
      <c r="N499" t="s">
        <v>215</v>
      </c>
      <c r="O499" t="s">
        <v>1546</v>
      </c>
      <c r="P499" t="s">
        <v>1547</v>
      </c>
      <c r="Q499">
        <f t="shared" si="126"/>
        <v>1</v>
      </c>
      <c r="R499">
        <f t="shared" si="127"/>
        <v>5</v>
      </c>
      <c r="S499">
        <f t="shared" si="128"/>
        <v>5</v>
      </c>
      <c r="T499">
        <f t="shared" si="129"/>
        <v>2</v>
      </c>
      <c r="U499">
        <v>2000000</v>
      </c>
      <c r="V499">
        <f t="shared" si="130"/>
        <v>0</v>
      </c>
      <c r="W499">
        <f t="shared" si="131"/>
        <v>0</v>
      </c>
      <c r="X499">
        <f t="shared" si="132"/>
        <v>0</v>
      </c>
      <c r="Y499">
        <f t="shared" si="133"/>
        <v>1</v>
      </c>
      <c r="Z499">
        <f t="shared" si="134"/>
        <v>1</v>
      </c>
      <c r="AA499">
        <f t="shared" si="135"/>
        <v>1</v>
      </c>
      <c r="AB499">
        <f t="shared" si="136"/>
        <v>0</v>
      </c>
      <c r="AC499">
        <f t="shared" si="137"/>
        <v>1</v>
      </c>
      <c r="AD499">
        <f t="shared" si="138"/>
        <v>0</v>
      </c>
      <c r="AE499">
        <f t="shared" si="139"/>
        <v>0</v>
      </c>
      <c r="AF499">
        <f t="shared" si="140"/>
        <v>1</v>
      </c>
      <c r="AG499">
        <f t="shared" si="141"/>
        <v>0</v>
      </c>
      <c r="AH499">
        <f t="shared" si="142"/>
        <v>0</v>
      </c>
      <c r="AI499">
        <f t="shared" si="143"/>
        <v>0</v>
      </c>
    </row>
    <row r="500" spans="1:35" x14ac:dyDescent="0.2">
      <c r="A500">
        <v>57</v>
      </c>
      <c r="B500" t="s">
        <v>1398</v>
      </c>
      <c r="C500">
        <v>3</v>
      </c>
      <c r="D500" t="s">
        <v>1548</v>
      </c>
      <c r="E500" t="s">
        <v>21</v>
      </c>
      <c r="F500" t="s">
        <v>18</v>
      </c>
      <c r="G500" t="s">
        <v>39</v>
      </c>
      <c r="H500" t="s">
        <v>21</v>
      </c>
      <c r="I500">
        <v>2</v>
      </c>
      <c r="J500">
        <v>2</v>
      </c>
      <c r="K500">
        <v>90</v>
      </c>
      <c r="L500" t="s">
        <v>194</v>
      </c>
      <c r="M500" t="s">
        <v>48</v>
      </c>
      <c r="N500" t="s">
        <v>43</v>
      </c>
      <c r="O500" t="s">
        <v>1549</v>
      </c>
      <c r="P500" t="s">
        <v>1550</v>
      </c>
      <c r="Q500">
        <f t="shared" si="126"/>
        <v>1</v>
      </c>
      <c r="R500">
        <f t="shared" si="127"/>
        <v>4</v>
      </c>
      <c r="S500">
        <f t="shared" si="128"/>
        <v>5</v>
      </c>
      <c r="T500">
        <f t="shared" si="129"/>
        <v>1</v>
      </c>
      <c r="U500">
        <v>90</v>
      </c>
      <c r="V500">
        <f t="shared" si="130"/>
        <v>0</v>
      </c>
      <c r="W500">
        <f t="shared" si="131"/>
        <v>0</v>
      </c>
      <c r="X500">
        <f t="shared" si="132"/>
        <v>0</v>
      </c>
      <c r="Y500">
        <f t="shared" si="133"/>
        <v>1</v>
      </c>
      <c r="Z500">
        <f t="shared" si="134"/>
        <v>1</v>
      </c>
      <c r="AA500">
        <f t="shared" si="135"/>
        <v>1</v>
      </c>
      <c r="AB500">
        <f t="shared" si="136"/>
        <v>1</v>
      </c>
      <c r="AC500">
        <f t="shared" si="137"/>
        <v>1</v>
      </c>
      <c r="AD500">
        <f t="shared" si="138"/>
        <v>0</v>
      </c>
      <c r="AE500">
        <f t="shared" si="139"/>
        <v>0</v>
      </c>
      <c r="AF500">
        <f t="shared" si="140"/>
        <v>1</v>
      </c>
      <c r="AG500">
        <f t="shared" si="141"/>
        <v>1</v>
      </c>
      <c r="AH500">
        <f t="shared" si="142"/>
        <v>0</v>
      </c>
      <c r="AI500">
        <f t="shared" si="143"/>
        <v>0</v>
      </c>
    </row>
    <row r="501" spans="1:35" x14ac:dyDescent="0.2">
      <c r="A501">
        <v>58</v>
      </c>
      <c r="B501" t="s">
        <v>1398</v>
      </c>
      <c r="C501">
        <v>3</v>
      </c>
      <c r="D501" t="s">
        <v>1551</v>
      </c>
      <c r="E501" t="s">
        <v>21</v>
      </c>
      <c r="F501" t="s">
        <v>39</v>
      </c>
      <c r="G501" t="s">
        <v>18</v>
      </c>
      <c r="H501" t="s">
        <v>21</v>
      </c>
      <c r="I501">
        <v>2</v>
      </c>
      <c r="J501">
        <v>1</v>
      </c>
      <c r="K501">
        <v>2000</v>
      </c>
      <c r="L501" t="s">
        <v>714</v>
      </c>
      <c r="M501" t="s">
        <v>154</v>
      </c>
      <c r="N501" t="s">
        <v>215</v>
      </c>
      <c r="O501" t="s">
        <v>1552</v>
      </c>
      <c r="P501" t="s">
        <v>1553</v>
      </c>
      <c r="Q501">
        <f t="shared" si="126"/>
        <v>1</v>
      </c>
      <c r="R501">
        <f t="shared" si="127"/>
        <v>5</v>
      </c>
      <c r="S501">
        <f t="shared" si="128"/>
        <v>4</v>
      </c>
      <c r="T501">
        <f t="shared" si="129"/>
        <v>1</v>
      </c>
      <c r="U501">
        <v>2000</v>
      </c>
      <c r="V501">
        <f t="shared" si="130"/>
        <v>0</v>
      </c>
      <c r="W501">
        <f t="shared" si="131"/>
        <v>0</v>
      </c>
      <c r="X501">
        <f t="shared" si="132"/>
        <v>1</v>
      </c>
      <c r="Y501">
        <f t="shared" si="133"/>
        <v>1</v>
      </c>
      <c r="Z501">
        <f t="shared" si="134"/>
        <v>1</v>
      </c>
      <c r="AA501">
        <f t="shared" si="135"/>
        <v>1</v>
      </c>
      <c r="AB501">
        <f t="shared" si="136"/>
        <v>0</v>
      </c>
      <c r="AC501">
        <f t="shared" si="137"/>
        <v>1</v>
      </c>
      <c r="AD501">
        <f t="shared" si="138"/>
        <v>0</v>
      </c>
      <c r="AE501">
        <f t="shared" si="139"/>
        <v>0</v>
      </c>
      <c r="AF501">
        <f t="shared" si="140"/>
        <v>1</v>
      </c>
      <c r="AG501">
        <f t="shared" si="141"/>
        <v>0</v>
      </c>
      <c r="AH501">
        <f t="shared" si="142"/>
        <v>0</v>
      </c>
      <c r="AI501">
        <f t="shared" si="143"/>
        <v>0</v>
      </c>
    </row>
    <row r="502" spans="1:35" x14ac:dyDescent="0.2">
      <c r="A502">
        <v>59</v>
      </c>
      <c r="B502" t="s">
        <v>1398</v>
      </c>
      <c r="C502">
        <v>8</v>
      </c>
      <c r="D502" t="s">
        <v>1554</v>
      </c>
      <c r="E502" t="s">
        <v>21</v>
      </c>
      <c r="F502" t="s">
        <v>39</v>
      </c>
      <c r="G502" t="s">
        <v>39</v>
      </c>
      <c r="H502" t="s">
        <v>21</v>
      </c>
      <c r="I502">
        <v>3</v>
      </c>
      <c r="J502">
        <v>1</v>
      </c>
      <c r="K502" s="1">
        <v>20000000</v>
      </c>
      <c r="L502" t="s">
        <v>79</v>
      </c>
      <c r="M502" t="s">
        <v>123</v>
      </c>
      <c r="N502" t="s">
        <v>43</v>
      </c>
      <c r="O502" t="s">
        <v>1555</v>
      </c>
      <c r="P502" t="s">
        <v>1556</v>
      </c>
      <c r="Q502">
        <f t="shared" si="126"/>
        <v>1</v>
      </c>
      <c r="R502">
        <f t="shared" si="127"/>
        <v>5</v>
      </c>
      <c r="S502">
        <f t="shared" si="128"/>
        <v>5</v>
      </c>
      <c r="T502">
        <f t="shared" si="129"/>
        <v>1</v>
      </c>
      <c r="U502">
        <v>20000000</v>
      </c>
      <c r="V502">
        <f t="shared" si="130"/>
        <v>0</v>
      </c>
      <c r="W502">
        <f t="shared" si="131"/>
        <v>1</v>
      </c>
      <c r="X502">
        <f t="shared" si="132"/>
        <v>0</v>
      </c>
      <c r="Y502">
        <f t="shared" si="133"/>
        <v>0</v>
      </c>
      <c r="Z502">
        <f t="shared" si="134"/>
        <v>1</v>
      </c>
      <c r="AA502">
        <f t="shared" si="135"/>
        <v>0</v>
      </c>
      <c r="AB502">
        <f t="shared" si="136"/>
        <v>1</v>
      </c>
      <c r="AC502">
        <f t="shared" si="137"/>
        <v>1</v>
      </c>
      <c r="AD502">
        <f t="shared" si="138"/>
        <v>0</v>
      </c>
      <c r="AE502">
        <f t="shared" si="139"/>
        <v>0</v>
      </c>
      <c r="AF502">
        <f t="shared" si="140"/>
        <v>1</v>
      </c>
      <c r="AG502">
        <f t="shared" si="141"/>
        <v>1</v>
      </c>
      <c r="AH502">
        <f t="shared" si="142"/>
        <v>0</v>
      </c>
      <c r="AI502">
        <f t="shared" si="143"/>
        <v>0</v>
      </c>
    </row>
    <row r="503" spans="1:35" x14ac:dyDescent="0.2">
      <c r="A503">
        <v>60</v>
      </c>
      <c r="B503" t="s">
        <v>1398</v>
      </c>
      <c r="C503">
        <v>2</v>
      </c>
      <c r="D503" t="s">
        <v>1557</v>
      </c>
      <c r="E503" t="s">
        <v>20</v>
      </c>
      <c r="F503" t="s">
        <v>18</v>
      </c>
      <c r="G503" t="s">
        <v>39</v>
      </c>
      <c r="H503" t="s">
        <v>21</v>
      </c>
      <c r="I503">
        <v>3</v>
      </c>
      <c r="J503">
        <v>3</v>
      </c>
      <c r="K503">
        <v>5</v>
      </c>
      <c r="L503" t="s">
        <v>53</v>
      </c>
      <c r="M503" t="s">
        <v>23</v>
      </c>
      <c r="N503" t="s">
        <v>43</v>
      </c>
      <c r="O503" t="s">
        <v>1558</v>
      </c>
      <c r="P503" t="s">
        <v>1559</v>
      </c>
      <c r="Q503">
        <f t="shared" si="126"/>
        <v>2</v>
      </c>
      <c r="R503">
        <f t="shared" si="127"/>
        <v>4</v>
      </c>
      <c r="S503">
        <f t="shared" si="128"/>
        <v>5</v>
      </c>
      <c r="T503">
        <f t="shared" si="129"/>
        <v>1</v>
      </c>
      <c r="U503">
        <v>5</v>
      </c>
      <c r="V503">
        <f t="shared" si="130"/>
        <v>0</v>
      </c>
      <c r="W503">
        <f t="shared" si="131"/>
        <v>0</v>
      </c>
      <c r="X503">
        <f t="shared" si="132"/>
        <v>1</v>
      </c>
      <c r="Y503">
        <f t="shared" si="133"/>
        <v>0</v>
      </c>
      <c r="Z503">
        <f t="shared" si="134"/>
        <v>0</v>
      </c>
      <c r="AA503">
        <f t="shared" si="135"/>
        <v>1</v>
      </c>
      <c r="AB503">
        <f t="shared" si="136"/>
        <v>0</v>
      </c>
      <c r="AC503">
        <f t="shared" si="137"/>
        <v>0</v>
      </c>
      <c r="AD503">
        <f t="shared" si="138"/>
        <v>0</v>
      </c>
      <c r="AE503">
        <f t="shared" si="139"/>
        <v>0</v>
      </c>
      <c r="AF503">
        <f t="shared" si="140"/>
        <v>1</v>
      </c>
      <c r="AG503">
        <f t="shared" si="141"/>
        <v>1</v>
      </c>
      <c r="AH503">
        <f t="shared" si="142"/>
        <v>0</v>
      </c>
      <c r="AI503">
        <f t="shared" si="143"/>
        <v>0</v>
      </c>
    </row>
    <row r="504" spans="1:35" x14ac:dyDescent="0.2">
      <c r="A504">
        <v>61</v>
      </c>
      <c r="B504" t="s">
        <v>1398</v>
      </c>
      <c r="C504">
        <v>7</v>
      </c>
      <c r="D504" t="s">
        <v>1560</v>
      </c>
      <c r="E504" t="s">
        <v>21</v>
      </c>
      <c r="F504" t="s">
        <v>39</v>
      </c>
      <c r="G504" t="s">
        <v>39</v>
      </c>
      <c r="H504" t="s">
        <v>21</v>
      </c>
      <c r="I504">
        <v>2</v>
      </c>
      <c r="J504">
        <v>3</v>
      </c>
      <c r="K504" s="1">
        <v>20000</v>
      </c>
      <c r="L504" t="s">
        <v>601</v>
      </c>
      <c r="M504" t="s">
        <v>48</v>
      </c>
      <c r="N504" t="s">
        <v>43</v>
      </c>
      <c r="O504" t="s">
        <v>1561</v>
      </c>
      <c r="P504" t="s">
        <v>1562</v>
      </c>
      <c r="Q504">
        <f t="shared" si="126"/>
        <v>1</v>
      </c>
      <c r="R504">
        <f t="shared" si="127"/>
        <v>5</v>
      </c>
      <c r="S504">
        <f t="shared" si="128"/>
        <v>5</v>
      </c>
      <c r="T504">
        <f t="shared" si="129"/>
        <v>1</v>
      </c>
      <c r="U504">
        <v>20000</v>
      </c>
      <c r="V504">
        <f t="shared" si="130"/>
        <v>0</v>
      </c>
      <c r="W504">
        <f t="shared" si="131"/>
        <v>1</v>
      </c>
      <c r="X504">
        <f t="shared" si="132"/>
        <v>0</v>
      </c>
      <c r="Y504">
        <f t="shared" si="133"/>
        <v>1</v>
      </c>
      <c r="Z504">
        <f t="shared" si="134"/>
        <v>1</v>
      </c>
      <c r="AA504">
        <f t="shared" si="135"/>
        <v>1</v>
      </c>
      <c r="AB504">
        <f t="shared" si="136"/>
        <v>1</v>
      </c>
      <c r="AC504">
        <f t="shared" si="137"/>
        <v>1</v>
      </c>
      <c r="AD504">
        <f t="shared" si="138"/>
        <v>0</v>
      </c>
      <c r="AE504">
        <f t="shared" si="139"/>
        <v>0</v>
      </c>
      <c r="AF504">
        <f t="shared" si="140"/>
        <v>1</v>
      </c>
      <c r="AG504">
        <f t="shared" si="141"/>
        <v>1</v>
      </c>
      <c r="AH504">
        <f t="shared" si="142"/>
        <v>0</v>
      </c>
      <c r="AI504">
        <f t="shared" si="143"/>
        <v>0</v>
      </c>
    </row>
    <row r="505" spans="1:35" x14ac:dyDescent="0.2">
      <c r="A505">
        <v>62</v>
      </c>
      <c r="B505" t="s">
        <v>1398</v>
      </c>
      <c r="C505">
        <v>4</v>
      </c>
      <c r="D505" t="s">
        <v>1563</v>
      </c>
      <c r="E505" t="s">
        <v>20</v>
      </c>
      <c r="F505" t="s">
        <v>18</v>
      </c>
      <c r="G505" t="s">
        <v>18</v>
      </c>
      <c r="H505" t="s">
        <v>21</v>
      </c>
      <c r="I505">
        <v>3</v>
      </c>
      <c r="J505">
        <v>1</v>
      </c>
      <c r="K505">
        <v>3000</v>
      </c>
      <c r="L505" t="s">
        <v>41</v>
      </c>
      <c r="M505" t="s">
        <v>42</v>
      </c>
      <c r="N505" t="s">
        <v>215</v>
      </c>
      <c r="O505" t="s">
        <v>814</v>
      </c>
      <c r="P505" t="s">
        <v>1564</v>
      </c>
      <c r="Q505">
        <f t="shared" si="126"/>
        <v>2</v>
      </c>
      <c r="R505">
        <f t="shared" si="127"/>
        <v>4</v>
      </c>
      <c r="S505">
        <f t="shared" si="128"/>
        <v>4</v>
      </c>
      <c r="T505">
        <f t="shared" si="129"/>
        <v>1</v>
      </c>
      <c r="U505">
        <v>3000</v>
      </c>
      <c r="V505">
        <f t="shared" si="130"/>
        <v>0</v>
      </c>
      <c r="W505">
        <f t="shared" si="131"/>
        <v>0</v>
      </c>
      <c r="X505">
        <f t="shared" si="132"/>
        <v>0</v>
      </c>
      <c r="Y505">
        <f t="shared" si="133"/>
        <v>0</v>
      </c>
      <c r="Z505">
        <f t="shared" si="134"/>
        <v>1</v>
      </c>
      <c r="AA505">
        <f t="shared" si="135"/>
        <v>0</v>
      </c>
      <c r="AB505">
        <f t="shared" si="136"/>
        <v>1</v>
      </c>
      <c r="AC505">
        <f t="shared" si="137"/>
        <v>0</v>
      </c>
      <c r="AD505">
        <f t="shared" si="138"/>
        <v>0</v>
      </c>
      <c r="AE505">
        <f t="shared" si="139"/>
        <v>0</v>
      </c>
      <c r="AF505">
        <f t="shared" si="140"/>
        <v>1</v>
      </c>
      <c r="AG505">
        <f t="shared" si="141"/>
        <v>0</v>
      </c>
      <c r="AH505">
        <f t="shared" si="142"/>
        <v>0</v>
      </c>
      <c r="AI505">
        <f t="shared" si="143"/>
        <v>0</v>
      </c>
    </row>
    <row r="506" spans="1:35" x14ac:dyDescent="0.2">
      <c r="A506">
        <v>63</v>
      </c>
      <c r="B506" t="s">
        <v>1398</v>
      </c>
      <c r="C506">
        <v>7</v>
      </c>
      <c r="D506" t="s">
        <v>1565</v>
      </c>
      <c r="E506" t="s">
        <v>18</v>
      </c>
      <c r="F506" t="s">
        <v>39</v>
      </c>
      <c r="G506" t="s">
        <v>39</v>
      </c>
      <c r="H506" t="s">
        <v>21</v>
      </c>
      <c r="I506">
        <v>6</v>
      </c>
      <c r="J506">
        <v>3</v>
      </c>
      <c r="K506" s="1">
        <v>200000</v>
      </c>
      <c r="L506" t="s">
        <v>34</v>
      </c>
      <c r="M506" t="s">
        <v>99</v>
      </c>
      <c r="N506" t="s">
        <v>84</v>
      </c>
      <c r="O506" t="s">
        <v>1566</v>
      </c>
      <c r="P506" t="s">
        <v>1567</v>
      </c>
      <c r="Q506">
        <f t="shared" si="126"/>
        <v>4</v>
      </c>
      <c r="R506">
        <f t="shared" si="127"/>
        <v>5</v>
      </c>
      <c r="S506">
        <f t="shared" si="128"/>
        <v>5</v>
      </c>
      <c r="T506">
        <f t="shared" si="129"/>
        <v>1</v>
      </c>
      <c r="U506">
        <v>200000</v>
      </c>
      <c r="V506">
        <f t="shared" si="130"/>
        <v>1</v>
      </c>
      <c r="W506">
        <f t="shared" si="131"/>
        <v>0</v>
      </c>
      <c r="X506">
        <f t="shared" si="132"/>
        <v>0</v>
      </c>
      <c r="Y506">
        <f t="shared" si="133"/>
        <v>1</v>
      </c>
      <c r="Z506">
        <f t="shared" si="134"/>
        <v>0</v>
      </c>
      <c r="AA506">
        <f t="shared" si="135"/>
        <v>1</v>
      </c>
      <c r="AB506">
        <f t="shared" si="136"/>
        <v>0</v>
      </c>
      <c r="AC506">
        <f t="shared" si="137"/>
        <v>0</v>
      </c>
      <c r="AD506">
        <f t="shared" si="138"/>
        <v>0</v>
      </c>
      <c r="AE506">
        <f t="shared" si="139"/>
        <v>1</v>
      </c>
      <c r="AF506">
        <f t="shared" si="140"/>
        <v>0</v>
      </c>
      <c r="AG506">
        <f t="shared" si="141"/>
        <v>1</v>
      </c>
      <c r="AH506">
        <f t="shared" si="142"/>
        <v>0</v>
      </c>
      <c r="AI506">
        <f t="shared" si="143"/>
        <v>0</v>
      </c>
    </row>
    <row r="507" spans="1:35" x14ac:dyDescent="0.2">
      <c r="A507">
        <v>64</v>
      </c>
      <c r="B507" t="s">
        <v>1398</v>
      </c>
      <c r="C507">
        <v>3</v>
      </c>
      <c r="D507" t="s">
        <v>1568</v>
      </c>
      <c r="E507" t="s">
        <v>19</v>
      </c>
      <c r="F507" t="s">
        <v>18</v>
      </c>
      <c r="G507" t="s">
        <v>18</v>
      </c>
      <c r="H507" t="s">
        <v>21</v>
      </c>
      <c r="I507">
        <v>2</v>
      </c>
      <c r="J507">
        <v>2</v>
      </c>
      <c r="K507">
        <v>100</v>
      </c>
      <c r="L507" t="s">
        <v>47</v>
      </c>
      <c r="M507" t="s">
        <v>179</v>
      </c>
      <c r="N507" t="s">
        <v>43</v>
      </c>
      <c r="O507" t="s">
        <v>1569</v>
      </c>
      <c r="P507" t="s">
        <v>1570</v>
      </c>
      <c r="Q507">
        <f t="shared" si="126"/>
        <v>3</v>
      </c>
      <c r="R507">
        <f t="shared" si="127"/>
        <v>4</v>
      </c>
      <c r="S507">
        <f t="shared" si="128"/>
        <v>4</v>
      </c>
      <c r="T507">
        <f t="shared" si="129"/>
        <v>1</v>
      </c>
      <c r="U507">
        <v>100</v>
      </c>
      <c r="V507">
        <f t="shared" si="130"/>
        <v>0</v>
      </c>
      <c r="W507">
        <f t="shared" si="131"/>
        <v>0</v>
      </c>
      <c r="X507">
        <f t="shared" si="132"/>
        <v>1</v>
      </c>
      <c r="Y507">
        <f t="shared" si="133"/>
        <v>0</v>
      </c>
      <c r="Z507">
        <f t="shared" si="134"/>
        <v>1</v>
      </c>
      <c r="AA507">
        <f t="shared" si="135"/>
        <v>0</v>
      </c>
      <c r="AB507">
        <f t="shared" si="136"/>
        <v>0</v>
      </c>
      <c r="AC507">
        <f t="shared" si="137"/>
        <v>0</v>
      </c>
      <c r="AD507">
        <f t="shared" si="138"/>
        <v>1</v>
      </c>
      <c r="AE507">
        <f t="shared" si="139"/>
        <v>1</v>
      </c>
      <c r="AF507">
        <f t="shared" si="140"/>
        <v>1</v>
      </c>
      <c r="AG507">
        <f t="shared" si="141"/>
        <v>1</v>
      </c>
      <c r="AH507">
        <f t="shared" si="142"/>
        <v>0</v>
      </c>
      <c r="AI507">
        <f t="shared" si="143"/>
        <v>0</v>
      </c>
    </row>
    <row r="508" spans="1:35" x14ac:dyDescent="0.2">
      <c r="A508">
        <v>65</v>
      </c>
      <c r="B508" t="s">
        <v>1398</v>
      </c>
      <c r="C508">
        <v>8</v>
      </c>
      <c r="D508" t="s">
        <v>1571</v>
      </c>
      <c r="E508" t="s">
        <v>21</v>
      </c>
      <c r="F508" t="s">
        <v>39</v>
      </c>
      <c r="G508" t="s">
        <v>39</v>
      </c>
      <c r="H508" t="s">
        <v>21</v>
      </c>
      <c r="I508">
        <v>2</v>
      </c>
      <c r="J508">
        <v>2</v>
      </c>
      <c r="K508">
        <v>500</v>
      </c>
      <c r="L508" t="s">
        <v>714</v>
      </c>
      <c r="M508" t="s">
        <v>48</v>
      </c>
      <c r="N508" t="s">
        <v>215</v>
      </c>
      <c r="O508" t="s">
        <v>1572</v>
      </c>
      <c r="P508" t="s">
        <v>1573</v>
      </c>
      <c r="Q508">
        <f t="shared" si="126"/>
        <v>1</v>
      </c>
      <c r="R508">
        <f t="shared" si="127"/>
        <v>5</v>
      </c>
      <c r="S508">
        <f t="shared" si="128"/>
        <v>5</v>
      </c>
      <c r="T508">
        <f t="shared" si="129"/>
        <v>1</v>
      </c>
      <c r="U508">
        <v>500</v>
      </c>
      <c r="V508">
        <f t="shared" si="130"/>
        <v>0</v>
      </c>
      <c r="W508">
        <f t="shared" si="131"/>
        <v>0</v>
      </c>
      <c r="X508">
        <f t="shared" si="132"/>
        <v>1</v>
      </c>
      <c r="Y508">
        <f t="shared" si="133"/>
        <v>1</v>
      </c>
      <c r="Z508">
        <f t="shared" si="134"/>
        <v>1</v>
      </c>
      <c r="AA508">
        <f t="shared" si="135"/>
        <v>1</v>
      </c>
      <c r="AB508">
        <f t="shared" si="136"/>
        <v>1</v>
      </c>
      <c r="AC508">
        <f t="shared" si="137"/>
        <v>1</v>
      </c>
      <c r="AD508">
        <f t="shared" si="138"/>
        <v>0</v>
      </c>
      <c r="AE508">
        <f t="shared" si="139"/>
        <v>0</v>
      </c>
      <c r="AF508">
        <f t="shared" si="140"/>
        <v>1</v>
      </c>
      <c r="AG508">
        <f t="shared" si="141"/>
        <v>0</v>
      </c>
      <c r="AH508">
        <f t="shared" si="142"/>
        <v>0</v>
      </c>
      <c r="AI508">
        <f t="shared" si="143"/>
        <v>0</v>
      </c>
    </row>
    <row r="509" spans="1:35" x14ac:dyDescent="0.2">
      <c r="A509">
        <v>66</v>
      </c>
      <c r="B509" t="s">
        <v>1398</v>
      </c>
      <c r="C509">
        <v>6</v>
      </c>
      <c r="D509" t="s">
        <v>1574</v>
      </c>
      <c r="E509" t="s">
        <v>21</v>
      </c>
      <c r="F509" t="s">
        <v>39</v>
      </c>
      <c r="G509" t="s">
        <v>39</v>
      </c>
      <c r="H509" t="s">
        <v>21</v>
      </c>
      <c r="I509">
        <v>2</v>
      </c>
      <c r="J509">
        <v>1</v>
      </c>
      <c r="K509">
        <v>50</v>
      </c>
      <c r="L509" t="s">
        <v>601</v>
      </c>
      <c r="M509" t="s">
        <v>704</v>
      </c>
      <c r="N509" t="s">
        <v>215</v>
      </c>
      <c r="O509" t="s">
        <v>1575</v>
      </c>
      <c r="P509" t="s">
        <v>1576</v>
      </c>
      <c r="Q509">
        <f t="shared" si="126"/>
        <v>1</v>
      </c>
      <c r="R509">
        <f t="shared" si="127"/>
        <v>5</v>
      </c>
      <c r="S509">
        <f t="shared" si="128"/>
        <v>5</v>
      </c>
      <c r="T509">
        <f t="shared" si="129"/>
        <v>1</v>
      </c>
      <c r="U509">
        <v>50</v>
      </c>
      <c r="V509">
        <f t="shared" si="130"/>
        <v>0</v>
      </c>
      <c r="W509">
        <f t="shared" si="131"/>
        <v>1</v>
      </c>
      <c r="X509">
        <f t="shared" si="132"/>
        <v>0</v>
      </c>
      <c r="Y509">
        <f t="shared" si="133"/>
        <v>1</v>
      </c>
      <c r="Z509">
        <f t="shared" si="134"/>
        <v>1</v>
      </c>
      <c r="AA509">
        <f t="shared" si="135"/>
        <v>0</v>
      </c>
      <c r="AB509">
        <f t="shared" si="136"/>
        <v>0</v>
      </c>
      <c r="AC509">
        <f t="shared" si="137"/>
        <v>1</v>
      </c>
      <c r="AD509">
        <f t="shared" si="138"/>
        <v>1</v>
      </c>
      <c r="AE509">
        <f t="shared" si="139"/>
        <v>0</v>
      </c>
      <c r="AF509">
        <f t="shared" si="140"/>
        <v>1</v>
      </c>
      <c r="AG509">
        <f t="shared" si="141"/>
        <v>0</v>
      </c>
      <c r="AH509">
        <f t="shared" si="142"/>
        <v>0</v>
      </c>
      <c r="AI509">
        <f t="shared" si="143"/>
        <v>0</v>
      </c>
    </row>
    <row r="510" spans="1:35" x14ac:dyDescent="0.2">
      <c r="A510">
        <v>67</v>
      </c>
      <c r="B510" t="s">
        <v>1398</v>
      </c>
      <c r="C510">
        <v>9</v>
      </c>
      <c r="D510" t="s">
        <v>1577</v>
      </c>
      <c r="E510" t="s">
        <v>21</v>
      </c>
      <c r="F510" t="s">
        <v>39</v>
      </c>
      <c r="G510" t="s">
        <v>39</v>
      </c>
      <c r="H510" t="s">
        <v>21</v>
      </c>
      <c r="I510">
        <v>4</v>
      </c>
      <c r="J510">
        <v>4</v>
      </c>
      <c r="K510">
        <v>350</v>
      </c>
      <c r="L510" t="s">
        <v>1071</v>
      </c>
      <c r="M510" t="s">
        <v>468</v>
      </c>
      <c r="N510" t="s">
        <v>215</v>
      </c>
      <c r="O510" t="s">
        <v>1578</v>
      </c>
      <c r="P510" t="s">
        <v>1579</v>
      </c>
      <c r="Q510">
        <f t="shared" si="126"/>
        <v>1</v>
      </c>
      <c r="R510">
        <f t="shared" si="127"/>
        <v>5</v>
      </c>
      <c r="S510">
        <f t="shared" si="128"/>
        <v>5</v>
      </c>
      <c r="T510">
        <f t="shared" si="129"/>
        <v>1</v>
      </c>
      <c r="U510">
        <v>350</v>
      </c>
      <c r="V510">
        <f t="shared" si="130"/>
        <v>1</v>
      </c>
      <c r="W510">
        <f t="shared" si="131"/>
        <v>0</v>
      </c>
      <c r="X510">
        <f t="shared" si="132"/>
        <v>1</v>
      </c>
      <c r="Y510">
        <f t="shared" si="133"/>
        <v>1</v>
      </c>
      <c r="Z510">
        <f t="shared" si="134"/>
        <v>0</v>
      </c>
      <c r="AA510">
        <f t="shared" si="135"/>
        <v>1</v>
      </c>
      <c r="AB510">
        <f t="shared" si="136"/>
        <v>1</v>
      </c>
      <c r="AC510">
        <f t="shared" si="137"/>
        <v>1</v>
      </c>
      <c r="AD510">
        <f t="shared" si="138"/>
        <v>1</v>
      </c>
      <c r="AE510">
        <f t="shared" si="139"/>
        <v>1</v>
      </c>
      <c r="AF510">
        <f t="shared" si="140"/>
        <v>1</v>
      </c>
      <c r="AG510">
        <f t="shared" si="141"/>
        <v>0</v>
      </c>
      <c r="AH510">
        <f t="shared" si="142"/>
        <v>0</v>
      </c>
      <c r="AI510">
        <f t="shared" si="143"/>
        <v>0</v>
      </c>
    </row>
    <row r="511" spans="1:35" x14ac:dyDescent="0.2">
      <c r="A511">
        <v>68</v>
      </c>
      <c r="B511" t="s">
        <v>1398</v>
      </c>
      <c r="C511">
        <v>6</v>
      </c>
      <c r="D511" t="s">
        <v>1580</v>
      </c>
      <c r="E511" t="s">
        <v>21</v>
      </c>
      <c r="F511" t="s">
        <v>18</v>
      </c>
      <c r="G511" t="s">
        <v>18</v>
      </c>
      <c r="H511" t="s">
        <v>21</v>
      </c>
      <c r="I511">
        <v>3</v>
      </c>
      <c r="J511">
        <v>3</v>
      </c>
      <c r="K511">
        <v>1000</v>
      </c>
      <c r="L511" t="s">
        <v>443</v>
      </c>
      <c r="M511" t="s">
        <v>123</v>
      </c>
      <c r="N511" t="s">
        <v>84</v>
      </c>
      <c r="O511" t="s">
        <v>1581</v>
      </c>
      <c r="P511" t="s">
        <v>1582</v>
      </c>
      <c r="Q511">
        <f t="shared" si="126"/>
        <v>1</v>
      </c>
      <c r="R511">
        <f t="shared" si="127"/>
        <v>4</v>
      </c>
      <c r="S511">
        <f t="shared" si="128"/>
        <v>4</v>
      </c>
      <c r="T511">
        <f t="shared" si="129"/>
        <v>1</v>
      </c>
      <c r="U511">
        <v>1000</v>
      </c>
      <c r="V511">
        <f t="shared" si="130"/>
        <v>1</v>
      </c>
      <c r="W511">
        <f t="shared" si="131"/>
        <v>0</v>
      </c>
      <c r="X511">
        <f t="shared" si="132"/>
        <v>0</v>
      </c>
      <c r="Y511">
        <f t="shared" si="133"/>
        <v>1</v>
      </c>
      <c r="Z511">
        <f t="shared" si="134"/>
        <v>1</v>
      </c>
      <c r="AA511">
        <f t="shared" si="135"/>
        <v>0</v>
      </c>
      <c r="AB511">
        <f t="shared" si="136"/>
        <v>1</v>
      </c>
      <c r="AC511">
        <f t="shared" si="137"/>
        <v>1</v>
      </c>
      <c r="AD511">
        <f t="shared" si="138"/>
        <v>0</v>
      </c>
      <c r="AE511">
        <f t="shared" si="139"/>
        <v>0</v>
      </c>
      <c r="AF511">
        <f t="shared" si="140"/>
        <v>0</v>
      </c>
      <c r="AG511">
        <f t="shared" si="141"/>
        <v>1</v>
      </c>
      <c r="AH511">
        <f t="shared" si="142"/>
        <v>0</v>
      </c>
      <c r="AI511">
        <f t="shared" si="143"/>
        <v>0</v>
      </c>
    </row>
    <row r="512" spans="1:35" x14ac:dyDescent="0.2">
      <c r="A512">
        <v>69</v>
      </c>
      <c r="B512" t="s">
        <v>1398</v>
      </c>
      <c r="C512">
        <v>3</v>
      </c>
      <c r="D512" t="s">
        <v>1583</v>
      </c>
      <c r="E512" t="s">
        <v>21</v>
      </c>
      <c r="F512" t="s">
        <v>39</v>
      </c>
      <c r="G512" t="s">
        <v>39</v>
      </c>
      <c r="H512" t="s">
        <v>21</v>
      </c>
      <c r="I512">
        <v>5</v>
      </c>
      <c r="J512">
        <v>2</v>
      </c>
      <c r="K512">
        <v>60000000</v>
      </c>
      <c r="L512" t="s">
        <v>601</v>
      </c>
      <c r="M512" t="s">
        <v>48</v>
      </c>
      <c r="N512" t="s">
        <v>215</v>
      </c>
      <c r="O512" t="s">
        <v>1584</v>
      </c>
      <c r="P512" t="s">
        <v>1585</v>
      </c>
      <c r="Q512">
        <f t="shared" si="126"/>
        <v>1</v>
      </c>
      <c r="R512">
        <f t="shared" si="127"/>
        <v>5</v>
      </c>
      <c r="S512">
        <f t="shared" si="128"/>
        <v>5</v>
      </c>
      <c r="T512">
        <f t="shared" si="129"/>
        <v>1</v>
      </c>
      <c r="U512">
        <v>60000000</v>
      </c>
      <c r="V512">
        <f t="shared" si="130"/>
        <v>0</v>
      </c>
      <c r="W512">
        <f t="shared" si="131"/>
        <v>1</v>
      </c>
      <c r="X512">
        <f t="shared" si="132"/>
        <v>0</v>
      </c>
      <c r="Y512">
        <f t="shared" si="133"/>
        <v>1</v>
      </c>
      <c r="Z512">
        <f t="shared" si="134"/>
        <v>1</v>
      </c>
      <c r="AA512">
        <f t="shared" si="135"/>
        <v>1</v>
      </c>
      <c r="AB512">
        <f t="shared" si="136"/>
        <v>1</v>
      </c>
      <c r="AC512">
        <f t="shared" si="137"/>
        <v>1</v>
      </c>
      <c r="AD512">
        <f t="shared" si="138"/>
        <v>0</v>
      </c>
      <c r="AE512">
        <f t="shared" si="139"/>
        <v>0</v>
      </c>
      <c r="AF512">
        <f t="shared" si="140"/>
        <v>1</v>
      </c>
      <c r="AG512">
        <f t="shared" si="141"/>
        <v>0</v>
      </c>
      <c r="AH512">
        <f t="shared" si="142"/>
        <v>0</v>
      </c>
      <c r="AI512">
        <f t="shared" si="143"/>
        <v>0</v>
      </c>
    </row>
    <row r="513" spans="1:35" x14ac:dyDescent="0.2">
      <c r="A513">
        <v>70</v>
      </c>
      <c r="B513" t="s">
        <v>1398</v>
      </c>
      <c r="C513">
        <v>5</v>
      </c>
      <c r="D513" t="s">
        <v>1586</v>
      </c>
      <c r="E513" t="s">
        <v>21</v>
      </c>
      <c r="F513" t="s">
        <v>39</v>
      </c>
      <c r="G513" t="s">
        <v>39</v>
      </c>
      <c r="H513" t="s">
        <v>21</v>
      </c>
      <c r="I513">
        <v>6</v>
      </c>
      <c r="J513">
        <v>2</v>
      </c>
      <c r="K513">
        <v>20</v>
      </c>
      <c r="L513" t="s">
        <v>230</v>
      </c>
      <c r="M513" t="s">
        <v>161</v>
      </c>
      <c r="N513" t="s">
        <v>43</v>
      </c>
      <c r="O513" t="s">
        <v>1587</v>
      </c>
      <c r="P513" t="s">
        <v>1588</v>
      </c>
      <c r="Q513">
        <f t="shared" si="126"/>
        <v>1</v>
      </c>
      <c r="R513">
        <f t="shared" si="127"/>
        <v>5</v>
      </c>
      <c r="S513">
        <f t="shared" si="128"/>
        <v>5</v>
      </c>
      <c r="T513">
        <f t="shared" si="129"/>
        <v>1</v>
      </c>
      <c r="U513">
        <v>20</v>
      </c>
      <c r="V513">
        <f t="shared" si="130"/>
        <v>1</v>
      </c>
      <c r="W513">
        <f t="shared" si="131"/>
        <v>1</v>
      </c>
      <c r="X513">
        <f t="shared" si="132"/>
        <v>1</v>
      </c>
      <c r="Y513">
        <f t="shared" si="133"/>
        <v>1</v>
      </c>
      <c r="Z513">
        <f t="shared" si="134"/>
        <v>1</v>
      </c>
      <c r="AA513">
        <f t="shared" si="135"/>
        <v>1</v>
      </c>
      <c r="AB513">
        <f t="shared" si="136"/>
        <v>1</v>
      </c>
      <c r="AC513">
        <f t="shared" si="137"/>
        <v>1</v>
      </c>
      <c r="AD513">
        <f t="shared" si="138"/>
        <v>1</v>
      </c>
      <c r="AE513">
        <f t="shared" si="139"/>
        <v>0</v>
      </c>
      <c r="AF513">
        <f t="shared" si="140"/>
        <v>1</v>
      </c>
      <c r="AG513">
        <f t="shared" si="141"/>
        <v>1</v>
      </c>
      <c r="AH513">
        <f t="shared" si="142"/>
        <v>0</v>
      </c>
      <c r="AI513">
        <f t="shared" si="143"/>
        <v>0</v>
      </c>
    </row>
    <row r="514" spans="1:35" x14ac:dyDescent="0.2">
      <c r="A514">
        <v>71</v>
      </c>
      <c r="B514" t="s">
        <v>1398</v>
      </c>
      <c r="C514">
        <v>3</v>
      </c>
      <c r="D514" t="s">
        <v>1589</v>
      </c>
      <c r="E514" t="s">
        <v>21</v>
      </c>
      <c r="F514" t="s">
        <v>39</v>
      </c>
      <c r="G514" t="s">
        <v>19</v>
      </c>
      <c r="H514" t="s">
        <v>20</v>
      </c>
      <c r="I514">
        <v>1</v>
      </c>
      <c r="J514">
        <v>1</v>
      </c>
      <c r="K514">
        <v>20</v>
      </c>
      <c r="L514" t="s">
        <v>601</v>
      </c>
      <c r="M514" t="s">
        <v>123</v>
      </c>
      <c r="N514" t="s">
        <v>215</v>
      </c>
      <c r="O514" t="s">
        <v>1590</v>
      </c>
      <c r="P514" t="s">
        <v>1591</v>
      </c>
      <c r="Q514">
        <f t="shared" si="126"/>
        <v>1</v>
      </c>
      <c r="R514">
        <f t="shared" si="127"/>
        <v>5</v>
      </c>
      <c r="S514">
        <f t="shared" si="128"/>
        <v>3</v>
      </c>
      <c r="T514">
        <f t="shared" si="129"/>
        <v>2</v>
      </c>
      <c r="U514">
        <v>20</v>
      </c>
      <c r="V514">
        <f t="shared" si="130"/>
        <v>0</v>
      </c>
      <c r="W514">
        <f t="shared" si="131"/>
        <v>1</v>
      </c>
      <c r="X514">
        <f t="shared" si="132"/>
        <v>0</v>
      </c>
      <c r="Y514">
        <f t="shared" si="133"/>
        <v>1</v>
      </c>
      <c r="Z514">
        <f t="shared" si="134"/>
        <v>1</v>
      </c>
      <c r="AA514">
        <f t="shared" si="135"/>
        <v>0</v>
      </c>
      <c r="AB514">
        <f t="shared" si="136"/>
        <v>1</v>
      </c>
      <c r="AC514">
        <f t="shared" si="137"/>
        <v>1</v>
      </c>
      <c r="AD514">
        <f t="shared" si="138"/>
        <v>0</v>
      </c>
      <c r="AE514">
        <f t="shared" si="139"/>
        <v>0</v>
      </c>
      <c r="AF514">
        <f t="shared" si="140"/>
        <v>1</v>
      </c>
      <c r="AG514">
        <f t="shared" si="141"/>
        <v>0</v>
      </c>
      <c r="AH514">
        <f t="shared" si="142"/>
        <v>0</v>
      </c>
      <c r="AI514">
        <f t="shared" si="143"/>
        <v>0</v>
      </c>
    </row>
    <row r="515" spans="1:35" x14ac:dyDescent="0.2">
      <c r="A515">
        <v>72</v>
      </c>
      <c r="B515" t="s">
        <v>1398</v>
      </c>
      <c r="C515">
        <v>5</v>
      </c>
      <c r="D515" t="s">
        <v>1592</v>
      </c>
      <c r="E515" t="s">
        <v>21</v>
      </c>
      <c r="F515" t="s">
        <v>39</v>
      </c>
      <c r="G515" t="s">
        <v>18</v>
      </c>
      <c r="H515" t="s">
        <v>21</v>
      </c>
      <c r="I515">
        <v>1</v>
      </c>
      <c r="J515">
        <v>2</v>
      </c>
      <c r="K515" t="s">
        <v>1593</v>
      </c>
      <c r="L515" t="s">
        <v>276</v>
      </c>
      <c r="M515" t="s">
        <v>48</v>
      </c>
      <c r="N515" t="s">
        <v>43</v>
      </c>
      <c r="O515" t="s">
        <v>1419</v>
      </c>
      <c r="P515" t="s">
        <v>1594</v>
      </c>
      <c r="Q515">
        <f t="shared" ref="Q515:Q578" si="144">IF(E515="", "", LEFT(E515, 1) * 1)</f>
        <v>1</v>
      </c>
      <c r="R515">
        <f t="shared" ref="R515:R578" si="145">IF(F515="","",VALUE(LEFT(F515,FIND(" ",F515)-1)))</f>
        <v>5</v>
      </c>
      <c r="S515">
        <f t="shared" ref="S515:S578" si="146">IF(G515="","",VALUE(LEFT(G515,FIND(" ",G515)-1)))</f>
        <v>4</v>
      </c>
      <c r="T515">
        <f t="shared" ref="T515:T578" si="147">IF(H515="","",VALUE(LEFT(H515,FIND(" ",H515)-1)))</f>
        <v>1</v>
      </c>
      <c r="U515">
        <v>2000</v>
      </c>
      <c r="V515">
        <f t="shared" ref="V515:V578" si="148">IF(L515="",0,IF(ISNUMBER(SEARCH("Bathroom",L515)),1,0))</f>
        <v>1</v>
      </c>
      <c r="W515">
        <f t="shared" ref="W515:W578" si="149">IF(L515="",0,IF(ISNUMBER(SEARCH("Dining room",L515)),1,0))</f>
        <v>1</v>
      </c>
      <c r="X515">
        <f t="shared" ref="X515:X578" si="150">IF(L515="",0,IF(ISNUMBER(SEARCH("Office",L515)),1,0))</f>
        <v>0</v>
      </c>
      <c r="Y515">
        <f t="shared" ref="Y515:Y578" si="151">IF(L515="",0,IF(ISNUMBER(SEARCH("Bedroom",L515)),1,0))</f>
        <v>1</v>
      </c>
      <c r="Z515">
        <f t="shared" ref="Z515:Z578" si="152">IF(L515="",0,IF(ISNUMBER(SEARCH("Living room",L515)),1,0))</f>
        <v>1</v>
      </c>
      <c r="AA515">
        <f t="shared" ref="AA515:AA578" si="153">IF(M515="",0, IF(ISNUMBER(SEARCH("By yourself",M515)), 1, 0))</f>
        <v>1</v>
      </c>
      <c r="AB515">
        <f t="shared" ref="AB515:AB578" si="154">IF(M515="", 0, IF(ISNUMBER(SEARCH("Friends", M515)), 1, 0))</f>
        <v>1</v>
      </c>
      <c r="AC515">
        <f t="shared" ref="AC515:AC578" si="155">IF(M515="",0,IF(ISNUMBER(SEARCH("Family members", M515)), 1, 0))</f>
        <v>1</v>
      </c>
      <c r="AD515">
        <f t="shared" ref="AD515:AD578" si="156">IF(M515="", 0, IF(ISNUMBER(SEARCH("Coworkers/Classmates", M515)), 1, 0))</f>
        <v>0</v>
      </c>
      <c r="AE515">
        <f t="shared" ref="AE515:AE578" si="157">IF(M515="", 0, IF(ISNUMBER(SEARCH("Strangers", M515)), 1, 0))</f>
        <v>0</v>
      </c>
      <c r="AF515">
        <f t="shared" ref="AF515:AF578" si="158">IF(N515="", 0, IF(ISNUMBER(SEARCH("Spring", N515)), 1, 0))</f>
        <v>1</v>
      </c>
      <c r="AG515">
        <f t="shared" ref="AG515:AG578" si="159">IF(N515="", 0, IF(ISNUMBER(SEARCH("Summer", N515)), 1, 0))</f>
        <v>1</v>
      </c>
      <c r="AH515">
        <f t="shared" ref="AH515:AH578" si="160">IF(N515="", 0, IF(ISNUMBER(SEARCH("Fall", N515)), 1, 0))</f>
        <v>0</v>
      </c>
      <c r="AI515">
        <f t="shared" ref="AI515:AI578" si="161">IF(N515="", 0, IF(ISNUMBER(SEARCH("Winter", N515)), 1, 0))</f>
        <v>0</v>
      </c>
    </row>
    <row r="516" spans="1:35" x14ac:dyDescent="0.2">
      <c r="A516">
        <v>73</v>
      </c>
      <c r="B516" t="s">
        <v>1398</v>
      </c>
      <c r="C516">
        <v>7</v>
      </c>
      <c r="D516" t="s">
        <v>1595</v>
      </c>
      <c r="E516" t="s">
        <v>20</v>
      </c>
      <c r="F516" t="s">
        <v>39</v>
      </c>
      <c r="G516" t="s">
        <v>39</v>
      </c>
      <c r="H516" t="s">
        <v>20</v>
      </c>
      <c r="I516">
        <v>3</v>
      </c>
      <c r="J516">
        <v>3</v>
      </c>
      <c r="K516">
        <v>10000000</v>
      </c>
      <c r="L516" t="s">
        <v>230</v>
      </c>
      <c r="M516" t="s">
        <v>280</v>
      </c>
      <c r="N516" t="s">
        <v>43</v>
      </c>
      <c r="O516" t="s">
        <v>909</v>
      </c>
      <c r="P516" t="s">
        <v>1596</v>
      </c>
      <c r="Q516">
        <f t="shared" si="144"/>
        <v>2</v>
      </c>
      <c r="R516">
        <f t="shared" si="145"/>
        <v>5</v>
      </c>
      <c r="S516">
        <f t="shared" si="146"/>
        <v>5</v>
      </c>
      <c r="T516">
        <f t="shared" si="147"/>
        <v>2</v>
      </c>
      <c r="U516">
        <v>10000000</v>
      </c>
      <c r="V516">
        <f t="shared" si="148"/>
        <v>1</v>
      </c>
      <c r="W516">
        <f t="shared" si="149"/>
        <v>1</v>
      </c>
      <c r="X516">
        <f t="shared" si="150"/>
        <v>1</v>
      </c>
      <c r="Y516">
        <f t="shared" si="151"/>
        <v>1</v>
      </c>
      <c r="Z516">
        <f t="shared" si="152"/>
        <v>1</v>
      </c>
      <c r="AA516">
        <f t="shared" si="153"/>
        <v>0</v>
      </c>
      <c r="AB516">
        <f t="shared" si="154"/>
        <v>1</v>
      </c>
      <c r="AC516">
        <f t="shared" si="155"/>
        <v>1</v>
      </c>
      <c r="AD516">
        <f t="shared" si="156"/>
        <v>1</v>
      </c>
      <c r="AE516">
        <f t="shared" si="157"/>
        <v>0</v>
      </c>
      <c r="AF516">
        <f t="shared" si="158"/>
        <v>1</v>
      </c>
      <c r="AG516">
        <f t="shared" si="159"/>
        <v>1</v>
      </c>
      <c r="AH516">
        <f t="shared" si="160"/>
        <v>0</v>
      </c>
      <c r="AI516">
        <f t="shared" si="161"/>
        <v>0</v>
      </c>
    </row>
    <row r="517" spans="1:35" x14ac:dyDescent="0.2">
      <c r="A517">
        <v>74</v>
      </c>
      <c r="B517" t="s">
        <v>1398</v>
      </c>
      <c r="C517">
        <v>8</v>
      </c>
      <c r="D517" t="s">
        <v>1597</v>
      </c>
      <c r="E517" t="s">
        <v>21</v>
      </c>
      <c r="F517" t="s">
        <v>39</v>
      </c>
      <c r="G517" t="s">
        <v>39</v>
      </c>
      <c r="H517" t="s">
        <v>21</v>
      </c>
      <c r="I517">
        <v>20</v>
      </c>
      <c r="J517">
        <v>4</v>
      </c>
      <c r="K517">
        <v>400000000</v>
      </c>
      <c r="L517" t="s">
        <v>494</v>
      </c>
      <c r="M517" t="s">
        <v>468</v>
      </c>
      <c r="N517" t="s">
        <v>215</v>
      </c>
      <c r="O517" t="s">
        <v>1598</v>
      </c>
      <c r="P517" t="s">
        <v>1599</v>
      </c>
      <c r="Q517">
        <f t="shared" si="144"/>
        <v>1</v>
      </c>
      <c r="R517">
        <f t="shared" si="145"/>
        <v>5</v>
      </c>
      <c r="S517">
        <f t="shared" si="146"/>
        <v>5</v>
      </c>
      <c r="T517">
        <f t="shared" si="147"/>
        <v>1</v>
      </c>
      <c r="U517">
        <v>400000000</v>
      </c>
      <c r="V517">
        <f t="shared" si="148"/>
        <v>0</v>
      </c>
      <c r="W517">
        <f t="shared" si="149"/>
        <v>1</v>
      </c>
      <c r="X517">
        <f t="shared" si="150"/>
        <v>1</v>
      </c>
      <c r="Y517">
        <f t="shared" si="151"/>
        <v>1</v>
      </c>
      <c r="Z517">
        <f t="shared" si="152"/>
        <v>1</v>
      </c>
      <c r="AA517">
        <f t="shared" si="153"/>
        <v>1</v>
      </c>
      <c r="AB517">
        <f t="shared" si="154"/>
        <v>1</v>
      </c>
      <c r="AC517">
        <f t="shared" si="155"/>
        <v>1</v>
      </c>
      <c r="AD517">
        <f t="shared" si="156"/>
        <v>1</v>
      </c>
      <c r="AE517">
        <f t="shared" si="157"/>
        <v>1</v>
      </c>
      <c r="AF517">
        <f t="shared" si="158"/>
        <v>1</v>
      </c>
      <c r="AG517">
        <f t="shared" si="159"/>
        <v>0</v>
      </c>
      <c r="AH517">
        <f t="shared" si="160"/>
        <v>0</v>
      </c>
      <c r="AI517">
        <f t="shared" si="161"/>
        <v>0</v>
      </c>
    </row>
    <row r="518" spans="1:35" x14ac:dyDescent="0.2">
      <c r="A518">
        <v>75</v>
      </c>
      <c r="B518" t="s">
        <v>1398</v>
      </c>
      <c r="C518">
        <v>5</v>
      </c>
      <c r="D518" t="s">
        <v>1600</v>
      </c>
      <c r="E518" t="s">
        <v>21</v>
      </c>
      <c r="F518" t="s">
        <v>39</v>
      </c>
      <c r="G518" t="s">
        <v>39</v>
      </c>
      <c r="H518" t="s">
        <v>21</v>
      </c>
      <c r="I518">
        <v>2</v>
      </c>
      <c r="J518">
        <v>3</v>
      </c>
      <c r="K518">
        <v>50</v>
      </c>
      <c r="L518" t="s">
        <v>714</v>
      </c>
      <c r="M518" t="s">
        <v>48</v>
      </c>
      <c r="N518" t="s">
        <v>43</v>
      </c>
      <c r="O518" t="s">
        <v>1601</v>
      </c>
      <c r="P518" t="s">
        <v>1602</v>
      </c>
      <c r="Q518">
        <f t="shared" si="144"/>
        <v>1</v>
      </c>
      <c r="R518">
        <f t="shared" si="145"/>
        <v>5</v>
      </c>
      <c r="S518">
        <f t="shared" si="146"/>
        <v>5</v>
      </c>
      <c r="T518">
        <f t="shared" si="147"/>
        <v>1</v>
      </c>
      <c r="U518">
        <v>50</v>
      </c>
      <c r="V518">
        <f t="shared" si="148"/>
        <v>0</v>
      </c>
      <c r="W518">
        <f t="shared" si="149"/>
        <v>0</v>
      </c>
      <c r="X518">
        <f t="shared" si="150"/>
        <v>1</v>
      </c>
      <c r="Y518">
        <f t="shared" si="151"/>
        <v>1</v>
      </c>
      <c r="Z518">
        <f t="shared" si="152"/>
        <v>1</v>
      </c>
      <c r="AA518">
        <f t="shared" si="153"/>
        <v>1</v>
      </c>
      <c r="AB518">
        <f t="shared" si="154"/>
        <v>1</v>
      </c>
      <c r="AC518">
        <f t="shared" si="155"/>
        <v>1</v>
      </c>
      <c r="AD518">
        <f t="shared" si="156"/>
        <v>0</v>
      </c>
      <c r="AE518">
        <f t="shared" si="157"/>
        <v>0</v>
      </c>
      <c r="AF518">
        <f t="shared" si="158"/>
        <v>1</v>
      </c>
      <c r="AG518">
        <f t="shared" si="159"/>
        <v>1</v>
      </c>
      <c r="AH518">
        <f t="shared" si="160"/>
        <v>0</v>
      </c>
      <c r="AI518">
        <f t="shared" si="161"/>
        <v>0</v>
      </c>
    </row>
    <row r="519" spans="1:35" x14ac:dyDescent="0.2">
      <c r="A519">
        <v>76</v>
      </c>
      <c r="B519" t="s">
        <v>1398</v>
      </c>
      <c r="C519">
        <v>7</v>
      </c>
      <c r="D519" t="s">
        <v>1603</v>
      </c>
      <c r="E519" t="s">
        <v>21</v>
      </c>
      <c r="F519" t="s">
        <v>39</v>
      </c>
      <c r="G519" t="s">
        <v>39</v>
      </c>
      <c r="H519" t="s">
        <v>21</v>
      </c>
      <c r="I519">
        <v>1</v>
      </c>
      <c r="J519">
        <v>2</v>
      </c>
      <c r="K519" t="s">
        <v>1604</v>
      </c>
      <c r="L519" t="s">
        <v>47</v>
      </c>
      <c r="M519" t="s">
        <v>42</v>
      </c>
      <c r="N519" t="s">
        <v>215</v>
      </c>
      <c r="O519" t="s">
        <v>1605</v>
      </c>
      <c r="P519" t="s">
        <v>1606</v>
      </c>
      <c r="Q519">
        <f t="shared" si="144"/>
        <v>1</v>
      </c>
      <c r="R519">
        <f t="shared" si="145"/>
        <v>5</v>
      </c>
      <c r="S519">
        <f t="shared" si="146"/>
        <v>5</v>
      </c>
      <c r="T519">
        <f t="shared" si="147"/>
        <v>1</v>
      </c>
      <c r="U519">
        <v>7000</v>
      </c>
      <c r="V519">
        <f t="shared" si="148"/>
        <v>0</v>
      </c>
      <c r="W519">
        <f t="shared" si="149"/>
        <v>0</v>
      </c>
      <c r="X519">
        <f t="shared" si="150"/>
        <v>1</v>
      </c>
      <c r="Y519">
        <f t="shared" si="151"/>
        <v>0</v>
      </c>
      <c r="Z519">
        <f t="shared" si="152"/>
        <v>1</v>
      </c>
      <c r="AA519">
        <f t="shared" si="153"/>
        <v>0</v>
      </c>
      <c r="AB519">
        <f t="shared" si="154"/>
        <v>1</v>
      </c>
      <c r="AC519">
        <f t="shared" si="155"/>
        <v>0</v>
      </c>
      <c r="AD519">
        <f t="shared" si="156"/>
        <v>0</v>
      </c>
      <c r="AE519">
        <f t="shared" si="157"/>
        <v>0</v>
      </c>
      <c r="AF519">
        <f t="shared" si="158"/>
        <v>1</v>
      </c>
      <c r="AG519">
        <f t="shared" si="159"/>
        <v>0</v>
      </c>
      <c r="AH519">
        <f t="shared" si="160"/>
        <v>0</v>
      </c>
      <c r="AI519">
        <f t="shared" si="161"/>
        <v>0</v>
      </c>
    </row>
    <row r="520" spans="1:35" x14ac:dyDescent="0.2">
      <c r="A520">
        <v>77</v>
      </c>
      <c r="B520" t="s">
        <v>1398</v>
      </c>
      <c r="C520">
        <v>7</v>
      </c>
      <c r="D520" t="s">
        <v>1582</v>
      </c>
      <c r="E520" t="s">
        <v>20</v>
      </c>
      <c r="F520" t="s">
        <v>39</v>
      </c>
      <c r="G520" t="s">
        <v>18</v>
      </c>
      <c r="H520" t="s">
        <v>20</v>
      </c>
      <c r="I520">
        <v>2</v>
      </c>
      <c r="J520">
        <v>1</v>
      </c>
      <c r="K520">
        <v>30</v>
      </c>
      <c r="L520" t="s">
        <v>98</v>
      </c>
      <c r="M520" t="s">
        <v>42</v>
      </c>
      <c r="N520" t="s">
        <v>215</v>
      </c>
      <c r="O520" t="s">
        <v>590</v>
      </c>
      <c r="P520" t="s">
        <v>1607</v>
      </c>
      <c r="Q520">
        <f t="shared" si="144"/>
        <v>2</v>
      </c>
      <c r="R520">
        <f t="shared" si="145"/>
        <v>5</v>
      </c>
      <c r="S520">
        <f t="shared" si="146"/>
        <v>4</v>
      </c>
      <c r="T520">
        <f t="shared" si="147"/>
        <v>2</v>
      </c>
      <c r="U520">
        <v>30</v>
      </c>
      <c r="V520">
        <f t="shared" si="148"/>
        <v>0</v>
      </c>
      <c r="W520">
        <f t="shared" si="149"/>
        <v>1</v>
      </c>
      <c r="X520">
        <f t="shared" si="150"/>
        <v>0</v>
      </c>
      <c r="Y520">
        <f t="shared" si="151"/>
        <v>0</v>
      </c>
      <c r="Z520">
        <f t="shared" si="152"/>
        <v>0</v>
      </c>
      <c r="AA520">
        <f t="shared" si="153"/>
        <v>0</v>
      </c>
      <c r="AB520">
        <f t="shared" si="154"/>
        <v>1</v>
      </c>
      <c r="AC520">
        <f t="shared" si="155"/>
        <v>0</v>
      </c>
      <c r="AD520">
        <f t="shared" si="156"/>
        <v>0</v>
      </c>
      <c r="AE520">
        <f t="shared" si="157"/>
        <v>0</v>
      </c>
      <c r="AF520">
        <f t="shared" si="158"/>
        <v>1</v>
      </c>
      <c r="AG520">
        <f t="shared" si="159"/>
        <v>0</v>
      </c>
      <c r="AH520">
        <f t="shared" si="160"/>
        <v>0</v>
      </c>
      <c r="AI520">
        <f t="shared" si="161"/>
        <v>0</v>
      </c>
    </row>
    <row r="521" spans="1:35" x14ac:dyDescent="0.2">
      <c r="A521">
        <v>78</v>
      </c>
      <c r="B521" t="s">
        <v>1398</v>
      </c>
      <c r="C521">
        <v>9</v>
      </c>
      <c r="D521" t="s">
        <v>1608</v>
      </c>
      <c r="E521" t="s">
        <v>20</v>
      </c>
      <c r="F521" t="s">
        <v>18</v>
      </c>
      <c r="G521" t="s">
        <v>39</v>
      </c>
      <c r="H521" t="s">
        <v>20</v>
      </c>
      <c r="I521">
        <v>8</v>
      </c>
      <c r="J521">
        <v>1</v>
      </c>
      <c r="K521" s="1">
        <v>100000</v>
      </c>
      <c r="L521" t="s">
        <v>1609</v>
      </c>
      <c r="M521" t="s">
        <v>48</v>
      </c>
      <c r="N521" t="s">
        <v>215</v>
      </c>
      <c r="O521" t="s">
        <v>1610</v>
      </c>
      <c r="P521" t="s">
        <v>1611</v>
      </c>
      <c r="Q521">
        <f t="shared" si="144"/>
        <v>2</v>
      </c>
      <c r="R521">
        <f t="shared" si="145"/>
        <v>4</v>
      </c>
      <c r="S521">
        <f t="shared" si="146"/>
        <v>5</v>
      </c>
      <c r="T521">
        <f t="shared" si="147"/>
        <v>2</v>
      </c>
      <c r="U521">
        <v>100000</v>
      </c>
      <c r="V521">
        <f t="shared" si="148"/>
        <v>1</v>
      </c>
      <c r="W521">
        <f t="shared" si="149"/>
        <v>1</v>
      </c>
      <c r="X521">
        <f t="shared" si="150"/>
        <v>0</v>
      </c>
      <c r="Y521">
        <f t="shared" si="151"/>
        <v>1</v>
      </c>
      <c r="Z521">
        <f t="shared" si="152"/>
        <v>0</v>
      </c>
      <c r="AA521">
        <f t="shared" si="153"/>
        <v>1</v>
      </c>
      <c r="AB521">
        <f t="shared" si="154"/>
        <v>1</v>
      </c>
      <c r="AC521">
        <f t="shared" si="155"/>
        <v>1</v>
      </c>
      <c r="AD521">
        <f t="shared" si="156"/>
        <v>0</v>
      </c>
      <c r="AE521">
        <f t="shared" si="157"/>
        <v>0</v>
      </c>
      <c r="AF521">
        <f t="shared" si="158"/>
        <v>1</v>
      </c>
      <c r="AG521">
        <f t="shared" si="159"/>
        <v>0</v>
      </c>
      <c r="AH521">
        <f t="shared" si="160"/>
        <v>0</v>
      </c>
      <c r="AI521">
        <f t="shared" si="161"/>
        <v>0</v>
      </c>
    </row>
    <row r="522" spans="1:35" x14ac:dyDescent="0.2">
      <c r="A522">
        <v>79</v>
      </c>
      <c r="B522" t="s">
        <v>1398</v>
      </c>
      <c r="C522">
        <v>3</v>
      </c>
      <c r="D522" t="s">
        <v>1612</v>
      </c>
      <c r="E522" t="s">
        <v>21</v>
      </c>
      <c r="F522" t="s">
        <v>18</v>
      </c>
      <c r="G522" t="s">
        <v>19</v>
      </c>
      <c r="H522" t="s">
        <v>21</v>
      </c>
      <c r="I522">
        <v>4</v>
      </c>
      <c r="J522">
        <v>3</v>
      </c>
      <c r="K522" t="s">
        <v>1613</v>
      </c>
      <c r="L522" t="s">
        <v>41</v>
      </c>
      <c r="M522" t="s">
        <v>123</v>
      </c>
      <c r="N522" t="s">
        <v>215</v>
      </c>
      <c r="O522" t="s">
        <v>1614</v>
      </c>
      <c r="P522" t="s">
        <v>1615</v>
      </c>
      <c r="Q522">
        <f t="shared" si="144"/>
        <v>1</v>
      </c>
      <c r="R522">
        <f t="shared" si="145"/>
        <v>4</v>
      </c>
      <c r="S522">
        <f t="shared" si="146"/>
        <v>3</v>
      </c>
      <c r="T522">
        <f t="shared" si="147"/>
        <v>1</v>
      </c>
      <c r="U522">
        <v>200000</v>
      </c>
      <c r="V522">
        <f t="shared" si="148"/>
        <v>0</v>
      </c>
      <c r="W522">
        <f t="shared" si="149"/>
        <v>0</v>
      </c>
      <c r="X522">
        <f t="shared" si="150"/>
        <v>0</v>
      </c>
      <c r="Y522">
        <f t="shared" si="151"/>
        <v>0</v>
      </c>
      <c r="Z522">
        <f t="shared" si="152"/>
        <v>1</v>
      </c>
      <c r="AA522">
        <f t="shared" si="153"/>
        <v>0</v>
      </c>
      <c r="AB522">
        <f t="shared" si="154"/>
        <v>1</v>
      </c>
      <c r="AC522">
        <f t="shared" si="155"/>
        <v>1</v>
      </c>
      <c r="AD522">
        <f t="shared" si="156"/>
        <v>0</v>
      </c>
      <c r="AE522">
        <f t="shared" si="157"/>
        <v>0</v>
      </c>
      <c r="AF522">
        <f t="shared" si="158"/>
        <v>1</v>
      </c>
      <c r="AG522">
        <f t="shared" si="159"/>
        <v>0</v>
      </c>
      <c r="AH522">
        <f t="shared" si="160"/>
        <v>0</v>
      </c>
      <c r="AI522">
        <f t="shared" si="161"/>
        <v>0</v>
      </c>
    </row>
    <row r="523" spans="1:35" ht="136" x14ac:dyDescent="0.2">
      <c r="A523">
        <v>80</v>
      </c>
      <c r="B523" t="s">
        <v>1398</v>
      </c>
      <c r="C523">
        <v>2</v>
      </c>
      <c r="D523" t="s">
        <v>1616</v>
      </c>
      <c r="E523" t="s">
        <v>21</v>
      </c>
      <c r="F523" t="s">
        <v>39</v>
      </c>
      <c r="G523" t="s">
        <v>39</v>
      </c>
      <c r="H523" t="s">
        <v>21</v>
      </c>
      <c r="I523">
        <v>1</v>
      </c>
      <c r="J523">
        <v>1</v>
      </c>
      <c r="K523" s="1">
        <v>1000</v>
      </c>
      <c r="L523" t="s">
        <v>230</v>
      </c>
      <c r="M523" t="s">
        <v>468</v>
      </c>
      <c r="N523" t="s">
        <v>43</v>
      </c>
      <c r="O523" t="s">
        <v>1617</v>
      </c>
      <c r="P523" s="3" t="s">
        <v>1618</v>
      </c>
      <c r="Q523">
        <f t="shared" si="144"/>
        <v>1</v>
      </c>
      <c r="R523">
        <f t="shared" si="145"/>
        <v>5</v>
      </c>
      <c r="S523">
        <f t="shared" si="146"/>
        <v>5</v>
      </c>
      <c r="T523">
        <f t="shared" si="147"/>
        <v>1</v>
      </c>
      <c r="U523">
        <v>1000</v>
      </c>
      <c r="V523">
        <f t="shared" si="148"/>
        <v>1</v>
      </c>
      <c r="W523">
        <f t="shared" si="149"/>
        <v>1</v>
      </c>
      <c r="X523">
        <f t="shared" si="150"/>
        <v>1</v>
      </c>
      <c r="Y523">
        <f t="shared" si="151"/>
        <v>1</v>
      </c>
      <c r="Z523">
        <f t="shared" si="152"/>
        <v>1</v>
      </c>
      <c r="AA523">
        <f t="shared" si="153"/>
        <v>1</v>
      </c>
      <c r="AB523">
        <f t="shared" si="154"/>
        <v>1</v>
      </c>
      <c r="AC523">
        <f t="shared" si="155"/>
        <v>1</v>
      </c>
      <c r="AD523">
        <f t="shared" si="156"/>
        <v>1</v>
      </c>
      <c r="AE523">
        <f t="shared" si="157"/>
        <v>1</v>
      </c>
      <c r="AF523">
        <f t="shared" si="158"/>
        <v>1</v>
      </c>
      <c r="AG523">
        <f t="shared" si="159"/>
        <v>1</v>
      </c>
      <c r="AH523">
        <f t="shared" si="160"/>
        <v>0</v>
      </c>
      <c r="AI523">
        <f t="shared" si="161"/>
        <v>0</v>
      </c>
    </row>
    <row r="524" spans="1:35" x14ac:dyDescent="0.2">
      <c r="A524">
        <v>81</v>
      </c>
      <c r="B524" t="s">
        <v>1398</v>
      </c>
      <c r="C524">
        <v>7</v>
      </c>
      <c r="D524" t="s">
        <v>1619</v>
      </c>
      <c r="E524" t="s">
        <v>21</v>
      </c>
      <c r="F524" t="s">
        <v>18</v>
      </c>
      <c r="G524" t="s">
        <v>18</v>
      </c>
      <c r="H524" t="s">
        <v>21</v>
      </c>
      <c r="I524">
        <v>2</v>
      </c>
      <c r="J524">
        <v>1</v>
      </c>
      <c r="K524" t="s">
        <v>1620</v>
      </c>
      <c r="L524" t="s">
        <v>47</v>
      </c>
      <c r="M524" t="s">
        <v>123</v>
      </c>
      <c r="N524" t="s">
        <v>43</v>
      </c>
      <c r="O524" t="s">
        <v>458</v>
      </c>
      <c r="P524" t="s">
        <v>1420</v>
      </c>
      <c r="Q524">
        <f t="shared" si="144"/>
        <v>1</v>
      </c>
      <c r="R524">
        <f t="shared" si="145"/>
        <v>4</v>
      </c>
      <c r="S524">
        <f t="shared" si="146"/>
        <v>4</v>
      </c>
      <c r="T524">
        <f t="shared" si="147"/>
        <v>1</v>
      </c>
      <c r="U524">
        <v>300</v>
      </c>
      <c r="V524">
        <f t="shared" si="148"/>
        <v>0</v>
      </c>
      <c r="W524">
        <f t="shared" si="149"/>
        <v>0</v>
      </c>
      <c r="X524">
        <f t="shared" si="150"/>
        <v>1</v>
      </c>
      <c r="Y524">
        <f t="shared" si="151"/>
        <v>0</v>
      </c>
      <c r="Z524">
        <f t="shared" si="152"/>
        <v>1</v>
      </c>
      <c r="AA524">
        <f t="shared" si="153"/>
        <v>0</v>
      </c>
      <c r="AB524">
        <f t="shared" si="154"/>
        <v>1</v>
      </c>
      <c r="AC524">
        <f t="shared" si="155"/>
        <v>1</v>
      </c>
      <c r="AD524">
        <f t="shared" si="156"/>
        <v>0</v>
      </c>
      <c r="AE524">
        <f t="shared" si="157"/>
        <v>0</v>
      </c>
      <c r="AF524">
        <f t="shared" si="158"/>
        <v>1</v>
      </c>
      <c r="AG524">
        <f t="shared" si="159"/>
        <v>1</v>
      </c>
      <c r="AH524">
        <f t="shared" si="160"/>
        <v>0</v>
      </c>
      <c r="AI524">
        <f t="shared" si="161"/>
        <v>0</v>
      </c>
    </row>
    <row r="525" spans="1:35" x14ac:dyDescent="0.2">
      <c r="A525">
        <v>82</v>
      </c>
      <c r="B525" t="s">
        <v>1398</v>
      </c>
      <c r="C525">
        <v>10</v>
      </c>
      <c r="D525" t="s">
        <v>1621</v>
      </c>
      <c r="E525" t="s">
        <v>21</v>
      </c>
      <c r="F525" t="s">
        <v>39</v>
      </c>
      <c r="G525" t="s">
        <v>18</v>
      </c>
      <c r="H525" t="s">
        <v>21</v>
      </c>
      <c r="I525">
        <v>4</v>
      </c>
      <c r="J525">
        <v>4</v>
      </c>
      <c r="K525">
        <v>500</v>
      </c>
      <c r="L525" t="s">
        <v>41</v>
      </c>
      <c r="M525" t="s">
        <v>42</v>
      </c>
      <c r="N525" t="s">
        <v>215</v>
      </c>
      <c r="O525" t="s">
        <v>1622</v>
      </c>
      <c r="P525" t="s">
        <v>1623</v>
      </c>
      <c r="Q525">
        <f t="shared" si="144"/>
        <v>1</v>
      </c>
      <c r="R525">
        <f t="shared" si="145"/>
        <v>5</v>
      </c>
      <c r="S525">
        <f t="shared" si="146"/>
        <v>4</v>
      </c>
      <c r="T525">
        <f t="shared" si="147"/>
        <v>1</v>
      </c>
      <c r="U525">
        <v>500</v>
      </c>
      <c r="V525">
        <f t="shared" si="148"/>
        <v>0</v>
      </c>
      <c r="W525">
        <f t="shared" si="149"/>
        <v>0</v>
      </c>
      <c r="X525">
        <f t="shared" si="150"/>
        <v>0</v>
      </c>
      <c r="Y525">
        <f t="shared" si="151"/>
        <v>0</v>
      </c>
      <c r="Z525">
        <f t="shared" si="152"/>
        <v>1</v>
      </c>
      <c r="AA525">
        <f t="shared" si="153"/>
        <v>0</v>
      </c>
      <c r="AB525">
        <f t="shared" si="154"/>
        <v>1</v>
      </c>
      <c r="AC525">
        <f t="shared" si="155"/>
        <v>0</v>
      </c>
      <c r="AD525">
        <f t="shared" si="156"/>
        <v>0</v>
      </c>
      <c r="AE525">
        <f t="shared" si="157"/>
        <v>0</v>
      </c>
      <c r="AF525">
        <f t="shared" si="158"/>
        <v>1</v>
      </c>
      <c r="AG525">
        <f t="shared" si="159"/>
        <v>0</v>
      </c>
      <c r="AH525">
        <f t="shared" si="160"/>
        <v>0</v>
      </c>
      <c r="AI525">
        <f t="shared" si="161"/>
        <v>0</v>
      </c>
    </row>
    <row r="526" spans="1:35" x14ac:dyDescent="0.2">
      <c r="A526">
        <v>83</v>
      </c>
      <c r="B526" t="s">
        <v>1398</v>
      </c>
      <c r="C526">
        <v>8</v>
      </c>
      <c r="D526" t="s">
        <v>1624</v>
      </c>
      <c r="E526" t="s">
        <v>21</v>
      </c>
      <c r="F526" t="s">
        <v>39</v>
      </c>
      <c r="G526" t="s">
        <v>39</v>
      </c>
      <c r="H526" t="s">
        <v>21</v>
      </c>
      <c r="I526">
        <v>3</v>
      </c>
      <c r="J526">
        <v>2</v>
      </c>
      <c r="K526" s="2">
        <v>5000000</v>
      </c>
      <c r="L526" t="s">
        <v>601</v>
      </c>
      <c r="M526" t="s">
        <v>1098</v>
      </c>
      <c r="N526" t="s">
        <v>43</v>
      </c>
      <c r="O526" t="s">
        <v>1625</v>
      </c>
      <c r="P526" t="s">
        <v>1626</v>
      </c>
      <c r="Q526">
        <f t="shared" si="144"/>
        <v>1</v>
      </c>
      <c r="R526">
        <f t="shared" si="145"/>
        <v>5</v>
      </c>
      <c r="S526">
        <f t="shared" si="146"/>
        <v>5</v>
      </c>
      <c r="T526">
        <f t="shared" si="147"/>
        <v>1</v>
      </c>
      <c r="U526">
        <v>5000000</v>
      </c>
      <c r="V526">
        <f t="shared" si="148"/>
        <v>0</v>
      </c>
      <c r="W526">
        <f t="shared" si="149"/>
        <v>1</v>
      </c>
      <c r="X526">
        <f t="shared" si="150"/>
        <v>0</v>
      </c>
      <c r="Y526">
        <f t="shared" si="151"/>
        <v>1</v>
      </c>
      <c r="Z526">
        <f t="shared" si="152"/>
        <v>1</v>
      </c>
      <c r="AA526">
        <f t="shared" si="153"/>
        <v>1</v>
      </c>
      <c r="AB526">
        <f t="shared" si="154"/>
        <v>1</v>
      </c>
      <c r="AC526">
        <f t="shared" si="155"/>
        <v>1</v>
      </c>
      <c r="AD526">
        <f t="shared" si="156"/>
        <v>0</v>
      </c>
      <c r="AE526">
        <f t="shared" si="157"/>
        <v>1</v>
      </c>
      <c r="AF526">
        <f t="shared" si="158"/>
        <v>1</v>
      </c>
      <c r="AG526">
        <f t="shared" si="159"/>
        <v>1</v>
      </c>
      <c r="AH526">
        <f t="shared" si="160"/>
        <v>0</v>
      </c>
      <c r="AI526">
        <f t="shared" si="161"/>
        <v>0</v>
      </c>
    </row>
    <row r="527" spans="1:35" x14ac:dyDescent="0.2">
      <c r="A527">
        <v>84</v>
      </c>
      <c r="B527" t="s">
        <v>1398</v>
      </c>
      <c r="C527">
        <v>7</v>
      </c>
      <c r="D527" t="s">
        <v>1627</v>
      </c>
      <c r="E527" t="s">
        <v>19</v>
      </c>
      <c r="F527" t="s">
        <v>18</v>
      </c>
      <c r="G527" t="s">
        <v>18</v>
      </c>
      <c r="H527" t="s">
        <v>20</v>
      </c>
      <c r="I527">
        <v>1</v>
      </c>
      <c r="J527">
        <v>1</v>
      </c>
      <c r="K527">
        <v>20</v>
      </c>
      <c r="L527" t="s">
        <v>435</v>
      </c>
      <c r="M527" t="s">
        <v>291</v>
      </c>
      <c r="N527" t="s">
        <v>84</v>
      </c>
      <c r="O527" t="s">
        <v>1628</v>
      </c>
      <c r="P527" t="s">
        <v>1629</v>
      </c>
      <c r="Q527">
        <f t="shared" si="144"/>
        <v>3</v>
      </c>
      <c r="R527">
        <f t="shared" si="145"/>
        <v>4</v>
      </c>
      <c r="S527">
        <f t="shared" si="146"/>
        <v>4</v>
      </c>
      <c r="T527">
        <f t="shared" si="147"/>
        <v>2</v>
      </c>
      <c r="U527">
        <v>20</v>
      </c>
      <c r="V527">
        <f t="shared" si="148"/>
        <v>1</v>
      </c>
      <c r="W527">
        <f t="shared" si="149"/>
        <v>0</v>
      </c>
      <c r="X527">
        <f t="shared" si="150"/>
        <v>0</v>
      </c>
      <c r="Y527">
        <f t="shared" si="151"/>
        <v>0</v>
      </c>
      <c r="Z527">
        <f t="shared" si="152"/>
        <v>1</v>
      </c>
      <c r="AA527">
        <f t="shared" si="153"/>
        <v>0</v>
      </c>
      <c r="AB527">
        <f t="shared" si="154"/>
        <v>1</v>
      </c>
      <c r="AC527">
        <f t="shared" si="155"/>
        <v>0</v>
      </c>
      <c r="AD527">
        <f t="shared" si="156"/>
        <v>1</v>
      </c>
      <c r="AE527">
        <f t="shared" si="157"/>
        <v>0</v>
      </c>
      <c r="AF527">
        <f t="shared" si="158"/>
        <v>0</v>
      </c>
      <c r="AG527">
        <f t="shared" si="159"/>
        <v>1</v>
      </c>
      <c r="AH527">
        <f t="shared" si="160"/>
        <v>0</v>
      </c>
      <c r="AI527">
        <f t="shared" si="161"/>
        <v>0</v>
      </c>
    </row>
    <row r="528" spans="1:35" x14ac:dyDescent="0.2">
      <c r="A528">
        <v>85</v>
      </c>
      <c r="B528" t="s">
        <v>1398</v>
      </c>
      <c r="C528">
        <v>5</v>
      </c>
      <c r="D528" t="s">
        <v>1630</v>
      </c>
      <c r="E528" t="s">
        <v>21</v>
      </c>
      <c r="F528" t="s">
        <v>39</v>
      </c>
      <c r="G528" t="s">
        <v>39</v>
      </c>
      <c r="H528" t="s">
        <v>21</v>
      </c>
      <c r="I528">
        <v>0</v>
      </c>
      <c r="J528">
        <v>2</v>
      </c>
      <c r="K528">
        <v>4500</v>
      </c>
      <c r="L528" t="s">
        <v>230</v>
      </c>
      <c r="M528" t="s">
        <v>154</v>
      </c>
      <c r="N528" t="s">
        <v>84</v>
      </c>
      <c r="O528" t="s">
        <v>1631</v>
      </c>
      <c r="P528" t="s">
        <v>1632</v>
      </c>
      <c r="Q528">
        <f t="shared" si="144"/>
        <v>1</v>
      </c>
      <c r="R528">
        <f t="shared" si="145"/>
        <v>5</v>
      </c>
      <c r="S528">
        <f t="shared" si="146"/>
        <v>5</v>
      </c>
      <c r="T528">
        <f t="shared" si="147"/>
        <v>1</v>
      </c>
      <c r="U528">
        <v>4500</v>
      </c>
      <c r="V528">
        <f t="shared" si="148"/>
        <v>1</v>
      </c>
      <c r="W528">
        <f t="shared" si="149"/>
        <v>1</v>
      </c>
      <c r="X528">
        <f t="shared" si="150"/>
        <v>1</v>
      </c>
      <c r="Y528">
        <f t="shared" si="151"/>
        <v>1</v>
      </c>
      <c r="Z528">
        <f t="shared" si="152"/>
        <v>1</v>
      </c>
      <c r="AA528">
        <f t="shared" si="153"/>
        <v>1</v>
      </c>
      <c r="AB528">
        <f t="shared" si="154"/>
        <v>0</v>
      </c>
      <c r="AC528">
        <f t="shared" si="155"/>
        <v>1</v>
      </c>
      <c r="AD528">
        <f t="shared" si="156"/>
        <v>0</v>
      </c>
      <c r="AE528">
        <f t="shared" si="157"/>
        <v>0</v>
      </c>
      <c r="AF528">
        <f t="shared" si="158"/>
        <v>0</v>
      </c>
      <c r="AG528">
        <f t="shared" si="159"/>
        <v>1</v>
      </c>
      <c r="AH528">
        <f t="shared" si="160"/>
        <v>0</v>
      </c>
      <c r="AI528">
        <f t="shared" si="161"/>
        <v>0</v>
      </c>
    </row>
    <row r="529" spans="1:35" x14ac:dyDescent="0.2">
      <c r="A529">
        <v>86</v>
      </c>
      <c r="B529" t="s">
        <v>1398</v>
      </c>
      <c r="C529">
        <v>6</v>
      </c>
      <c r="D529" t="s">
        <v>1633</v>
      </c>
      <c r="E529" t="s">
        <v>19</v>
      </c>
      <c r="F529" t="s">
        <v>18</v>
      </c>
      <c r="G529" t="s">
        <v>18</v>
      </c>
      <c r="H529" t="s">
        <v>20</v>
      </c>
      <c r="I529">
        <v>4</v>
      </c>
      <c r="J529">
        <v>5</v>
      </c>
      <c r="K529">
        <v>100000</v>
      </c>
      <c r="L529" t="s">
        <v>41</v>
      </c>
      <c r="M529" t="s">
        <v>123</v>
      </c>
      <c r="N529" t="s">
        <v>215</v>
      </c>
      <c r="O529" t="s">
        <v>1634</v>
      </c>
      <c r="P529" t="s">
        <v>1635</v>
      </c>
      <c r="Q529">
        <f t="shared" si="144"/>
        <v>3</v>
      </c>
      <c r="R529">
        <f t="shared" si="145"/>
        <v>4</v>
      </c>
      <c r="S529">
        <f t="shared" si="146"/>
        <v>4</v>
      </c>
      <c r="T529">
        <f t="shared" si="147"/>
        <v>2</v>
      </c>
      <c r="U529">
        <v>100000</v>
      </c>
      <c r="V529">
        <f t="shared" si="148"/>
        <v>0</v>
      </c>
      <c r="W529">
        <f t="shared" si="149"/>
        <v>0</v>
      </c>
      <c r="X529">
        <f t="shared" si="150"/>
        <v>0</v>
      </c>
      <c r="Y529">
        <f t="shared" si="151"/>
        <v>0</v>
      </c>
      <c r="Z529">
        <f t="shared" si="152"/>
        <v>1</v>
      </c>
      <c r="AA529">
        <f t="shared" si="153"/>
        <v>0</v>
      </c>
      <c r="AB529">
        <f t="shared" si="154"/>
        <v>1</v>
      </c>
      <c r="AC529">
        <f t="shared" si="155"/>
        <v>1</v>
      </c>
      <c r="AD529">
        <f t="shared" si="156"/>
        <v>0</v>
      </c>
      <c r="AE529">
        <f t="shared" si="157"/>
        <v>0</v>
      </c>
      <c r="AF529">
        <f t="shared" si="158"/>
        <v>1</v>
      </c>
      <c r="AG529">
        <f t="shared" si="159"/>
        <v>0</v>
      </c>
      <c r="AH529">
        <f t="shared" si="160"/>
        <v>0</v>
      </c>
      <c r="AI529">
        <f t="shared" si="161"/>
        <v>0</v>
      </c>
    </row>
    <row r="530" spans="1:35" x14ac:dyDescent="0.2">
      <c r="A530">
        <v>87</v>
      </c>
      <c r="B530" t="s">
        <v>1398</v>
      </c>
      <c r="C530">
        <v>8</v>
      </c>
      <c r="D530" t="s">
        <v>1636</v>
      </c>
      <c r="E530" t="s">
        <v>21</v>
      </c>
      <c r="F530" t="s">
        <v>39</v>
      </c>
      <c r="G530" t="s">
        <v>18</v>
      </c>
      <c r="H530" t="s">
        <v>21</v>
      </c>
      <c r="I530">
        <v>2</v>
      </c>
      <c r="J530">
        <v>3</v>
      </c>
      <c r="K530">
        <v>10000</v>
      </c>
      <c r="L530" t="s">
        <v>601</v>
      </c>
      <c r="M530" t="s">
        <v>48</v>
      </c>
      <c r="N530" t="s">
        <v>215</v>
      </c>
      <c r="O530" t="s">
        <v>1637</v>
      </c>
      <c r="P530" t="s">
        <v>1638</v>
      </c>
      <c r="Q530">
        <f t="shared" si="144"/>
        <v>1</v>
      </c>
      <c r="R530">
        <f t="shared" si="145"/>
        <v>5</v>
      </c>
      <c r="S530">
        <f t="shared" si="146"/>
        <v>4</v>
      </c>
      <c r="T530">
        <f t="shared" si="147"/>
        <v>1</v>
      </c>
      <c r="U530">
        <v>10000</v>
      </c>
      <c r="V530">
        <f t="shared" si="148"/>
        <v>0</v>
      </c>
      <c r="W530">
        <f t="shared" si="149"/>
        <v>1</v>
      </c>
      <c r="X530">
        <f t="shared" si="150"/>
        <v>0</v>
      </c>
      <c r="Y530">
        <f t="shared" si="151"/>
        <v>1</v>
      </c>
      <c r="Z530">
        <f t="shared" si="152"/>
        <v>1</v>
      </c>
      <c r="AA530">
        <f t="shared" si="153"/>
        <v>1</v>
      </c>
      <c r="AB530">
        <f t="shared" si="154"/>
        <v>1</v>
      </c>
      <c r="AC530">
        <f t="shared" si="155"/>
        <v>1</v>
      </c>
      <c r="AD530">
        <f t="shared" si="156"/>
        <v>0</v>
      </c>
      <c r="AE530">
        <f t="shared" si="157"/>
        <v>0</v>
      </c>
      <c r="AF530">
        <f t="shared" si="158"/>
        <v>1</v>
      </c>
      <c r="AG530">
        <f t="shared" si="159"/>
        <v>0</v>
      </c>
      <c r="AH530">
        <f t="shared" si="160"/>
        <v>0</v>
      </c>
      <c r="AI530">
        <f t="shared" si="161"/>
        <v>0</v>
      </c>
    </row>
    <row r="531" spans="1:35" x14ac:dyDescent="0.2">
      <c r="A531">
        <v>88</v>
      </c>
      <c r="B531" t="s">
        <v>1398</v>
      </c>
      <c r="C531">
        <v>5</v>
      </c>
      <c r="D531" t="s">
        <v>1619</v>
      </c>
      <c r="E531" t="s">
        <v>21</v>
      </c>
      <c r="F531" t="s">
        <v>39</v>
      </c>
      <c r="G531" t="s">
        <v>39</v>
      </c>
      <c r="H531" t="s">
        <v>21</v>
      </c>
      <c r="I531">
        <v>3</v>
      </c>
      <c r="J531">
        <v>3</v>
      </c>
      <c r="K531">
        <v>0</v>
      </c>
      <c r="L531" t="s">
        <v>22</v>
      </c>
      <c r="M531" t="s">
        <v>115</v>
      </c>
      <c r="N531" t="s">
        <v>215</v>
      </c>
      <c r="O531" t="s">
        <v>1639</v>
      </c>
      <c r="P531" t="s">
        <v>1640</v>
      </c>
      <c r="Q531">
        <f t="shared" si="144"/>
        <v>1</v>
      </c>
      <c r="R531">
        <f t="shared" si="145"/>
        <v>5</v>
      </c>
      <c r="S531">
        <f t="shared" si="146"/>
        <v>5</v>
      </c>
      <c r="T531">
        <f t="shared" si="147"/>
        <v>1</v>
      </c>
      <c r="U531">
        <v>0</v>
      </c>
      <c r="V531">
        <f t="shared" si="148"/>
        <v>1</v>
      </c>
      <c r="W531">
        <f t="shared" si="149"/>
        <v>0</v>
      </c>
      <c r="X531">
        <f t="shared" si="150"/>
        <v>0</v>
      </c>
      <c r="Y531">
        <f t="shared" si="151"/>
        <v>0</v>
      </c>
      <c r="Z531">
        <f t="shared" si="152"/>
        <v>0</v>
      </c>
      <c r="AA531">
        <f t="shared" si="153"/>
        <v>0</v>
      </c>
      <c r="AB531">
        <f t="shared" si="154"/>
        <v>0</v>
      </c>
      <c r="AC531">
        <f t="shared" si="155"/>
        <v>1</v>
      </c>
      <c r="AD531">
        <f t="shared" si="156"/>
        <v>0</v>
      </c>
      <c r="AE531">
        <f t="shared" si="157"/>
        <v>0</v>
      </c>
      <c r="AF531">
        <f t="shared" si="158"/>
        <v>1</v>
      </c>
      <c r="AG531">
        <f t="shared" si="159"/>
        <v>0</v>
      </c>
      <c r="AH531">
        <f t="shared" si="160"/>
        <v>0</v>
      </c>
      <c r="AI531">
        <f t="shared" si="161"/>
        <v>0</v>
      </c>
    </row>
    <row r="532" spans="1:35" x14ac:dyDescent="0.2">
      <c r="A532">
        <v>89</v>
      </c>
      <c r="B532" t="s">
        <v>1398</v>
      </c>
      <c r="C532">
        <v>6</v>
      </c>
      <c r="D532" t="s">
        <v>1641</v>
      </c>
      <c r="E532" t="s">
        <v>20</v>
      </c>
      <c r="F532" t="s">
        <v>39</v>
      </c>
      <c r="G532" t="s">
        <v>39</v>
      </c>
      <c r="H532" t="s">
        <v>21</v>
      </c>
      <c r="I532">
        <v>2</v>
      </c>
      <c r="J532">
        <v>1</v>
      </c>
      <c r="K532" s="2">
        <v>5000000</v>
      </c>
      <c r="L532" t="s">
        <v>70</v>
      </c>
      <c r="M532" t="s">
        <v>123</v>
      </c>
      <c r="N532" t="s">
        <v>215</v>
      </c>
      <c r="O532" t="s">
        <v>1492</v>
      </c>
      <c r="P532" t="s">
        <v>1642</v>
      </c>
      <c r="Q532">
        <f t="shared" si="144"/>
        <v>2</v>
      </c>
      <c r="R532">
        <f t="shared" si="145"/>
        <v>5</v>
      </c>
      <c r="S532">
        <f t="shared" si="146"/>
        <v>5</v>
      </c>
      <c r="T532">
        <f t="shared" si="147"/>
        <v>1</v>
      </c>
      <c r="U532">
        <v>5000000</v>
      </c>
      <c r="V532">
        <f t="shared" si="148"/>
        <v>0</v>
      </c>
      <c r="W532">
        <f t="shared" si="149"/>
        <v>0</v>
      </c>
      <c r="X532">
        <f t="shared" si="150"/>
        <v>0</v>
      </c>
      <c r="Y532">
        <f t="shared" si="151"/>
        <v>1</v>
      </c>
      <c r="Z532">
        <f t="shared" si="152"/>
        <v>0</v>
      </c>
      <c r="AA532">
        <f t="shared" si="153"/>
        <v>0</v>
      </c>
      <c r="AB532">
        <f t="shared" si="154"/>
        <v>1</v>
      </c>
      <c r="AC532">
        <f t="shared" si="155"/>
        <v>1</v>
      </c>
      <c r="AD532">
        <f t="shared" si="156"/>
        <v>0</v>
      </c>
      <c r="AE532">
        <f t="shared" si="157"/>
        <v>0</v>
      </c>
      <c r="AF532">
        <f t="shared" si="158"/>
        <v>1</v>
      </c>
      <c r="AG532">
        <f t="shared" si="159"/>
        <v>0</v>
      </c>
      <c r="AH532">
        <f t="shared" si="160"/>
        <v>0</v>
      </c>
      <c r="AI532">
        <f t="shared" si="161"/>
        <v>0</v>
      </c>
    </row>
    <row r="533" spans="1:35" x14ac:dyDescent="0.2">
      <c r="A533">
        <v>90</v>
      </c>
      <c r="B533" t="s">
        <v>1398</v>
      </c>
      <c r="C533">
        <v>5</v>
      </c>
      <c r="D533" t="s">
        <v>1643</v>
      </c>
      <c r="E533" t="s">
        <v>20</v>
      </c>
      <c r="F533" t="s">
        <v>18</v>
      </c>
      <c r="G533" t="s">
        <v>18</v>
      </c>
      <c r="H533" t="s">
        <v>20</v>
      </c>
      <c r="I533">
        <v>2</v>
      </c>
      <c r="J533">
        <v>1</v>
      </c>
      <c r="K533">
        <v>100</v>
      </c>
      <c r="L533" t="s">
        <v>601</v>
      </c>
      <c r="M533" t="s">
        <v>161</v>
      </c>
      <c r="N533" t="s">
        <v>43</v>
      </c>
      <c r="O533" t="s">
        <v>1644</v>
      </c>
      <c r="P533" t="s">
        <v>1645</v>
      </c>
      <c r="Q533">
        <f t="shared" si="144"/>
        <v>2</v>
      </c>
      <c r="R533">
        <f t="shared" si="145"/>
        <v>4</v>
      </c>
      <c r="S533">
        <f t="shared" si="146"/>
        <v>4</v>
      </c>
      <c r="T533">
        <f t="shared" si="147"/>
        <v>2</v>
      </c>
      <c r="U533">
        <v>100</v>
      </c>
      <c r="V533">
        <f t="shared" si="148"/>
        <v>0</v>
      </c>
      <c r="W533">
        <f t="shared" si="149"/>
        <v>1</v>
      </c>
      <c r="X533">
        <f t="shared" si="150"/>
        <v>0</v>
      </c>
      <c r="Y533">
        <f t="shared" si="151"/>
        <v>1</v>
      </c>
      <c r="Z533">
        <f t="shared" si="152"/>
        <v>1</v>
      </c>
      <c r="AA533">
        <f t="shared" si="153"/>
        <v>1</v>
      </c>
      <c r="AB533">
        <f t="shared" si="154"/>
        <v>1</v>
      </c>
      <c r="AC533">
        <f t="shared" si="155"/>
        <v>1</v>
      </c>
      <c r="AD533">
        <f t="shared" si="156"/>
        <v>1</v>
      </c>
      <c r="AE533">
        <f t="shared" si="157"/>
        <v>0</v>
      </c>
      <c r="AF533">
        <f t="shared" si="158"/>
        <v>1</v>
      </c>
      <c r="AG533">
        <f t="shared" si="159"/>
        <v>1</v>
      </c>
      <c r="AH533">
        <f t="shared" si="160"/>
        <v>0</v>
      </c>
      <c r="AI533">
        <f t="shared" si="161"/>
        <v>0</v>
      </c>
    </row>
    <row r="534" spans="1:35" x14ac:dyDescent="0.2">
      <c r="A534">
        <v>91</v>
      </c>
      <c r="B534" t="s">
        <v>1398</v>
      </c>
      <c r="C534">
        <v>10</v>
      </c>
      <c r="D534" t="s">
        <v>1646</v>
      </c>
      <c r="E534" t="s">
        <v>21</v>
      </c>
      <c r="F534" t="s">
        <v>39</v>
      </c>
      <c r="G534" t="s">
        <v>39</v>
      </c>
      <c r="H534" t="s">
        <v>21</v>
      </c>
      <c r="I534">
        <v>5</v>
      </c>
      <c r="J534">
        <v>4</v>
      </c>
      <c r="K534">
        <v>75000</v>
      </c>
      <c r="L534" t="s">
        <v>443</v>
      </c>
      <c r="M534" t="s">
        <v>468</v>
      </c>
      <c r="N534" t="s">
        <v>43</v>
      </c>
      <c r="O534" t="s">
        <v>1647</v>
      </c>
      <c r="P534" t="s">
        <v>1648</v>
      </c>
      <c r="Q534">
        <f t="shared" si="144"/>
        <v>1</v>
      </c>
      <c r="R534">
        <f t="shared" si="145"/>
        <v>5</v>
      </c>
      <c r="S534">
        <f t="shared" si="146"/>
        <v>5</v>
      </c>
      <c r="T534">
        <f t="shared" si="147"/>
        <v>1</v>
      </c>
      <c r="U534">
        <v>75000</v>
      </c>
      <c r="V534">
        <f t="shared" si="148"/>
        <v>1</v>
      </c>
      <c r="W534">
        <f t="shared" si="149"/>
        <v>0</v>
      </c>
      <c r="X534">
        <f t="shared" si="150"/>
        <v>0</v>
      </c>
      <c r="Y534">
        <f t="shared" si="151"/>
        <v>1</v>
      </c>
      <c r="Z534">
        <f t="shared" si="152"/>
        <v>1</v>
      </c>
      <c r="AA534">
        <f t="shared" si="153"/>
        <v>1</v>
      </c>
      <c r="AB534">
        <f t="shared" si="154"/>
        <v>1</v>
      </c>
      <c r="AC534">
        <f t="shared" si="155"/>
        <v>1</v>
      </c>
      <c r="AD534">
        <f t="shared" si="156"/>
        <v>1</v>
      </c>
      <c r="AE534">
        <f t="shared" si="157"/>
        <v>1</v>
      </c>
      <c r="AF534">
        <f t="shared" si="158"/>
        <v>1</v>
      </c>
      <c r="AG534">
        <f t="shared" si="159"/>
        <v>1</v>
      </c>
      <c r="AH534">
        <f t="shared" si="160"/>
        <v>0</v>
      </c>
      <c r="AI534">
        <f t="shared" si="161"/>
        <v>0</v>
      </c>
    </row>
    <row r="535" spans="1:35" x14ac:dyDescent="0.2">
      <c r="A535">
        <v>92</v>
      </c>
      <c r="B535" t="s">
        <v>1398</v>
      </c>
      <c r="C535">
        <v>8</v>
      </c>
      <c r="D535" t="s">
        <v>1649</v>
      </c>
      <c r="E535" t="s">
        <v>21</v>
      </c>
      <c r="F535" t="s">
        <v>18</v>
      </c>
      <c r="G535" t="s">
        <v>18</v>
      </c>
      <c r="H535" t="s">
        <v>21</v>
      </c>
      <c r="I535">
        <v>5</v>
      </c>
      <c r="J535">
        <v>3</v>
      </c>
      <c r="K535">
        <v>300</v>
      </c>
      <c r="L535" t="s">
        <v>41</v>
      </c>
      <c r="M535" t="s">
        <v>123</v>
      </c>
      <c r="N535" t="s">
        <v>215</v>
      </c>
      <c r="O535" t="s">
        <v>1650</v>
      </c>
      <c r="P535" t="s">
        <v>1651</v>
      </c>
      <c r="Q535">
        <f t="shared" si="144"/>
        <v>1</v>
      </c>
      <c r="R535">
        <f t="shared" si="145"/>
        <v>4</v>
      </c>
      <c r="S535">
        <f t="shared" si="146"/>
        <v>4</v>
      </c>
      <c r="T535">
        <f t="shared" si="147"/>
        <v>1</v>
      </c>
      <c r="U535">
        <v>300</v>
      </c>
      <c r="V535">
        <f t="shared" si="148"/>
        <v>0</v>
      </c>
      <c r="W535">
        <f t="shared" si="149"/>
        <v>0</v>
      </c>
      <c r="X535">
        <f t="shared" si="150"/>
        <v>0</v>
      </c>
      <c r="Y535">
        <f t="shared" si="151"/>
        <v>0</v>
      </c>
      <c r="Z535">
        <f t="shared" si="152"/>
        <v>1</v>
      </c>
      <c r="AA535">
        <f t="shared" si="153"/>
        <v>0</v>
      </c>
      <c r="AB535">
        <f t="shared" si="154"/>
        <v>1</v>
      </c>
      <c r="AC535">
        <f t="shared" si="155"/>
        <v>1</v>
      </c>
      <c r="AD535">
        <f t="shared" si="156"/>
        <v>0</v>
      </c>
      <c r="AE535">
        <f t="shared" si="157"/>
        <v>0</v>
      </c>
      <c r="AF535">
        <f t="shared" si="158"/>
        <v>1</v>
      </c>
      <c r="AG535">
        <f t="shared" si="159"/>
        <v>0</v>
      </c>
      <c r="AH535">
        <f t="shared" si="160"/>
        <v>0</v>
      </c>
      <c r="AI535">
        <f t="shared" si="161"/>
        <v>0</v>
      </c>
    </row>
    <row r="536" spans="1:35" x14ac:dyDescent="0.2">
      <c r="A536">
        <v>93</v>
      </c>
      <c r="B536" t="s">
        <v>1398</v>
      </c>
      <c r="C536">
        <v>4</v>
      </c>
      <c r="D536" t="s">
        <v>1652</v>
      </c>
      <c r="E536" t="s">
        <v>21</v>
      </c>
      <c r="F536" t="s">
        <v>39</v>
      </c>
      <c r="G536" t="s">
        <v>19</v>
      </c>
      <c r="H536" t="s">
        <v>21</v>
      </c>
      <c r="I536">
        <v>1</v>
      </c>
      <c r="J536">
        <v>2</v>
      </c>
      <c r="K536" s="1">
        <v>10000</v>
      </c>
      <c r="L536" t="s">
        <v>79</v>
      </c>
      <c r="M536" t="s">
        <v>48</v>
      </c>
      <c r="N536" t="s">
        <v>43</v>
      </c>
      <c r="O536" t="s">
        <v>1653</v>
      </c>
      <c r="P536" t="s">
        <v>1654</v>
      </c>
      <c r="Q536">
        <f t="shared" si="144"/>
        <v>1</v>
      </c>
      <c r="R536">
        <f t="shared" si="145"/>
        <v>5</v>
      </c>
      <c r="S536">
        <f t="shared" si="146"/>
        <v>3</v>
      </c>
      <c r="T536">
        <f t="shared" si="147"/>
        <v>1</v>
      </c>
      <c r="U536">
        <v>10000</v>
      </c>
      <c r="V536">
        <f t="shared" si="148"/>
        <v>0</v>
      </c>
      <c r="W536">
        <f t="shared" si="149"/>
        <v>1</v>
      </c>
      <c r="X536">
        <f t="shared" si="150"/>
        <v>0</v>
      </c>
      <c r="Y536">
        <f t="shared" si="151"/>
        <v>0</v>
      </c>
      <c r="Z536">
        <f t="shared" si="152"/>
        <v>1</v>
      </c>
      <c r="AA536">
        <f t="shared" si="153"/>
        <v>1</v>
      </c>
      <c r="AB536">
        <f t="shared" si="154"/>
        <v>1</v>
      </c>
      <c r="AC536">
        <f t="shared" si="155"/>
        <v>1</v>
      </c>
      <c r="AD536">
        <f t="shared" si="156"/>
        <v>0</v>
      </c>
      <c r="AE536">
        <f t="shared" si="157"/>
        <v>0</v>
      </c>
      <c r="AF536">
        <f t="shared" si="158"/>
        <v>1</v>
      </c>
      <c r="AG536">
        <f t="shared" si="159"/>
        <v>1</v>
      </c>
      <c r="AH536">
        <f t="shared" si="160"/>
        <v>0</v>
      </c>
      <c r="AI536">
        <f t="shared" si="161"/>
        <v>0</v>
      </c>
    </row>
    <row r="537" spans="1:35" x14ac:dyDescent="0.2">
      <c r="A537">
        <v>94</v>
      </c>
      <c r="B537" t="s">
        <v>1398</v>
      </c>
      <c r="C537">
        <v>3</v>
      </c>
      <c r="D537" t="s">
        <v>1655</v>
      </c>
      <c r="E537" t="s">
        <v>21</v>
      </c>
      <c r="F537" t="s">
        <v>39</v>
      </c>
      <c r="G537" t="s">
        <v>39</v>
      </c>
      <c r="H537" t="s">
        <v>21</v>
      </c>
      <c r="I537">
        <v>2</v>
      </c>
      <c r="J537">
        <v>2</v>
      </c>
      <c r="K537">
        <v>350</v>
      </c>
      <c r="L537" t="s">
        <v>34</v>
      </c>
      <c r="M537" t="s">
        <v>115</v>
      </c>
      <c r="N537" t="s">
        <v>215</v>
      </c>
      <c r="O537" t="s">
        <v>909</v>
      </c>
      <c r="P537" t="s">
        <v>1656</v>
      </c>
      <c r="Q537">
        <f t="shared" si="144"/>
        <v>1</v>
      </c>
      <c r="R537">
        <f t="shared" si="145"/>
        <v>5</v>
      </c>
      <c r="S537">
        <f t="shared" si="146"/>
        <v>5</v>
      </c>
      <c r="T537">
        <f t="shared" si="147"/>
        <v>1</v>
      </c>
      <c r="U537">
        <v>350</v>
      </c>
      <c r="V537">
        <f t="shared" si="148"/>
        <v>1</v>
      </c>
      <c r="W537">
        <f t="shared" si="149"/>
        <v>0</v>
      </c>
      <c r="X537">
        <f t="shared" si="150"/>
        <v>0</v>
      </c>
      <c r="Y537">
        <f t="shared" si="151"/>
        <v>1</v>
      </c>
      <c r="Z537">
        <f t="shared" si="152"/>
        <v>0</v>
      </c>
      <c r="AA537">
        <f t="shared" si="153"/>
        <v>0</v>
      </c>
      <c r="AB537">
        <f t="shared" si="154"/>
        <v>0</v>
      </c>
      <c r="AC537">
        <f t="shared" si="155"/>
        <v>1</v>
      </c>
      <c r="AD537">
        <f t="shared" si="156"/>
        <v>0</v>
      </c>
      <c r="AE537">
        <f t="shared" si="157"/>
        <v>0</v>
      </c>
      <c r="AF537">
        <f t="shared" si="158"/>
        <v>1</v>
      </c>
      <c r="AG537">
        <f t="shared" si="159"/>
        <v>0</v>
      </c>
      <c r="AH537">
        <f t="shared" si="160"/>
        <v>0</v>
      </c>
      <c r="AI537">
        <f t="shared" si="161"/>
        <v>0</v>
      </c>
    </row>
    <row r="538" spans="1:35" x14ac:dyDescent="0.2">
      <c r="A538">
        <v>95</v>
      </c>
      <c r="B538" t="s">
        <v>1398</v>
      </c>
      <c r="C538">
        <v>9</v>
      </c>
      <c r="D538" t="s">
        <v>1657</v>
      </c>
      <c r="E538" t="s">
        <v>20</v>
      </c>
      <c r="F538" t="s">
        <v>39</v>
      </c>
      <c r="G538" t="s">
        <v>39</v>
      </c>
      <c r="H538" t="s">
        <v>21</v>
      </c>
      <c r="I538">
        <v>4</v>
      </c>
      <c r="J538">
        <v>3</v>
      </c>
      <c r="K538">
        <v>100</v>
      </c>
      <c r="L538" t="s">
        <v>41</v>
      </c>
      <c r="M538" t="s">
        <v>23</v>
      </c>
      <c r="N538" t="s">
        <v>43</v>
      </c>
      <c r="O538" t="s">
        <v>1658</v>
      </c>
      <c r="P538" t="s">
        <v>1659</v>
      </c>
      <c r="Q538">
        <f t="shared" si="144"/>
        <v>2</v>
      </c>
      <c r="R538">
        <f t="shared" si="145"/>
        <v>5</v>
      </c>
      <c r="S538">
        <f t="shared" si="146"/>
        <v>5</v>
      </c>
      <c r="T538">
        <f t="shared" si="147"/>
        <v>1</v>
      </c>
      <c r="U538">
        <v>100</v>
      </c>
      <c r="V538">
        <f t="shared" si="148"/>
        <v>0</v>
      </c>
      <c r="W538">
        <f t="shared" si="149"/>
        <v>0</v>
      </c>
      <c r="X538">
        <f t="shared" si="150"/>
        <v>0</v>
      </c>
      <c r="Y538">
        <f t="shared" si="151"/>
        <v>0</v>
      </c>
      <c r="Z538">
        <f t="shared" si="152"/>
        <v>1</v>
      </c>
      <c r="AA538">
        <f t="shared" si="153"/>
        <v>1</v>
      </c>
      <c r="AB538">
        <f t="shared" si="154"/>
        <v>0</v>
      </c>
      <c r="AC538">
        <f t="shared" si="155"/>
        <v>0</v>
      </c>
      <c r="AD538">
        <f t="shared" si="156"/>
        <v>0</v>
      </c>
      <c r="AE538">
        <f t="shared" si="157"/>
        <v>0</v>
      </c>
      <c r="AF538">
        <f t="shared" si="158"/>
        <v>1</v>
      </c>
      <c r="AG538">
        <f t="shared" si="159"/>
        <v>1</v>
      </c>
      <c r="AH538">
        <f t="shared" si="160"/>
        <v>0</v>
      </c>
      <c r="AI538">
        <f t="shared" si="161"/>
        <v>0</v>
      </c>
    </row>
    <row r="539" spans="1:35" x14ac:dyDescent="0.2">
      <c r="A539">
        <v>96</v>
      </c>
      <c r="B539" t="s">
        <v>1398</v>
      </c>
      <c r="C539">
        <v>8</v>
      </c>
      <c r="D539" t="s">
        <v>1660</v>
      </c>
      <c r="E539" t="s">
        <v>21</v>
      </c>
      <c r="F539" t="s">
        <v>39</v>
      </c>
      <c r="G539" t="s">
        <v>39</v>
      </c>
      <c r="H539" t="s">
        <v>21</v>
      </c>
      <c r="I539">
        <v>4</v>
      </c>
      <c r="J539">
        <v>6</v>
      </c>
      <c r="K539" s="2">
        <v>600000</v>
      </c>
      <c r="L539" t="s">
        <v>230</v>
      </c>
      <c r="M539" t="s">
        <v>1098</v>
      </c>
      <c r="N539" t="s">
        <v>43</v>
      </c>
      <c r="O539" t="s">
        <v>1124</v>
      </c>
      <c r="P539" t="s">
        <v>1661</v>
      </c>
      <c r="Q539">
        <f t="shared" si="144"/>
        <v>1</v>
      </c>
      <c r="R539">
        <f t="shared" si="145"/>
        <v>5</v>
      </c>
      <c r="S539">
        <f t="shared" si="146"/>
        <v>5</v>
      </c>
      <c r="T539">
        <f t="shared" si="147"/>
        <v>1</v>
      </c>
      <c r="U539">
        <v>600000</v>
      </c>
      <c r="V539">
        <f t="shared" si="148"/>
        <v>1</v>
      </c>
      <c r="W539">
        <f t="shared" si="149"/>
        <v>1</v>
      </c>
      <c r="X539">
        <f t="shared" si="150"/>
        <v>1</v>
      </c>
      <c r="Y539">
        <f t="shared" si="151"/>
        <v>1</v>
      </c>
      <c r="Z539">
        <f t="shared" si="152"/>
        <v>1</v>
      </c>
      <c r="AA539">
        <f t="shared" si="153"/>
        <v>1</v>
      </c>
      <c r="AB539">
        <f t="shared" si="154"/>
        <v>1</v>
      </c>
      <c r="AC539">
        <f t="shared" si="155"/>
        <v>1</v>
      </c>
      <c r="AD539">
        <f t="shared" si="156"/>
        <v>0</v>
      </c>
      <c r="AE539">
        <f t="shared" si="157"/>
        <v>1</v>
      </c>
      <c r="AF539">
        <f t="shared" si="158"/>
        <v>1</v>
      </c>
      <c r="AG539">
        <f t="shared" si="159"/>
        <v>1</v>
      </c>
      <c r="AH539">
        <f t="shared" si="160"/>
        <v>0</v>
      </c>
      <c r="AI539">
        <f t="shared" si="161"/>
        <v>0</v>
      </c>
    </row>
    <row r="540" spans="1:35" x14ac:dyDescent="0.2">
      <c r="A540">
        <v>97</v>
      </c>
      <c r="B540" t="s">
        <v>1398</v>
      </c>
      <c r="C540">
        <v>8</v>
      </c>
      <c r="D540" t="s">
        <v>1662</v>
      </c>
      <c r="E540" t="s">
        <v>21</v>
      </c>
      <c r="F540" t="s">
        <v>39</v>
      </c>
      <c r="G540" t="s">
        <v>18</v>
      </c>
      <c r="H540" t="s">
        <v>21</v>
      </c>
      <c r="I540">
        <v>10</v>
      </c>
      <c r="J540">
        <v>1</v>
      </c>
      <c r="K540">
        <v>8000</v>
      </c>
      <c r="L540" t="s">
        <v>562</v>
      </c>
      <c r="M540" t="s">
        <v>48</v>
      </c>
      <c r="N540" t="s">
        <v>215</v>
      </c>
      <c r="O540" t="s">
        <v>1663</v>
      </c>
      <c r="P540" t="s">
        <v>1664</v>
      </c>
      <c r="Q540">
        <f t="shared" si="144"/>
        <v>1</v>
      </c>
      <c r="R540">
        <f t="shared" si="145"/>
        <v>5</v>
      </c>
      <c r="S540">
        <f t="shared" si="146"/>
        <v>4</v>
      </c>
      <c r="T540">
        <f t="shared" si="147"/>
        <v>1</v>
      </c>
      <c r="U540">
        <v>8000</v>
      </c>
      <c r="V540">
        <f t="shared" si="148"/>
        <v>0</v>
      </c>
      <c r="W540">
        <f t="shared" si="149"/>
        <v>1</v>
      </c>
      <c r="X540">
        <f t="shared" si="150"/>
        <v>1</v>
      </c>
      <c r="Y540">
        <f t="shared" si="151"/>
        <v>0</v>
      </c>
      <c r="Z540">
        <f t="shared" si="152"/>
        <v>1</v>
      </c>
      <c r="AA540">
        <f t="shared" si="153"/>
        <v>1</v>
      </c>
      <c r="AB540">
        <f t="shared" si="154"/>
        <v>1</v>
      </c>
      <c r="AC540">
        <f t="shared" si="155"/>
        <v>1</v>
      </c>
      <c r="AD540">
        <f t="shared" si="156"/>
        <v>0</v>
      </c>
      <c r="AE540">
        <f t="shared" si="157"/>
        <v>0</v>
      </c>
      <c r="AF540">
        <f t="shared" si="158"/>
        <v>1</v>
      </c>
      <c r="AG540">
        <f t="shared" si="159"/>
        <v>0</v>
      </c>
      <c r="AH540">
        <f t="shared" si="160"/>
        <v>0</v>
      </c>
      <c r="AI540">
        <f t="shared" si="161"/>
        <v>0</v>
      </c>
    </row>
    <row r="541" spans="1:35" x14ac:dyDescent="0.2">
      <c r="A541">
        <v>98</v>
      </c>
      <c r="B541" t="s">
        <v>1398</v>
      </c>
      <c r="C541">
        <v>10</v>
      </c>
      <c r="D541" t="s">
        <v>1665</v>
      </c>
      <c r="E541" t="s">
        <v>21</v>
      </c>
      <c r="F541" t="s">
        <v>39</v>
      </c>
      <c r="G541" t="s">
        <v>39</v>
      </c>
      <c r="H541" t="s">
        <v>21</v>
      </c>
      <c r="I541">
        <v>3</v>
      </c>
      <c r="J541">
        <v>2</v>
      </c>
      <c r="K541">
        <v>30</v>
      </c>
      <c r="L541" t="s">
        <v>70</v>
      </c>
      <c r="M541" t="s">
        <v>23</v>
      </c>
      <c r="N541" t="s">
        <v>84</v>
      </c>
      <c r="O541" t="s">
        <v>1666</v>
      </c>
      <c r="P541" t="s">
        <v>1667</v>
      </c>
      <c r="Q541">
        <f t="shared" si="144"/>
        <v>1</v>
      </c>
      <c r="R541">
        <f t="shared" si="145"/>
        <v>5</v>
      </c>
      <c r="S541">
        <f t="shared" si="146"/>
        <v>5</v>
      </c>
      <c r="T541">
        <f t="shared" si="147"/>
        <v>1</v>
      </c>
      <c r="U541">
        <v>30</v>
      </c>
      <c r="V541">
        <f t="shared" si="148"/>
        <v>0</v>
      </c>
      <c r="W541">
        <f t="shared" si="149"/>
        <v>0</v>
      </c>
      <c r="X541">
        <f t="shared" si="150"/>
        <v>0</v>
      </c>
      <c r="Y541">
        <f t="shared" si="151"/>
        <v>1</v>
      </c>
      <c r="Z541">
        <f t="shared" si="152"/>
        <v>0</v>
      </c>
      <c r="AA541">
        <f t="shared" si="153"/>
        <v>1</v>
      </c>
      <c r="AB541">
        <f t="shared" si="154"/>
        <v>0</v>
      </c>
      <c r="AC541">
        <f t="shared" si="155"/>
        <v>0</v>
      </c>
      <c r="AD541">
        <f t="shared" si="156"/>
        <v>0</v>
      </c>
      <c r="AE541">
        <f t="shared" si="157"/>
        <v>0</v>
      </c>
      <c r="AF541">
        <f t="shared" si="158"/>
        <v>0</v>
      </c>
      <c r="AG541">
        <f t="shared" si="159"/>
        <v>1</v>
      </c>
      <c r="AH541">
        <f t="shared" si="160"/>
        <v>0</v>
      </c>
      <c r="AI541">
        <f t="shared" si="161"/>
        <v>0</v>
      </c>
    </row>
    <row r="542" spans="1:35" x14ac:dyDescent="0.2">
      <c r="A542">
        <v>99</v>
      </c>
      <c r="B542" t="s">
        <v>1398</v>
      </c>
      <c r="C542">
        <v>3</v>
      </c>
      <c r="D542" t="s">
        <v>1130</v>
      </c>
      <c r="E542" t="s">
        <v>21</v>
      </c>
      <c r="F542" t="s">
        <v>18</v>
      </c>
      <c r="G542" t="s">
        <v>39</v>
      </c>
      <c r="H542" t="s">
        <v>21</v>
      </c>
      <c r="I542">
        <v>1</v>
      </c>
      <c r="J542">
        <v>1</v>
      </c>
      <c r="K542">
        <v>100</v>
      </c>
      <c r="L542" t="s">
        <v>276</v>
      </c>
      <c r="M542" t="s">
        <v>1098</v>
      </c>
      <c r="N542" t="s">
        <v>215</v>
      </c>
      <c r="O542" t="s">
        <v>1668</v>
      </c>
      <c r="P542" t="s">
        <v>1669</v>
      </c>
      <c r="Q542">
        <f t="shared" si="144"/>
        <v>1</v>
      </c>
      <c r="R542">
        <f t="shared" si="145"/>
        <v>4</v>
      </c>
      <c r="S542">
        <f t="shared" si="146"/>
        <v>5</v>
      </c>
      <c r="T542">
        <f t="shared" si="147"/>
        <v>1</v>
      </c>
      <c r="U542">
        <v>100</v>
      </c>
      <c r="V542">
        <f t="shared" si="148"/>
        <v>1</v>
      </c>
      <c r="W542">
        <f t="shared" si="149"/>
        <v>1</v>
      </c>
      <c r="X542">
        <f t="shared" si="150"/>
        <v>0</v>
      </c>
      <c r="Y542">
        <f t="shared" si="151"/>
        <v>1</v>
      </c>
      <c r="Z542">
        <f t="shared" si="152"/>
        <v>1</v>
      </c>
      <c r="AA542">
        <f t="shared" si="153"/>
        <v>1</v>
      </c>
      <c r="AB542">
        <f t="shared" si="154"/>
        <v>1</v>
      </c>
      <c r="AC542">
        <f t="shared" si="155"/>
        <v>1</v>
      </c>
      <c r="AD542">
        <f t="shared" si="156"/>
        <v>0</v>
      </c>
      <c r="AE542">
        <f t="shared" si="157"/>
        <v>1</v>
      </c>
      <c r="AF542">
        <f t="shared" si="158"/>
        <v>1</v>
      </c>
      <c r="AG542">
        <f t="shared" si="159"/>
        <v>0</v>
      </c>
      <c r="AH542">
        <f t="shared" si="160"/>
        <v>0</v>
      </c>
      <c r="AI542">
        <f t="shared" si="161"/>
        <v>0</v>
      </c>
    </row>
    <row r="543" spans="1:35" x14ac:dyDescent="0.2">
      <c r="A543">
        <v>100</v>
      </c>
      <c r="B543" t="s">
        <v>1398</v>
      </c>
      <c r="C543">
        <v>3</v>
      </c>
      <c r="D543" t="s">
        <v>1670</v>
      </c>
      <c r="E543" t="s">
        <v>20</v>
      </c>
      <c r="F543" t="s">
        <v>18</v>
      </c>
      <c r="G543" t="s">
        <v>18</v>
      </c>
      <c r="H543" t="s">
        <v>21</v>
      </c>
      <c r="I543">
        <v>1</v>
      </c>
      <c r="J543">
        <v>1</v>
      </c>
      <c r="K543">
        <v>20</v>
      </c>
      <c r="L543" t="s">
        <v>98</v>
      </c>
      <c r="M543" t="s">
        <v>42</v>
      </c>
      <c r="N543" t="s">
        <v>215</v>
      </c>
      <c r="O543" t="s">
        <v>1419</v>
      </c>
      <c r="P543" t="s">
        <v>1671</v>
      </c>
      <c r="Q543">
        <f t="shared" si="144"/>
        <v>2</v>
      </c>
      <c r="R543">
        <f t="shared" si="145"/>
        <v>4</v>
      </c>
      <c r="S543">
        <f t="shared" si="146"/>
        <v>4</v>
      </c>
      <c r="T543">
        <f t="shared" si="147"/>
        <v>1</v>
      </c>
      <c r="U543">
        <v>20</v>
      </c>
      <c r="V543">
        <f t="shared" si="148"/>
        <v>0</v>
      </c>
      <c r="W543">
        <f t="shared" si="149"/>
        <v>1</v>
      </c>
      <c r="X543">
        <f t="shared" si="150"/>
        <v>0</v>
      </c>
      <c r="Y543">
        <f t="shared" si="151"/>
        <v>0</v>
      </c>
      <c r="Z543">
        <f t="shared" si="152"/>
        <v>0</v>
      </c>
      <c r="AA543">
        <f t="shared" si="153"/>
        <v>0</v>
      </c>
      <c r="AB543">
        <f t="shared" si="154"/>
        <v>1</v>
      </c>
      <c r="AC543">
        <f t="shared" si="155"/>
        <v>0</v>
      </c>
      <c r="AD543">
        <f t="shared" si="156"/>
        <v>0</v>
      </c>
      <c r="AE543">
        <f t="shared" si="157"/>
        <v>0</v>
      </c>
      <c r="AF543">
        <f t="shared" si="158"/>
        <v>1</v>
      </c>
      <c r="AG543">
        <f t="shared" si="159"/>
        <v>0</v>
      </c>
      <c r="AH543">
        <f t="shared" si="160"/>
        <v>0</v>
      </c>
      <c r="AI543">
        <f t="shared" si="161"/>
        <v>0</v>
      </c>
    </row>
    <row r="544" spans="1:35" x14ac:dyDescent="0.2">
      <c r="A544">
        <v>101</v>
      </c>
      <c r="B544" t="s">
        <v>1398</v>
      </c>
      <c r="C544">
        <v>2</v>
      </c>
      <c r="D544" t="s">
        <v>1672</v>
      </c>
      <c r="E544" t="s">
        <v>20</v>
      </c>
      <c r="F544" t="s">
        <v>39</v>
      </c>
      <c r="G544" t="s">
        <v>39</v>
      </c>
      <c r="H544" t="s">
        <v>21</v>
      </c>
      <c r="I544">
        <v>2</v>
      </c>
      <c r="J544">
        <v>1</v>
      </c>
      <c r="K544" t="s">
        <v>1673</v>
      </c>
      <c r="L544" t="s">
        <v>1477</v>
      </c>
      <c r="M544" t="s">
        <v>23</v>
      </c>
      <c r="N544" t="s">
        <v>43</v>
      </c>
      <c r="O544" t="s">
        <v>1674</v>
      </c>
      <c r="P544" t="s">
        <v>1675</v>
      </c>
      <c r="Q544">
        <f t="shared" si="144"/>
        <v>2</v>
      </c>
      <c r="R544">
        <f t="shared" si="145"/>
        <v>5</v>
      </c>
      <c r="S544">
        <f t="shared" si="146"/>
        <v>5</v>
      </c>
      <c r="T544">
        <f t="shared" si="147"/>
        <v>1</v>
      </c>
      <c r="U544">
        <v>100000</v>
      </c>
      <c r="V544">
        <f t="shared" si="148"/>
        <v>1</v>
      </c>
      <c r="W544">
        <f t="shared" si="149"/>
        <v>0</v>
      </c>
      <c r="X544">
        <f t="shared" si="150"/>
        <v>1</v>
      </c>
      <c r="Y544">
        <f t="shared" si="151"/>
        <v>1</v>
      </c>
      <c r="Z544">
        <f t="shared" si="152"/>
        <v>1</v>
      </c>
      <c r="AA544">
        <f t="shared" si="153"/>
        <v>1</v>
      </c>
      <c r="AB544">
        <f t="shared" si="154"/>
        <v>0</v>
      </c>
      <c r="AC544">
        <f t="shared" si="155"/>
        <v>0</v>
      </c>
      <c r="AD544">
        <f t="shared" si="156"/>
        <v>0</v>
      </c>
      <c r="AE544">
        <f t="shared" si="157"/>
        <v>0</v>
      </c>
      <c r="AF544">
        <f t="shared" si="158"/>
        <v>1</v>
      </c>
      <c r="AG544">
        <f t="shared" si="159"/>
        <v>1</v>
      </c>
      <c r="AH544">
        <f t="shared" si="160"/>
        <v>0</v>
      </c>
      <c r="AI544">
        <f t="shared" si="161"/>
        <v>0</v>
      </c>
    </row>
    <row r="545" spans="1:35" x14ac:dyDescent="0.2">
      <c r="A545">
        <v>102</v>
      </c>
      <c r="B545" t="s">
        <v>1398</v>
      </c>
      <c r="C545">
        <v>6</v>
      </c>
      <c r="D545" t="s">
        <v>1676</v>
      </c>
      <c r="E545" t="s">
        <v>21</v>
      </c>
      <c r="F545" t="s">
        <v>18</v>
      </c>
      <c r="G545" t="s">
        <v>18</v>
      </c>
      <c r="H545" t="s">
        <v>21</v>
      </c>
      <c r="I545">
        <v>3</v>
      </c>
      <c r="J545">
        <v>1</v>
      </c>
      <c r="K545">
        <v>100000</v>
      </c>
      <c r="L545" t="s">
        <v>41</v>
      </c>
      <c r="M545" t="s">
        <v>280</v>
      </c>
      <c r="N545" t="s">
        <v>215</v>
      </c>
      <c r="O545" t="s">
        <v>1677</v>
      </c>
      <c r="P545" t="s">
        <v>1678</v>
      </c>
      <c r="Q545">
        <f t="shared" si="144"/>
        <v>1</v>
      </c>
      <c r="R545">
        <f t="shared" si="145"/>
        <v>4</v>
      </c>
      <c r="S545">
        <f t="shared" si="146"/>
        <v>4</v>
      </c>
      <c r="T545">
        <f t="shared" si="147"/>
        <v>1</v>
      </c>
      <c r="U545">
        <v>100000</v>
      </c>
      <c r="V545">
        <f t="shared" si="148"/>
        <v>0</v>
      </c>
      <c r="W545">
        <f t="shared" si="149"/>
        <v>0</v>
      </c>
      <c r="X545">
        <f t="shared" si="150"/>
        <v>0</v>
      </c>
      <c r="Y545">
        <f t="shared" si="151"/>
        <v>0</v>
      </c>
      <c r="Z545">
        <f t="shared" si="152"/>
        <v>1</v>
      </c>
      <c r="AA545">
        <f t="shared" si="153"/>
        <v>0</v>
      </c>
      <c r="AB545">
        <f t="shared" si="154"/>
        <v>1</v>
      </c>
      <c r="AC545">
        <f t="shared" si="155"/>
        <v>1</v>
      </c>
      <c r="AD545">
        <f t="shared" si="156"/>
        <v>1</v>
      </c>
      <c r="AE545">
        <f t="shared" si="157"/>
        <v>0</v>
      </c>
      <c r="AF545">
        <f t="shared" si="158"/>
        <v>1</v>
      </c>
      <c r="AG545">
        <f t="shared" si="159"/>
        <v>0</v>
      </c>
      <c r="AH545">
        <f t="shared" si="160"/>
        <v>0</v>
      </c>
      <c r="AI545">
        <f t="shared" si="161"/>
        <v>0</v>
      </c>
    </row>
    <row r="546" spans="1:35" x14ac:dyDescent="0.2">
      <c r="A546">
        <v>103</v>
      </c>
      <c r="B546" t="s">
        <v>1398</v>
      </c>
      <c r="C546">
        <v>4</v>
      </c>
      <c r="D546" t="s">
        <v>1679</v>
      </c>
      <c r="E546" t="s">
        <v>21</v>
      </c>
      <c r="F546" t="s">
        <v>39</v>
      </c>
      <c r="G546" t="s">
        <v>39</v>
      </c>
      <c r="H546" t="s">
        <v>21</v>
      </c>
      <c r="I546">
        <v>2</v>
      </c>
      <c r="J546">
        <v>1</v>
      </c>
      <c r="K546">
        <v>500000</v>
      </c>
      <c r="L546" t="s">
        <v>34</v>
      </c>
      <c r="M546" t="s">
        <v>123</v>
      </c>
      <c r="N546" t="s">
        <v>215</v>
      </c>
      <c r="O546" t="s">
        <v>1419</v>
      </c>
      <c r="P546" t="s">
        <v>1680</v>
      </c>
      <c r="Q546">
        <f t="shared" si="144"/>
        <v>1</v>
      </c>
      <c r="R546">
        <f t="shared" si="145"/>
        <v>5</v>
      </c>
      <c r="S546">
        <f t="shared" si="146"/>
        <v>5</v>
      </c>
      <c r="T546">
        <f t="shared" si="147"/>
        <v>1</v>
      </c>
      <c r="U546">
        <v>500000</v>
      </c>
      <c r="V546">
        <f t="shared" si="148"/>
        <v>1</v>
      </c>
      <c r="W546">
        <f t="shared" si="149"/>
        <v>0</v>
      </c>
      <c r="X546">
        <f t="shared" si="150"/>
        <v>0</v>
      </c>
      <c r="Y546">
        <f t="shared" si="151"/>
        <v>1</v>
      </c>
      <c r="Z546">
        <f t="shared" si="152"/>
        <v>0</v>
      </c>
      <c r="AA546">
        <f t="shared" si="153"/>
        <v>0</v>
      </c>
      <c r="AB546">
        <f t="shared" si="154"/>
        <v>1</v>
      </c>
      <c r="AC546">
        <f t="shared" si="155"/>
        <v>1</v>
      </c>
      <c r="AD546">
        <f t="shared" si="156"/>
        <v>0</v>
      </c>
      <c r="AE546">
        <f t="shared" si="157"/>
        <v>0</v>
      </c>
      <c r="AF546">
        <f t="shared" si="158"/>
        <v>1</v>
      </c>
      <c r="AG546">
        <f t="shared" si="159"/>
        <v>0</v>
      </c>
      <c r="AH546">
        <f t="shared" si="160"/>
        <v>0</v>
      </c>
      <c r="AI546">
        <f t="shared" si="161"/>
        <v>0</v>
      </c>
    </row>
    <row r="547" spans="1:35" x14ac:dyDescent="0.2">
      <c r="A547">
        <v>104</v>
      </c>
      <c r="B547" t="s">
        <v>1398</v>
      </c>
      <c r="C547">
        <v>8</v>
      </c>
      <c r="D547" t="s">
        <v>816</v>
      </c>
      <c r="E547" t="s">
        <v>21</v>
      </c>
      <c r="F547" t="s">
        <v>39</v>
      </c>
      <c r="G547" t="s">
        <v>18</v>
      </c>
      <c r="H547" t="s">
        <v>21</v>
      </c>
      <c r="I547">
        <v>5</v>
      </c>
      <c r="J547">
        <v>8</v>
      </c>
      <c r="K547">
        <v>400</v>
      </c>
      <c r="L547" t="s">
        <v>494</v>
      </c>
      <c r="M547" t="s">
        <v>80</v>
      </c>
      <c r="N547" t="s">
        <v>43</v>
      </c>
      <c r="O547" t="s">
        <v>1681</v>
      </c>
      <c r="P547" t="s">
        <v>1682</v>
      </c>
      <c r="Q547">
        <f t="shared" si="144"/>
        <v>1</v>
      </c>
      <c r="R547">
        <f t="shared" si="145"/>
        <v>5</v>
      </c>
      <c r="S547">
        <f t="shared" si="146"/>
        <v>4</v>
      </c>
      <c r="T547">
        <f t="shared" si="147"/>
        <v>1</v>
      </c>
      <c r="U547">
        <v>400</v>
      </c>
      <c r="V547">
        <f t="shared" si="148"/>
        <v>0</v>
      </c>
      <c r="W547">
        <f t="shared" si="149"/>
        <v>1</v>
      </c>
      <c r="X547">
        <f t="shared" si="150"/>
        <v>1</v>
      </c>
      <c r="Y547">
        <f t="shared" si="151"/>
        <v>1</v>
      </c>
      <c r="Z547">
        <f t="shared" si="152"/>
        <v>1</v>
      </c>
      <c r="AA547">
        <f t="shared" si="153"/>
        <v>1</v>
      </c>
      <c r="AB547">
        <f t="shared" si="154"/>
        <v>1</v>
      </c>
      <c r="AC547">
        <f t="shared" si="155"/>
        <v>0</v>
      </c>
      <c r="AD547">
        <f t="shared" si="156"/>
        <v>0</v>
      </c>
      <c r="AE547">
        <f t="shared" si="157"/>
        <v>1</v>
      </c>
      <c r="AF547">
        <f t="shared" si="158"/>
        <v>1</v>
      </c>
      <c r="AG547">
        <f t="shared" si="159"/>
        <v>1</v>
      </c>
      <c r="AH547">
        <f t="shared" si="160"/>
        <v>0</v>
      </c>
      <c r="AI547">
        <f t="shared" si="161"/>
        <v>0</v>
      </c>
    </row>
    <row r="548" spans="1:35" x14ac:dyDescent="0.2">
      <c r="A548">
        <v>105</v>
      </c>
      <c r="B548" t="s">
        <v>1398</v>
      </c>
      <c r="C548">
        <v>3</v>
      </c>
      <c r="D548" t="s">
        <v>1683</v>
      </c>
      <c r="E548" t="s">
        <v>21</v>
      </c>
      <c r="F548" t="s">
        <v>18</v>
      </c>
      <c r="G548" t="s">
        <v>18</v>
      </c>
      <c r="H548" t="s">
        <v>20</v>
      </c>
      <c r="I548">
        <v>1</v>
      </c>
      <c r="J548">
        <v>2</v>
      </c>
      <c r="K548" s="2">
        <v>60000</v>
      </c>
      <c r="L548" t="s">
        <v>41</v>
      </c>
      <c r="M548" t="s">
        <v>115</v>
      </c>
      <c r="N548" t="s">
        <v>215</v>
      </c>
      <c r="O548" t="s">
        <v>859</v>
      </c>
      <c r="P548" t="s">
        <v>1684</v>
      </c>
      <c r="Q548">
        <f t="shared" si="144"/>
        <v>1</v>
      </c>
      <c r="R548">
        <f t="shared" si="145"/>
        <v>4</v>
      </c>
      <c r="S548">
        <f t="shared" si="146"/>
        <v>4</v>
      </c>
      <c r="T548">
        <f t="shared" si="147"/>
        <v>2</v>
      </c>
      <c r="U548">
        <v>60000</v>
      </c>
      <c r="V548">
        <f t="shared" si="148"/>
        <v>0</v>
      </c>
      <c r="W548">
        <f t="shared" si="149"/>
        <v>0</v>
      </c>
      <c r="X548">
        <f t="shared" si="150"/>
        <v>0</v>
      </c>
      <c r="Y548">
        <f t="shared" si="151"/>
        <v>0</v>
      </c>
      <c r="Z548">
        <f t="shared" si="152"/>
        <v>1</v>
      </c>
      <c r="AA548">
        <f t="shared" si="153"/>
        <v>0</v>
      </c>
      <c r="AB548">
        <f t="shared" si="154"/>
        <v>0</v>
      </c>
      <c r="AC548">
        <f t="shared" si="155"/>
        <v>1</v>
      </c>
      <c r="AD548">
        <f t="shared" si="156"/>
        <v>0</v>
      </c>
      <c r="AE548">
        <f t="shared" si="157"/>
        <v>0</v>
      </c>
      <c r="AF548">
        <f t="shared" si="158"/>
        <v>1</v>
      </c>
      <c r="AG548">
        <f t="shared" si="159"/>
        <v>0</v>
      </c>
      <c r="AH548">
        <f t="shared" si="160"/>
        <v>0</v>
      </c>
      <c r="AI548">
        <f t="shared" si="161"/>
        <v>0</v>
      </c>
    </row>
    <row r="549" spans="1:35" x14ac:dyDescent="0.2">
      <c r="A549">
        <v>106</v>
      </c>
      <c r="B549" t="s">
        <v>1398</v>
      </c>
      <c r="C549">
        <v>5</v>
      </c>
      <c r="D549" t="s">
        <v>1685</v>
      </c>
      <c r="E549" t="s">
        <v>21</v>
      </c>
      <c r="F549" t="s">
        <v>39</v>
      </c>
      <c r="G549" t="s">
        <v>39</v>
      </c>
      <c r="H549" t="s">
        <v>21</v>
      </c>
      <c r="I549">
        <v>2</v>
      </c>
      <c r="J549">
        <v>3</v>
      </c>
      <c r="K549" s="1">
        <v>100</v>
      </c>
      <c r="L549" t="s">
        <v>494</v>
      </c>
      <c r="M549" t="s">
        <v>781</v>
      </c>
      <c r="N549" t="s">
        <v>43</v>
      </c>
      <c r="O549" t="s">
        <v>1686</v>
      </c>
      <c r="P549" t="s">
        <v>1687</v>
      </c>
      <c r="Q549">
        <f t="shared" si="144"/>
        <v>1</v>
      </c>
      <c r="R549">
        <f t="shared" si="145"/>
        <v>5</v>
      </c>
      <c r="S549">
        <f t="shared" si="146"/>
        <v>5</v>
      </c>
      <c r="T549">
        <f t="shared" si="147"/>
        <v>1</v>
      </c>
      <c r="U549">
        <v>100</v>
      </c>
      <c r="V549">
        <f t="shared" si="148"/>
        <v>0</v>
      </c>
      <c r="W549">
        <f t="shared" si="149"/>
        <v>1</v>
      </c>
      <c r="X549">
        <f t="shared" si="150"/>
        <v>1</v>
      </c>
      <c r="Y549">
        <f t="shared" si="151"/>
        <v>1</v>
      </c>
      <c r="Z549">
        <f t="shared" si="152"/>
        <v>1</v>
      </c>
      <c r="AA549">
        <f t="shared" si="153"/>
        <v>0</v>
      </c>
      <c r="AB549">
        <f t="shared" si="154"/>
        <v>1</v>
      </c>
      <c r="AC549">
        <f t="shared" si="155"/>
        <v>1</v>
      </c>
      <c r="AD549">
        <f t="shared" si="156"/>
        <v>1</v>
      </c>
      <c r="AE549">
        <f t="shared" si="157"/>
        <v>1</v>
      </c>
      <c r="AF549">
        <f t="shared" si="158"/>
        <v>1</v>
      </c>
      <c r="AG549">
        <f t="shared" si="159"/>
        <v>1</v>
      </c>
      <c r="AH549">
        <f t="shared" si="160"/>
        <v>0</v>
      </c>
      <c r="AI549">
        <f t="shared" si="161"/>
        <v>0</v>
      </c>
    </row>
    <row r="550" spans="1:35" x14ac:dyDescent="0.2">
      <c r="A550">
        <v>107</v>
      </c>
      <c r="B550" t="s">
        <v>1398</v>
      </c>
      <c r="C550">
        <v>9</v>
      </c>
      <c r="D550" t="s">
        <v>1688</v>
      </c>
      <c r="E550" t="s">
        <v>20</v>
      </c>
      <c r="F550" t="s">
        <v>39</v>
      </c>
      <c r="G550" t="s">
        <v>39</v>
      </c>
      <c r="H550" t="s">
        <v>21</v>
      </c>
      <c r="I550">
        <v>2</v>
      </c>
      <c r="J550">
        <v>3</v>
      </c>
      <c r="K550">
        <v>100000</v>
      </c>
      <c r="L550" t="s">
        <v>230</v>
      </c>
      <c r="M550" t="s">
        <v>1098</v>
      </c>
      <c r="N550" t="s">
        <v>215</v>
      </c>
      <c r="O550" t="s">
        <v>1689</v>
      </c>
      <c r="P550" t="s">
        <v>1690</v>
      </c>
      <c r="Q550">
        <f t="shared" si="144"/>
        <v>2</v>
      </c>
      <c r="R550">
        <f t="shared" si="145"/>
        <v>5</v>
      </c>
      <c r="S550">
        <f t="shared" si="146"/>
        <v>5</v>
      </c>
      <c r="T550">
        <f t="shared" si="147"/>
        <v>1</v>
      </c>
      <c r="U550">
        <v>100000</v>
      </c>
      <c r="V550">
        <f t="shared" si="148"/>
        <v>1</v>
      </c>
      <c r="W550">
        <f t="shared" si="149"/>
        <v>1</v>
      </c>
      <c r="X550">
        <f t="shared" si="150"/>
        <v>1</v>
      </c>
      <c r="Y550">
        <f t="shared" si="151"/>
        <v>1</v>
      </c>
      <c r="Z550">
        <f t="shared" si="152"/>
        <v>1</v>
      </c>
      <c r="AA550">
        <f t="shared" si="153"/>
        <v>1</v>
      </c>
      <c r="AB550">
        <f t="shared" si="154"/>
        <v>1</v>
      </c>
      <c r="AC550">
        <f t="shared" si="155"/>
        <v>1</v>
      </c>
      <c r="AD550">
        <f t="shared" si="156"/>
        <v>0</v>
      </c>
      <c r="AE550">
        <f t="shared" si="157"/>
        <v>1</v>
      </c>
      <c r="AF550">
        <f t="shared" si="158"/>
        <v>1</v>
      </c>
      <c r="AG550">
        <f t="shared" si="159"/>
        <v>0</v>
      </c>
      <c r="AH550">
        <f t="shared" si="160"/>
        <v>0</v>
      </c>
      <c r="AI550">
        <f t="shared" si="161"/>
        <v>0</v>
      </c>
    </row>
    <row r="551" spans="1:35" x14ac:dyDescent="0.2">
      <c r="A551">
        <v>108</v>
      </c>
      <c r="B551" t="s">
        <v>1398</v>
      </c>
      <c r="C551">
        <v>6</v>
      </c>
      <c r="D551" t="s">
        <v>1691</v>
      </c>
      <c r="E551" t="s">
        <v>21</v>
      </c>
      <c r="F551" t="s">
        <v>39</v>
      </c>
      <c r="G551" t="s">
        <v>39</v>
      </c>
      <c r="H551" t="s">
        <v>20</v>
      </c>
      <c r="I551">
        <v>3</v>
      </c>
      <c r="J551">
        <v>1</v>
      </c>
      <c r="K551">
        <v>50000</v>
      </c>
      <c r="L551" t="s">
        <v>70</v>
      </c>
      <c r="M551" t="s">
        <v>123</v>
      </c>
      <c r="N551" t="s">
        <v>215</v>
      </c>
      <c r="O551" t="s">
        <v>1692</v>
      </c>
      <c r="P551" t="s">
        <v>1693</v>
      </c>
      <c r="Q551">
        <f t="shared" si="144"/>
        <v>1</v>
      </c>
      <c r="R551">
        <f t="shared" si="145"/>
        <v>5</v>
      </c>
      <c r="S551">
        <f t="shared" si="146"/>
        <v>5</v>
      </c>
      <c r="T551">
        <f t="shared" si="147"/>
        <v>2</v>
      </c>
      <c r="U551">
        <v>50000</v>
      </c>
      <c r="V551">
        <f t="shared" si="148"/>
        <v>0</v>
      </c>
      <c r="W551">
        <f t="shared" si="149"/>
        <v>0</v>
      </c>
      <c r="X551">
        <f t="shared" si="150"/>
        <v>0</v>
      </c>
      <c r="Y551">
        <f t="shared" si="151"/>
        <v>1</v>
      </c>
      <c r="Z551">
        <f t="shared" si="152"/>
        <v>0</v>
      </c>
      <c r="AA551">
        <f t="shared" si="153"/>
        <v>0</v>
      </c>
      <c r="AB551">
        <f t="shared" si="154"/>
        <v>1</v>
      </c>
      <c r="AC551">
        <f t="shared" si="155"/>
        <v>1</v>
      </c>
      <c r="AD551">
        <f t="shared" si="156"/>
        <v>0</v>
      </c>
      <c r="AE551">
        <f t="shared" si="157"/>
        <v>0</v>
      </c>
      <c r="AF551">
        <f t="shared" si="158"/>
        <v>1</v>
      </c>
      <c r="AG551">
        <f t="shared" si="159"/>
        <v>0</v>
      </c>
      <c r="AH551">
        <f t="shared" si="160"/>
        <v>0</v>
      </c>
      <c r="AI551">
        <f t="shared" si="161"/>
        <v>0</v>
      </c>
    </row>
    <row r="552" spans="1:35" x14ac:dyDescent="0.2">
      <c r="A552">
        <v>109</v>
      </c>
      <c r="B552" t="s">
        <v>1398</v>
      </c>
      <c r="C552">
        <v>8</v>
      </c>
      <c r="D552" t="s">
        <v>1694</v>
      </c>
      <c r="E552" t="s">
        <v>18</v>
      </c>
      <c r="F552" t="s">
        <v>18</v>
      </c>
      <c r="G552" t="s">
        <v>39</v>
      </c>
      <c r="H552" t="s">
        <v>21</v>
      </c>
      <c r="I552">
        <v>2</v>
      </c>
      <c r="J552">
        <v>1</v>
      </c>
      <c r="K552">
        <v>4000</v>
      </c>
      <c r="L552" t="s">
        <v>601</v>
      </c>
      <c r="M552" t="s">
        <v>123</v>
      </c>
      <c r="N552" t="s">
        <v>43</v>
      </c>
      <c r="O552" t="s">
        <v>1695</v>
      </c>
      <c r="P552" t="s">
        <v>1696</v>
      </c>
      <c r="Q552">
        <f t="shared" si="144"/>
        <v>4</v>
      </c>
      <c r="R552">
        <f t="shared" si="145"/>
        <v>4</v>
      </c>
      <c r="S552">
        <f t="shared" si="146"/>
        <v>5</v>
      </c>
      <c r="T552">
        <f t="shared" si="147"/>
        <v>1</v>
      </c>
      <c r="U552">
        <v>4000</v>
      </c>
      <c r="V552">
        <f t="shared" si="148"/>
        <v>0</v>
      </c>
      <c r="W552">
        <f t="shared" si="149"/>
        <v>1</v>
      </c>
      <c r="X552">
        <f t="shared" si="150"/>
        <v>0</v>
      </c>
      <c r="Y552">
        <f t="shared" si="151"/>
        <v>1</v>
      </c>
      <c r="Z552">
        <f t="shared" si="152"/>
        <v>1</v>
      </c>
      <c r="AA552">
        <f t="shared" si="153"/>
        <v>0</v>
      </c>
      <c r="AB552">
        <f t="shared" si="154"/>
        <v>1</v>
      </c>
      <c r="AC552">
        <f t="shared" si="155"/>
        <v>1</v>
      </c>
      <c r="AD552">
        <f t="shared" si="156"/>
        <v>0</v>
      </c>
      <c r="AE552">
        <f t="shared" si="157"/>
        <v>0</v>
      </c>
      <c r="AF552">
        <f t="shared" si="158"/>
        <v>1</v>
      </c>
      <c r="AG552">
        <f t="shared" si="159"/>
        <v>1</v>
      </c>
      <c r="AH552">
        <f t="shared" si="160"/>
        <v>0</v>
      </c>
      <c r="AI552">
        <f t="shared" si="161"/>
        <v>0</v>
      </c>
    </row>
    <row r="553" spans="1:35" x14ac:dyDescent="0.2">
      <c r="A553">
        <v>110</v>
      </c>
      <c r="B553" t="s">
        <v>1398</v>
      </c>
      <c r="C553">
        <v>9</v>
      </c>
      <c r="D553" t="s">
        <v>1697</v>
      </c>
      <c r="E553" t="s">
        <v>19</v>
      </c>
      <c r="F553" t="s">
        <v>39</v>
      </c>
      <c r="G553" t="s">
        <v>39</v>
      </c>
      <c r="H553" t="s">
        <v>19</v>
      </c>
      <c r="I553">
        <v>1</v>
      </c>
      <c r="J553">
        <v>2</v>
      </c>
      <c r="K553">
        <v>400</v>
      </c>
      <c r="L553" t="s">
        <v>435</v>
      </c>
      <c r="M553" t="s">
        <v>179</v>
      </c>
      <c r="N553" t="s">
        <v>215</v>
      </c>
      <c r="O553" t="s">
        <v>1698</v>
      </c>
      <c r="P553" t="s">
        <v>1699</v>
      </c>
      <c r="Q553">
        <f t="shared" si="144"/>
        <v>3</v>
      </c>
      <c r="R553">
        <f t="shared" si="145"/>
        <v>5</v>
      </c>
      <c r="S553">
        <f t="shared" si="146"/>
        <v>5</v>
      </c>
      <c r="T553">
        <f t="shared" si="147"/>
        <v>3</v>
      </c>
      <c r="U553">
        <v>400</v>
      </c>
      <c r="V553">
        <f t="shared" si="148"/>
        <v>1</v>
      </c>
      <c r="W553">
        <f t="shared" si="149"/>
        <v>0</v>
      </c>
      <c r="X553">
        <f t="shared" si="150"/>
        <v>0</v>
      </c>
      <c r="Y553">
        <f t="shared" si="151"/>
        <v>0</v>
      </c>
      <c r="Z553">
        <f t="shared" si="152"/>
        <v>1</v>
      </c>
      <c r="AA553">
        <f t="shared" si="153"/>
        <v>0</v>
      </c>
      <c r="AB553">
        <f t="shared" si="154"/>
        <v>0</v>
      </c>
      <c r="AC553">
        <f t="shared" si="155"/>
        <v>0</v>
      </c>
      <c r="AD553">
        <f t="shared" si="156"/>
        <v>1</v>
      </c>
      <c r="AE553">
        <f t="shared" si="157"/>
        <v>1</v>
      </c>
      <c r="AF553">
        <f t="shared" si="158"/>
        <v>1</v>
      </c>
      <c r="AG553">
        <f t="shared" si="159"/>
        <v>0</v>
      </c>
      <c r="AH553">
        <f t="shared" si="160"/>
        <v>0</v>
      </c>
      <c r="AI553">
        <f t="shared" si="161"/>
        <v>0</v>
      </c>
    </row>
    <row r="554" spans="1:35" x14ac:dyDescent="0.2">
      <c r="A554">
        <v>111</v>
      </c>
      <c r="B554" t="s">
        <v>1398</v>
      </c>
      <c r="C554">
        <v>6</v>
      </c>
      <c r="D554" t="s">
        <v>1700</v>
      </c>
      <c r="E554" t="s">
        <v>19</v>
      </c>
      <c r="F554" t="s">
        <v>18</v>
      </c>
      <c r="G554" t="s">
        <v>39</v>
      </c>
      <c r="H554" t="s">
        <v>21</v>
      </c>
      <c r="I554">
        <v>5</v>
      </c>
      <c r="J554">
        <v>3</v>
      </c>
      <c r="K554">
        <v>1000000</v>
      </c>
      <c r="L554" t="s">
        <v>70</v>
      </c>
      <c r="M554" t="s">
        <v>115</v>
      </c>
      <c r="N554" t="s">
        <v>84</v>
      </c>
      <c r="O554" t="s">
        <v>1701</v>
      </c>
      <c r="P554" t="s">
        <v>1702</v>
      </c>
      <c r="Q554">
        <f t="shared" si="144"/>
        <v>3</v>
      </c>
      <c r="R554">
        <f t="shared" si="145"/>
        <v>4</v>
      </c>
      <c r="S554">
        <f t="shared" si="146"/>
        <v>5</v>
      </c>
      <c r="T554">
        <f t="shared" si="147"/>
        <v>1</v>
      </c>
      <c r="U554">
        <v>1000000</v>
      </c>
      <c r="V554">
        <f t="shared" si="148"/>
        <v>0</v>
      </c>
      <c r="W554">
        <f t="shared" si="149"/>
        <v>0</v>
      </c>
      <c r="X554">
        <f t="shared" si="150"/>
        <v>0</v>
      </c>
      <c r="Y554">
        <f t="shared" si="151"/>
        <v>1</v>
      </c>
      <c r="Z554">
        <f t="shared" si="152"/>
        <v>0</v>
      </c>
      <c r="AA554">
        <f t="shared" si="153"/>
        <v>0</v>
      </c>
      <c r="AB554">
        <f t="shared" si="154"/>
        <v>0</v>
      </c>
      <c r="AC554">
        <f t="shared" si="155"/>
        <v>1</v>
      </c>
      <c r="AD554">
        <f t="shared" si="156"/>
        <v>0</v>
      </c>
      <c r="AE554">
        <f t="shared" si="157"/>
        <v>0</v>
      </c>
      <c r="AF554">
        <f t="shared" si="158"/>
        <v>0</v>
      </c>
      <c r="AG554">
        <f t="shared" si="159"/>
        <v>1</v>
      </c>
      <c r="AH554">
        <f t="shared" si="160"/>
        <v>0</v>
      </c>
      <c r="AI554">
        <f t="shared" si="161"/>
        <v>0</v>
      </c>
    </row>
    <row r="555" spans="1:35" x14ac:dyDescent="0.2">
      <c r="A555">
        <v>112</v>
      </c>
      <c r="B555" t="s">
        <v>1398</v>
      </c>
      <c r="C555">
        <v>6</v>
      </c>
      <c r="D555" t="s">
        <v>1703</v>
      </c>
      <c r="E555" t="s">
        <v>20</v>
      </c>
      <c r="F555" t="s">
        <v>18</v>
      </c>
      <c r="G555" t="s">
        <v>18</v>
      </c>
      <c r="H555" t="s">
        <v>21</v>
      </c>
      <c r="I555">
        <v>1</v>
      </c>
      <c r="J555">
        <v>3</v>
      </c>
      <c r="K555">
        <v>0</v>
      </c>
      <c r="L555" t="s">
        <v>70</v>
      </c>
      <c r="M555" t="s">
        <v>42</v>
      </c>
      <c r="N555" t="s">
        <v>43</v>
      </c>
      <c r="O555" t="s">
        <v>1681</v>
      </c>
      <c r="P555" t="s">
        <v>1704</v>
      </c>
      <c r="Q555">
        <f t="shared" si="144"/>
        <v>2</v>
      </c>
      <c r="R555">
        <f t="shared" si="145"/>
        <v>4</v>
      </c>
      <c r="S555">
        <f t="shared" si="146"/>
        <v>4</v>
      </c>
      <c r="T555">
        <f t="shared" si="147"/>
        <v>1</v>
      </c>
      <c r="U555">
        <v>0</v>
      </c>
      <c r="V555">
        <f t="shared" si="148"/>
        <v>0</v>
      </c>
      <c r="W555">
        <f t="shared" si="149"/>
        <v>0</v>
      </c>
      <c r="X555">
        <f t="shared" si="150"/>
        <v>0</v>
      </c>
      <c r="Y555">
        <f t="shared" si="151"/>
        <v>1</v>
      </c>
      <c r="Z555">
        <f t="shared" si="152"/>
        <v>0</v>
      </c>
      <c r="AA555">
        <f t="shared" si="153"/>
        <v>0</v>
      </c>
      <c r="AB555">
        <f t="shared" si="154"/>
        <v>1</v>
      </c>
      <c r="AC555">
        <f t="shared" si="155"/>
        <v>0</v>
      </c>
      <c r="AD555">
        <f t="shared" si="156"/>
        <v>0</v>
      </c>
      <c r="AE555">
        <f t="shared" si="157"/>
        <v>0</v>
      </c>
      <c r="AF555">
        <f t="shared" si="158"/>
        <v>1</v>
      </c>
      <c r="AG555">
        <f t="shared" si="159"/>
        <v>1</v>
      </c>
      <c r="AH555">
        <f t="shared" si="160"/>
        <v>0</v>
      </c>
      <c r="AI555">
        <f t="shared" si="161"/>
        <v>0</v>
      </c>
    </row>
    <row r="556" spans="1:35" x14ac:dyDescent="0.2">
      <c r="A556">
        <v>113</v>
      </c>
      <c r="B556" t="s">
        <v>1398</v>
      </c>
      <c r="C556">
        <v>7</v>
      </c>
      <c r="D556" t="s">
        <v>1705</v>
      </c>
      <c r="E556" t="s">
        <v>21</v>
      </c>
      <c r="F556" t="s">
        <v>39</v>
      </c>
      <c r="G556" t="s">
        <v>39</v>
      </c>
      <c r="H556" t="s">
        <v>21</v>
      </c>
      <c r="I556">
        <v>1</v>
      </c>
      <c r="J556">
        <v>1</v>
      </c>
      <c r="K556">
        <v>30</v>
      </c>
      <c r="L556" t="s">
        <v>75</v>
      </c>
      <c r="M556" t="s">
        <v>23</v>
      </c>
      <c r="N556" t="s">
        <v>215</v>
      </c>
      <c r="O556" t="s">
        <v>909</v>
      </c>
      <c r="P556" t="s">
        <v>1706</v>
      </c>
      <c r="Q556">
        <f t="shared" si="144"/>
        <v>1</v>
      </c>
      <c r="R556">
        <f t="shared" si="145"/>
        <v>5</v>
      </c>
      <c r="S556">
        <f t="shared" si="146"/>
        <v>5</v>
      </c>
      <c r="T556">
        <f t="shared" si="147"/>
        <v>1</v>
      </c>
      <c r="U556">
        <v>30</v>
      </c>
      <c r="V556">
        <f t="shared" si="148"/>
        <v>0</v>
      </c>
      <c r="W556">
        <f t="shared" si="149"/>
        <v>0</v>
      </c>
      <c r="X556">
        <f t="shared" si="150"/>
        <v>1</v>
      </c>
      <c r="Y556">
        <f t="shared" si="151"/>
        <v>1</v>
      </c>
      <c r="Z556">
        <f t="shared" si="152"/>
        <v>0</v>
      </c>
      <c r="AA556">
        <f t="shared" si="153"/>
        <v>1</v>
      </c>
      <c r="AB556">
        <f t="shared" si="154"/>
        <v>0</v>
      </c>
      <c r="AC556">
        <f t="shared" si="155"/>
        <v>0</v>
      </c>
      <c r="AD556">
        <f t="shared" si="156"/>
        <v>0</v>
      </c>
      <c r="AE556">
        <f t="shared" si="157"/>
        <v>0</v>
      </c>
      <c r="AF556">
        <f t="shared" si="158"/>
        <v>1</v>
      </c>
      <c r="AG556">
        <f t="shared" si="159"/>
        <v>0</v>
      </c>
      <c r="AH556">
        <f t="shared" si="160"/>
        <v>0</v>
      </c>
      <c r="AI556">
        <f t="shared" si="161"/>
        <v>0</v>
      </c>
    </row>
    <row r="557" spans="1:35" x14ac:dyDescent="0.2">
      <c r="A557">
        <v>114</v>
      </c>
      <c r="B557" t="s">
        <v>1398</v>
      </c>
      <c r="C557">
        <v>8</v>
      </c>
      <c r="D557" t="s">
        <v>1707</v>
      </c>
      <c r="E557" t="s">
        <v>20</v>
      </c>
      <c r="F557" t="s">
        <v>18</v>
      </c>
      <c r="G557" t="s">
        <v>18</v>
      </c>
      <c r="H557" t="s">
        <v>21</v>
      </c>
      <c r="I557">
        <v>1</v>
      </c>
      <c r="J557">
        <v>2</v>
      </c>
      <c r="K557" t="s">
        <v>481</v>
      </c>
      <c r="L557" t="s">
        <v>22</v>
      </c>
      <c r="M557" t="s">
        <v>115</v>
      </c>
      <c r="N557" t="s">
        <v>215</v>
      </c>
      <c r="O557" t="s">
        <v>1708</v>
      </c>
      <c r="P557" t="s">
        <v>1709</v>
      </c>
      <c r="Q557">
        <f t="shared" si="144"/>
        <v>2</v>
      </c>
      <c r="R557">
        <f t="shared" si="145"/>
        <v>4</v>
      </c>
      <c r="S557">
        <f t="shared" si="146"/>
        <v>4</v>
      </c>
      <c r="T557">
        <f t="shared" si="147"/>
        <v>1</v>
      </c>
      <c r="U557">
        <v>100</v>
      </c>
      <c r="V557">
        <f t="shared" si="148"/>
        <v>1</v>
      </c>
      <c r="W557">
        <f t="shared" si="149"/>
        <v>0</v>
      </c>
      <c r="X557">
        <f t="shared" si="150"/>
        <v>0</v>
      </c>
      <c r="Y557">
        <f t="shared" si="151"/>
        <v>0</v>
      </c>
      <c r="Z557">
        <f t="shared" si="152"/>
        <v>0</v>
      </c>
      <c r="AA557">
        <f t="shared" si="153"/>
        <v>0</v>
      </c>
      <c r="AB557">
        <f t="shared" si="154"/>
        <v>0</v>
      </c>
      <c r="AC557">
        <f t="shared" si="155"/>
        <v>1</v>
      </c>
      <c r="AD557">
        <f t="shared" si="156"/>
        <v>0</v>
      </c>
      <c r="AE557">
        <f t="shared" si="157"/>
        <v>0</v>
      </c>
      <c r="AF557">
        <f t="shared" si="158"/>
        <v>1</v>
      </c>
      <c r="AG557">
        <f t="shared" si="159"/>
        <v>0</v>
      </c>
      <c r="AH557">
        <f t="shared" si="160"/>
        <v>0</v>
      </c>
      <c r="AI557">
        <f t="shared" si="161"/>
        <v>0</v>
      </c>
    </row>
    <row r="558" spans="1:35" x14ac:dyDescent="0.2">
      <c r="A558">
        <v>115</v>
      </c>
      <c r="B558" t="s">
        <v>1398</v>
      </c>
      <c r="C558">
        <v>3</v>
      </c>
      <c r="D558" t="s">
        <v>1710</v>
      </c>
      <c r="E558" t="s">
        <v>20</v>
      </c>
      <c r="F558" t="s">
        <v>18</v>
      </c>
      <c r="G558" t="s">
        <v>18</v>
      </c>
      <c r="H558" t="s">
        <v>21</v>
      </c>
      <c r="I558">
        <v>2</v>
      </c>
      <c r="J558">
        <v>1</v>
      </c>
      <c r="K558">
        <v>800</v>
      </c>
      <c r="L558" t="s">
        <v>70</v>
      </c>
      <c r="M558" t="s">
        <v>115</v>
      </c>
      <c r="N558" t="s">
        <v>215</v>
      </c>
      <c r="O558" t="s">
        <v>1711</v>
      </c>
      <c r="P558" t="s">
        <v>1712</v>
      </c>
      <c r="Q558">
        <f t="shared" si="144"/>
        <v>2</v>
      </c>
      <c r="R558">
        <f t="shared" si="145"/>
        <v>4</v>
      </c>
      <c r="S558">
        <f t="shared" si="146"/>
        <v>4</v>
      </c>
      <c r="T558">
        <f t="shared" si="147"/>
        <v>1</v>
      </c>
      <c r="U558">
        <v>800</v>
      </c>
      <c r="V558">
        <f t="shared" si="148"/>
        <v>0</v>
      </c>
      <c r="W558">
        <f t="shared" si="149"/>
        <v>0</v>
      </c>
      <c r="X558">
        <f t="shared" si="150"/>
        <v>0</v>
      </c>
      <c r="Y558">
        <f t="shared" si="151"/>
        <v>1</v>
      </c>
      <c r="Z558">
        <f t="shared" si="152"/>
        <v>0</v>
      </c>
      <c r="AA558">
        <f t="shared" si="153"/>
        <v>0</v>
      </c>
      <c r="AB558">
        <f t="shared" si="154"/>
        <v>0</v>
      </c>
      <c r="AC558">
        <f t="shared" si="155"/>
        <v>1</v>
      </c>
      <c r="AD558">
        <f t="shared" si="156"/>
        <v>0</v>
      </c>
      <c r="AE558">
        <f t="shared" si="157"/>
        <v>0</v>
      </c>
      <c r="AF558">
        <f t="shared" si="158"/>
        <v>1</v>
      </c>
      <c r="AG558">
        <f t="shared" si="159"/>
        <v>0</v>
      </c>
      <c r="AH558">
        <f t="shared" si="160"/>
        <v>0</v>
      </c>
      <c r="AI558">
        <f t="shared" si="161"/>
        <v>0</v>
      </c>
    </row>
    <row r="559" spans="1:35" x14ac:dyDescent="0.2">
      <c r="A559">
        <v>116</v>
      </c>
      <c r="B559" t="s">
        <v>1398</v>
      </c>
      <c r="C559">
        <v>4</v>
      </c>
      <c r="D559" t="s">
        <v>1713</v>
      </c>
      <c r="E559" t="s">
        <v>21</v>
      </c>
      <c r="F559" t="s">
        <v>18</v>
      </c>
      <c r="G559" t="s">
        <v>39</v>
      </c>
      <c r="H559" t="s">
        <v>21</v>
      </c>
      <c r="I559">
        <v>1</v>
      </c>
      <c r="J559">
        <v>2</v>
      </c>
      <c r="K559">
        <v>500000</v>
      </c>
      <c r="L559" t="s">
        <v>79</v>
      </c>
      <c r="M559" t="s">
        <v>123</v>
      </c>
      <c r="N559" t="s">
        <v>215</v>
      </c>
      <c r="O559" t="s">
        <v>1714</v>
      </c>
      <c r="P559" t="s">
        <v>1715</v>
      </c>
      <c r="Q559">
        <f t="shared" si="144"/>
        <v>1</v>
      </c>
      <c r="R559">
        <f t="shared" si="145"/>
        <v>4</v>
      </c>
      <c r="S559">
        <f t="shared" si="146"/>
        <v>5</v>
      </c>
      <c r="T559">
        <f t="shared" si="147"/>
        <v>1</v>
      </c>
      <c r="U559">
        <v>500000</v>
      </c>
      <c r="V559">
        <f t="shared" si="148"/>
        <v>0</v>
      </c>
      <c r="W559">
        <f t="shared" si="149"/>
        <v>1</v>
      </c>
      <c r="X559">
        <f t="shared" si="150"/>
        <v>0</v>
      </c>
      <c r="Y559">
        <f t="shared" si="151"/>
        <v>0</v>
      </c>
      <c r="Z559">
        <f t="shared" si="152"/>
        <v>1</v>
      </c>
      <c r="AA559">
        <f t="shared" si="153"/>
        <v>0</v>
      </c>
      <c r="AB559">
        <f t="shared" si="154"/>
        <v>1</v>
      </c>
      <c r="AC559">
        <f t="shared" si="155"/>
        <v>1</v>
      </c>
      <c r="AD559">
        <f t="shared" si="156"/>
        <v>0</v>
      </c>
      <c r="AE559">
        <f t="shared" si="157"/>
        <v>0</v>
      </c>
      <c r="AF559">
        <f t="shared" si="158"/>
        <v>1</v>
      </c>
      <c r="AG559">
        <f t="shared" si="159"/>
        <v>0</v>
      </c>
      <c r="AH559">
        <f t="shared" si="160"/>
        <v>0</v>
      </c>
      <c r="AI559">
        <f t="shared" si="161"/>
        <v>0</v>
      </c>
    </row>
    <row r="560" spans="1:35" x14ac:dyDescent="0.2">
      <c r="A560">
        <v>117</v>
      </c>
      <c r="B560" t="s">
        <v>1398</v>
      </c>
      <c r="C560">
        <v>5</v>
      </c>
      <c r="D560" t="s">
        <v>1716</v>
      </c>
      <c r="E560" t="s">
        <v>21</v>
      </c>
      <c r="F560" t="s">
        <v>18</v>
      </c>
      <c r="G560" t="s">
        <v>18</v>
      </c>
      <c r="H560" t="s">
        <v>20</v>
      </c>
      <c r="I560">
        <v>3</v>
      </c>
      <c r="J560">
        <v>1</v>
      </c>
      <c r="K560">
        <v>80</v>
      </c>
      <c r="L560" t="s">
        <v>22</v>
      </c>
      <c r="M560" t="s">
        <v>123</v>
      </c>
      <c r="N560" t="s">
        <v>43</v>
      </c>
      <c r="O560" t="s">
        <v>1717</v>
      </c>
      <c r="P560" t="s">
        <v>1718</v>
      </c>
      <c r="Q560">
        <f t="shared" si="144"/>
        <v>1</v>
      </c>
      <c r="R560">
        <f t="shared" si="145"/>
        <v>4</v>
      </c>
      <c r="S560">
        <f t="shared" si="146"/>
        <v>4</v>
      </c>
      <c r="T560">
        <f t="shared" si="147"/>
        <v>2</v>
      </c>
      <c r="U560">
        <v>80</v>
      </c>
      <c r="V560">
        <f t="shared" si="148"/>
        <v>1</v>
      </c>
      <c r="W560">
        <f t="shared" si="149"/>
        <v>0</v>
      </c>
      <c r="X560">
        <f t="shared" si="150"/>
        <v>0</v>
      </c>
      <c r="Y560">
        <f t="shared" si="151"/>
        <v>0</v>
      </c>
      <c r="Z560">
        <f t="shared" si="152"/>
        <v>0</v>
      </c>
      <c r="AA560">
        <f t="shared" si="153"/>
        <v>0</v>
      </c>
      <c r="AB560">
        <f t="shared" si="154"/>
        <v>1</v>
      </c>
      <c r="AC560">
        <f t="shared" si="155"/>
        <v>1</v>
      </c>
      <c r="AD560">
        <f t="shared" si="156"/>
        <v>0</v>
      </c>
      <c r="AE560">
        <f t="shared" si="157"/>
        <v>0</v>
      </c>
      <c r="AF560">
        <f t="shared" si="158"/>
        <v>1</v>
      </c>
      <c r="AG560">
        <f t="shared" si="159"/>
        <v>1</v>
      </c>
      <c r="AH560">
        <f t="shared" si="160"/>
        <v>0</v>
      </c>
      <c r="AI560">
        <f t="shared" si="161"/>
        <v>0</v>
      </c>
    </row>
    <row r="561" spans="1:35" x14ac:dyDescent="0.2">
      <c r="A561">
        <v>118</v>
      </c>
      <c r="B561" t="s">
        <v>1398</v>
      </c>
      <c r="C561">
        <v>2</v>
      </c>
      <c r="D561" t="s">
        <v>1719</v>
      </c>
      <c r="E561" t="s">
        <v>21</v>
      </c>
      <c r="F561" t="s">
        <v>18</v>
      </c>
      <c r="G561" t="s">
        <v>18</v>
      </c>
      <c r="H561" t="s">
        <v>20</v>
      </c>
      <c r="I561">
        <v>1</v>
      </c>
      <c r="J561">
        <v>2</v>
      </c>
      <c r="K561">
        <v>500</v>
      </c>
      <c r="L561" t="s">
        <v>41</v>
      </c>
      <c r="M561" t="s">
        <v>115</v>
      </c>
      <c r="N561" t="s">
        <v>84</v>
      </c>
      <c r="O561" t="s">
        <v>1720</v>
      </c>
      <c r="P561" t="s">
        <v>1721</v>
      </c>
      <c r="Q561">
        <f t="shared" si="144"/>
        <v>1</v>
      </c>
      <c r="R561">
        <f t="shared" si="145"/>
        <v>4</v>
      </c>
      <c r="S561">
        <f t="shared" si="146"/>
        <v>4</v>
      </c>
      <c r="T561">
        <f t="shared" si="147"/>
        <v>2</v>
      </c>
      <c r="U561">
        <v>500</v>
      </c>
      <c r="V561">
        <f t="shared" si="148"/>
        <v>0</v>
      </c>
      <c r="W561">
        <f t="shared" si="149"/>
        <v>0</v>
      </c>
      <c r="X561">
        <f t="shared" si="150"/>
        <v>0</v>
      </c>
      <c r="Y561">
        <f t="shared" si="151"/>
        <v>0</v>
      </c>
      <c r="Z561">
        <f t="shared" si="152"/>
        <v>1</v>
      </c>
      <c r="AA561">
        <f t="shared" si="153"/>
        <v>0</v>
      </c>
      <c r="AB561">
        <f t="shared" si="154"/>
        <v>0</v>
      </c>
      <c r="AC561">
        <f t="shared" si="155"/>
        <v>1</v>
      </c>
      <c r="AD561">
        <f t="shared" si="156"/>
        <v>0</v>
      </c>
      <c r="AE561">
        <f t="shared" si="157"/>
        <v>0</v>
      </c>
      <c r="AF561">
        <f t="shared" si="158"/>
        <v>0</v>
      </c>
      <c r="AG561">
        <f t="shared" si="159"/>
        <v>1</v>
      </c>
      <c r="AH561">
        <f t="shared" si="160"/>
        <v>0</v>
      </c>
      <c r="AI561">
        <f t="shared" si="161"/>
        <v>0</v>
      </c>
    </row>
    <row r="562" spans="1:35" x14ac:dyDescent="0.2">
      <c r="A562">
        <v>119</v>
      </c>
      <c r="B562" t="s">
        <v>1398</v>
      </c>
      <c r="C562">
        <v>4</v>
      </c>
      <c r="D562" t="s">
        <v>1722</v>
      </c>
      <c r="E562" t="s">
        <v>21</v>
      </c>
      <c r="F562" t="s">
        <v>18</v>
      </c>
      <c r="G562" t="s">
        <v>39</v>
      </c>
      <c r="H562" t="s">
        <v>21</v>
      </c>
      <c r="I562">
        <v>4</v>
      </c>
      <c r="J562">
        <v>4</v>
      </c>
      <c r="K562">
        <v>1000</v>
      </c>
      <c r="L562" t="s">
        <v>305</v>
      </c>
      <c r="M562" t="s">
        <v>1161</v>
      </c>
      <c r="N562" t="s">
        <v>43</v>
      </c>
      <c r="O562" t="s">
        <v>1723</v>
      </c>
      <c r="P562" t="s">
        <v>1724</v>
      </c>
      <c r="Q562">
        <f t="shared" si="144"/>
        <v>1</v>
      </c>
      <c r="R562">
        <f t="shared" si="145"/>
        <v>4</v>
      </c>
      <c r="S562">
        <f t="shared" si="146"/>
        <v>5</v>
      </c>
      <c r="T562">
        <f t="shared" si="147"/>
        <v>1</v>
      </c>
      <c r="U562">
        <v>1000</v>
      </c>
      <c r="V562">
        <f t="shared" si="148"/>
        <v>1</v>
      </c>
      <c r="W562">
        <f t="shared" si="149"/>
        <v>1</v>
      </c>
      <c r="X562">
        <f t="shared" si="150"/>
        <v>1</v>
      </c>
      <c r="Y562">
        <f t="shared" si="151"/>
        <v>0</v>
      </c>
      <c r="Z562">
        <f t="shared" si="152"/>
        <v>1</v>
      </c>
      <c r="AA562">
        <f t="shared" si="153"/>
        <v>0</v>
      </c>
      <c r="AB562">
        <f t="shared" si="154"/>
        <v>0</v>
      </c>
      <c r="AC562">
        <f t="shared" si="155"/>
        <v>1</v>
      </c>
      <c r="AD562">
        <f t="shared" si="156"/>
        <v>0</v>
      </c>
      <c r="AE562">
        <f t="shared" si="157"/>
        <v>1</v>
      </c>
      <c r="AF562">
        <f t="shared" si="158"/>
        <v>1</v>
      </c>
      <c r="AG562">
        <f t="shared" si="159"/>
        <v>1</v>
      </c>
      <c r="AH562">
        <f t="shared" si="160"/>
        <v>0</v>
      </c>
      <c r="AI562">
        <f t="shared" si="161"/>
        <v>0</v>
      </c>
    </row>
    <row r="563" spans="1:35" x14ac:dyDescent="0.2">
      <c r="A563">
        <v>120</v>
      </c>
      <c r="B563" t="s">
        <v>1398</v>
      </c>
      <c r="C563">
        <v>8</v>
      </c>
      <c r="D563" t="s">
        <v>1725</v>
      </c>
      <c r="E563" t="s">
        <v>21</v>
      </c>
      <c r="F563" t="s">
        <v>18</v>
      </c>
      <c r="G563" t="s">
        <v>39</v>
      </c>
      <c r="H563" t="s">
        <v>21</v>
      </c>
      <c r="I563">
        <v>4</v>
      </c>
      <c r="J563">
        <v>3</v>
      </c>
      <c r="K563" s="2">
        <v>10000</v>
      </c>
      <c r="L563" t="s">
        <v>230</v>
      </c>
      <c r="M563" t="s">
        <v>161</v>
      </c>
      <c r="N563" t="s">
        <v>215</v>
      </c>
      <c r="O563" t="s">
        <v>1726</v>
      </c>
      <c r="P563" t="s">
        <v>1727</v>
      </c>
      <c r="Q563">
        <f t="shared" si="144"/>
        <v>1</v>
      </c>
      <c r="R563">
        <f t="shared" si="145"/>
        <v>4</v>
      </c>
      <c r="S563">
        <f t="shared" si="146"/>
        <v>5</v>
      </c>
      <c r="T563">
        <f t="shared" si="147"/>
        <v>1</v>
      </c>
      <c r="U563">
        <v>10000</v>
      </c>
      <c r="V563">
        <f t="shared" si="148"/>
        <v>1</v>
      </c>
      <c r="W563">
        <f t="shared" si="149"/>
        <v>1</v>
      </c>
      <c r="X563">
        <f t="shared" si="150"/>
        <v>1</v>
      </c>
      <c r="Y563">
        <f t="shared" si="151"/>
        <v>1</v>
      </c>
      <c r="Z563">
        <f t="shared" si="152"/>
        <v>1</v>
      </c>
      <c r="AA563">
        <f t="shared" si="153"/>
        <v>1</v>
      </c>
      <c r="AB563">
        <f t="shared" si="154"/>
        <v>1</v>
      </c>
      <c r="AC563">
        <f t="shared" si="155"/>
        <v>1</v>
      </c>
      <c r="AD563">
        <f t="shared" si="156"/>
        <v>1</v>
      </c>
      <c r="AE563">
        <f t="shared" si="157"/>
        <v>0</v>
      </c>
      <c r="AF563">
        <f t="shared" si="158"/>
        <v>1</v>
      </c>
      <c r="AG563">
        <f t="shared" si="159"/>
        <v>0</v>
      </c>
      <c r="AH563">
        <f t="shared" si="160"/>
        <v>0</v>
      </c>
      <c r="AI563">
        <f t="shared" si="161"/>
        <v>0</v>
      </c>
    </row>
    <row r="564" spans="1:35" x14ac:dyDescent="0.2">
      <c r="A564">
        <v>121</v>
      </c>
      <c r="B564" t="s">
        <v>1398</v>
      </c>
      <c r="C564">
        <v>4</v>
      </c>
      <c r="D564" t="s">
        <v>1728</v>
      </c>
      <c r="E564" t="s">
        <v>21</v>
      </c>
      <c r="F564" t="s">
        <v>39</v>
      </c>
      <c r="G564" t="s">
        <v>39</v>
      </c>
      <c r="H564" t="s">
        <v>20</v>
      </c>
      <c r="I564">
        <v>6</v>
      </c>
      <c r="J564">
        <v>4</v>
      </c>
      <c r="K564" s="2">
        <v>10000</v>
      </c>
      <c r="L564" t="s">
        <v>443</v>
      </c>
      <c r="M564" t="s">
        <v>123</v>
      </c>
      <c r="N564" t="s">
        <v>43</v>
      </c>
      <c r="O564" t="s">
        <v>1729</v>
      </c>
      <c r="P564" t="s">
        <v>1730</v>
      </c>
      <c r="Q564">
        <f t="shared" si="144"/>
        <v>1</v>
      </c>
      <c r="R564">
        <f t="shared" si="145"/>
        <v>5</v>
      </c>
      <c r="S564">
        <f t="shared" si="146"/>
        <v>5</v>
      </c>
      <c r="T564">
        <f t="shared" si="147"/>
        <v>2</v>
      </c>
      <c r="U564">
        <v>10000</v>
      </c>
      <c r="V564">
        <f t="shared" si="148"/>
        <v>1</v>
      </c>
      <c r="W564">
        <f t="shared" si="149"/>
        <v>0</v>
      </c>
      <c r="X564">
        <f t="shared" si="150"/>
        <v>0</v>
      </c>
      <c r="Y564">
        <f t="shared" si="151"/>
        <v>1</v>
      </c>
      <c r="Z564">
        <f t="shared" si="152"/>
        <v>1</v>
      </c>
      <c r="AA564">
        <f t="shared" si="153"/>
        <v>0</v>
      </c>
      <c r="AB564">
        <f t="shared" si="154"/>
        <v>1</v>
      </c>
      <c r="AC564">
        <f t="shared" si="155"/>
        <v>1</v>
      </c>
      <c r="AD564">
        <f t="shared" si="156"/>
        <v>0</v>
      </c>
      <c r="AE564">
        <f t="shared" si="157"/>
        <v>0</v>
      </c>
      <c r="AF564">
        <f t="shared" si="158"/>
        <v>1</v>
      </c>
      <c r="AG564">
        <f t="shared" si="159"/>
        <v>1</v>
      </c>
      <c r="AH564">
        <f t="shared" si="160"/>
        <v>0</v>
      </c>
      <c r="AI564">
        <f t="shared" si="161"/>
        <v>0</v>
      </c>
    </row>
    <row r="565" spans="1:35" ht="306" x14ac:dyDescent="0.2">
      <c r="A565">
        <v>122</v>
      </c>
      <c r="B565" t="s">
        <v>1398</v>
      </c>
      <c r="C565">
        <v>4</v>
      </c>
      <c r="D565" t="s">
        <v>1731</v>
      </c>
      <c r="E565" t="s">
        <v>21</v>
      </c>
      <c r="F565" t="s">
        <v>39</v>
      </c>
      <c r="G565" t="s">
        <v>39</v>
      </c>
      <c r="H565" t="s">
        <v>21</v>
      </c>
      <c r="I565">
        <v>2</v>
      </c>
      <c r="J565">
        <v>2</v>
      </c>
      <c r="K565">
        <v>50000000</v>
      </c>
      <c r="L565" t="s">
        <v>230</v>
      </c>
      <c r="M565" t="s">
        <v>280</v>
      </c>
      <c r="N565" t="s">
        <v>215</v>
      </c>
      <c r="O565" t="s">
        <v>1732</v>
      </c>
      <c r="P565" s="3" t="s">
        <v>1733</v>
      </c>
      <c r="Q565">
        <f t="shared" si="144"/>
        <v>1</v>
      </c>
      <c r="R565">
        <f t="shared" si="145"/>
        <v>5</v>
      </c>
      <c r="S565">
        <f t="shared" si="146"/>
        <v>5</v>
      </c>
      <c r="T565">
        <f t="shared" si="147"/>
        <v>1</v>
      </c>
      <c r="U565">
        <v>50000000</v>
      </c>
      <c r="V565">
        <f t="shared" si="148"/>
        <v>1</v>
      </c>
      <c r="W565">
        <f t="shared" si="149"/>
        <v>1</v>
      </c>
      <c r="X565">
        <f t="shared" si="150"/>
        <v>1</v>
      </c>
      <c r="Y565">
        <f t="shared" si="151"/>
        <v>1</v>
      </c>
      <c r="Z565">
        <f t="shared" si="152"/>
        <v>1</v>
      </c>
      <c r="AA565">
        <f t="shared" si="153"/>
        <v>0</v>
      </c>
      <c r="AB565">
        <f t="shared" si="154"/>
        <v>1</v>
      </c>
      <c r="AC565">
        <f t="shared" si="155"/>
        <v>1</v>
      </c>
      <c r="AD565">
        <f t="shared" si="156"/>
        <v>1</v>
      </c>
      <c r="AE565">
        <f t="shared" si="157"/>
        <v>0</v>
      </c>
      <c r="AF565">
        <f t="shared" si="158"/>
        <v>1</v>
      </c>
      <c r="AG565">
        <f t="shared" si="159"/>
        <v>0</v>
      </c>
      <c r="AH565">
        <f t="shared" si="160"/>
        <v>0</v>
      </c>
      <c r="AI565">
        <f t="shared" si="161"/>
        <v>0</v>
      </c>
    </row>
    <row r="566" spans="1:35" x14ac:dyDescent="0.2">
      <c r="A566">
        <v>123</v>
      </c>
      <c r="B566" t="s">
        <v>1398</v>
      </c>
      <c r="C566">
        <v>6</v>
      </c>
      <c r="D566" t="s">
        <v>1734</v>
      </c>
      <c r="E566" t="s">
        <v>21</v>
      </c>
      <c r="F566" t="s">
        <v>39</v>
      </c>
      <c r="G566" t="s">
        <v>39</v>
      </c>
      <c r="H566" t="s">
        <v>21</v>
      </c>
      <c r="I566">
        <v>3</v>
      </c>
      <c r="J566">
        <v>1</v>
      </c>
      <c r="K566" s="1">
        <v>200</v>
      </c>
      <c r="L566" t="s">
        <v>122</v>
      </c>
      <c r="M566" t="s">
        <v>161</v>
      </c>
      <c r="N566" t="s">
        <v>43</v>
      </c>
      <c r="O566" t="s">
        <v>1735</v>
      </c>
      <c r="P566" t="s">
        <v>1736</v>
      </c>
      <c r="Q566">
        <f t="shared" si="144"/>
        <v>1</v>
      </c>
      <c r="R566">
        <f t="shared" si="145"/>
        <v>5</v>
      </c>
      <c r="S566">
        <f t="shared" si="146"/>
        <v>5</v>
      </c>
      <c r="T566">
        <f t="shared" si="147"/>
        <v>1</v>
      </c>
      <c r="U566">
        <v>200</v>
      </c>
      <c r="V566">
        <f t="shared" si="148"/>
        <v>1</v>
      </c>
      <c r="W566">
        <f t="shared" si="149"/>
        <v>0</v>
      </c>
      <c r="X566">
        <f t="shared" si="150"/>
        <v>1</v>
      </c>
      <c r="Y566">
        <f t="shared" si="151"/>
        <v>0</v>
      </c>
      <c r="Z566">
        <f t="shared" si="152"/>
        <v>1</v>
      </c>
      <c r="AA566">
        <f t="shared" si="153"/>
        <v>1</v>
      </c>
      <c r="AB566">
        <f t="shared" si="154"/>
        <v>1</v>
      </c>
      <c r="AC566">
        <f t="shared" si="155"/>
        <v>1</v>
      </c>
      <c r="AD566">
        <f t="shared" si="156"/>
        <v>1</v>
      </c>
      <c r="AE566">
        <f t="shared" si="157"/>
        <v>0</v>
      </c>
      <c r="AF566">
        <f t="shared" si="158"/>
        <v>1</v>
      </c>
      <c r="AG566">
        <f t="shared" si="159"/>
        <v>1</v>
      </c>
      <c r="AH566">
        <f t="shared" si="160"/>
        <v>0</v>
      </c>
      <c r="AI566">
        <f t="shared" si="161"/>
        <v>0</v>
      </c>
    </row>
    <row r="567" spans="1:35" x14ac:dyDescent="0.2">
      <c r="A567">
        <v>124</v>
      </c>
      <c r="B567" t="s">
        <v>1398</v>
      </c>
      <c r="C567">
        <v>9</v>
      </c>
      <c r="D567" t="s">
        <v>1737</v>
      </c>
      <c r="E567" t="s">
        <v>20</v>
      </c>
      <c r="F567" t="s">
        <v>20</v>
      </c>
      <c r="G567" t="s">
        <v>18</v>
      </c>
      <c r="H567" t="s">
        <v>18</v>
      </c>
      <c r="I567">
        <v>2</v>
      </c>
      <c r="J567">
        <v>2</v>
      </c>
      <c r="K567" s="1">
        <v>50</v>
      </c>
      <c r="L567" t="s">
        <v>122</v>
      </c>
      <c r="M567" t="s">
        <v>280</v>
      </c>
      <c r="N567" t="s">
        <v>215</v>
      </c>
      <c r="O567" t="s">
        <v>1738</v>
      </c>
      <c r="P567" t="s">
        <v>1739</v>
      </c>
      <c r="Q567">
        <f t="shared" si="144"/>
        <v>2</v>
      </c>
      <c r="R567">
        <f t="shared" si="145"/>
        <v>2</v>
      </c>
      <c r="S567">
        <f t="shared" si="146"/>
        <v>4</v>
      </c>
      <c r="T567">
        <f t="shared" si="147"/>
        <v>4</v>
      </c>
      <c r="U567">
        <v>50</v>
      </c>
      <c r="V567">
        <f t="shared" si="148"/>
        <v>1</v>
      </c>
      <c r="W567">
        <f t="shared" si="149"/>
        <v>0</v>
      </c>
      <c r="X567">
        <f t="shared" si="150"/>
        <v>1</v>
      </c>
      <c r="Y567">
        <f t="shared" si="151"/>
        <v>0</v>
      </c>
      <c r="Z567">
        <f t="shared" si="152"/>
        <v>1</v>
      </c>
      <c r="AA567">
        <f t="shared" si="153"/>
        <v>0</v>
      </c>
      <c r="AB567">
        <f t="shared" si="154"/>
        <v>1</v>
      </c>
      <c r="AC567">
        <f t="shared" si="155"/>
        <v>1</v>
      </c>
      <c r="AD567">
        <f t="shared" si="156"/>
        <v>1</v>
      </c>
      <c r="AE567">
        <f t="shared" si="157"/>
        <v>0</v>
      </c>
      <c r="AF567">
        <f t="shared" si="158"/>
        <v>1</v>
      </c>
      <c r="AG567">
        <f t="shared" si="159"/>
        <v>0</v>
      </c>
      <c r="AH567">
        <f t="shared" si="160"/>
        <v>0</v>
      </c>
      <c r="AI567">
        <f t="shared" si="161"/>
        <v>0</v>
      </c>
    </row>
    <row r="568" spans="1:35" x14ac:dyDescent="0.2">
      <c r="A568">
        <v>125</v>
      </c>
      <c r="B568" t="s">
        <v>1398</v>
      </c>
      <c r="C568">
        <v>4</v>
      </c>
      <c r="D568" t="s">
        <v>1740</v>
      </c>
      <c r="E568" t="s">
        <v>20</v>
      </c>
      <c r="F568" t="s">
        <v>18</v>
      </c>
      <c r="G568" t="s">
        <v>18</v>
      </c>
      <c r="H568" t="s">
        <v>20</v>
      </c>
      <c r="I568">
        <v>4</v>
      </c>
      <c r="J568">
        <v>2</v>
      </c>
      <c r="K568" s="1">
        <v>500</v>
      </c>
      <c r="L568" t="s">
        <v>194</v>
      </c>
      <c r="M568" t="s">
        <v>280</v>
      </c>
      <c r="N568" t="s">
        <v>215</v>
      </c>
      <c r="O568" t="s">
        <v>1741</v>
      </c>
      <c r="P568" t="s">
        <v>1742</v>
      </c>
      <c r="Q568">
        <f t="shared" si="144"/>
        <v>2</v>
      </c>
      <c r="R568">
        <f t="shared" si="145"/>
        <v>4</v>
      </c>
      <c r="S568">
        <f t="shared" si="146"/>
        <v>4</v>
      </c>
      <c r="T568">
        <f t="shared" si="147"/>
        <v>2</v>
      </c>
      <c r="U568">
        <v>500</v>
      </c>
      <c r="V568">
        <f t="shared" si="148"/>
        <v>0</v>
      </c>
      <c r="W568">
        <f t="shared" si="149"/>
        <v>0</v>
      </c>
      <c r="X568">
        <f t="shared" si="150"/>
        <v>0</v>
      </c>
      <c r="Y568">
        <f t="shared" si="151"/>
        <v>1</v>
      </c>
      <c r="Z568">
        <f t="shared" si="152"/>
        <v>1</v>
      </c>
      <c r="AA568">
        <f t="shared" si="153"/>
        <v>0</v>
      </c>
      <c r="AB568">
        <f t="shared" si="154"/>
        <v>1</v>
      </c>
      <c r="AC568">
        <f t="shared" si="155"/>
        <v>1</v>
      </c>
      <c r="AD568">
        <f t="shared" si="156"/>
        <v>1</v>
      </c>
      <c r="AE568">
        <f t="shared" si="157"/>
        <v>0</v>
      </c>
      <c r="AF568">
        <f t="shared" si="158"/>
        <v>1</v>
      </c>
      <c r="AG568">
        <f t="shared" si="159"/>
        <v>0</v>
      </c>
      <c r="AH568">
        <f t="shared" si="160"/>
        <v>0</v>
      </c>
      <c r="AI568">
        <f t="shared" si="161"/>
        <v>0</v>
      </c>
    </row>
    <row r="569" spans="1:35" x14ac:dyDescent="0.2">
      <c r="A569">
        <v>126</v>
      </c>
      <c r="B569" t="s">
        <v>1398</v>
      </c>
      <c r="C569">
        <v>5</v>
      </c>
      <c r="D569" t="s">
        <v>1743</v>
      </c>
      <c r="E569" t="s">
        <v>19</v>
      </c>
      <c r="F569" t="s">
        <v>39</v>
      </c>
      <c r="G569" t="s">
        <v>18</v>
      </c>
      <c r="H569" t="s">
        <v>20</v>
      </c>
      <c r="I569">
        <v>3</v>
      </c>
      <c r="J569">
        <v>2</v>
      </c>
      <c r="K569">
        <v>200</v>
      </c>
      <c r="L569" t="s">
        <v>79</v>
      </c>
      <c r="M569" t="s">
        <v>280</v>
      </c>
      <c r="N569" t="s">
        <v>43</v>
      </c>
      <c r="O569" t="s">
        <v>1744</v>
      </c>
      <c r="P569" t="s">
        <v>1745</v>
      </c>
      <c r="Q569">
        <f t="shared" si="144"/>
        <v>3</v>
      </c>
      <c r="R569">
        <f t="shared" si="145"/>
        <v>5</v>
      </c>
      <c r="S569">
        <f t="shared" si="146"/>
        <v>4</v>
      </c>
      <c r="T569">
        <f t="shared" si="147"/>
        <v>2</v>
      </c>
      <c r="U569">
        <v>200</v>
      </c>
      <c r="V569">
        <f t="shared" si="148"/>
        <v>0</v>
      </c>
      <c r="W569">
        <f t="shared" si="149"/>
        <v>1</v>
      </c>
      <c r="X569">
        <f t="shared" si="150"/>
        <v>0</v>
      </c>
      <c r="Y569">
        <f t="shared" si="151"/>
        <v>0</v>
      </c>
      <c r="Z569">
        <f t="shared" si="152"/>
        <v>1</v>
      </c>
      <c r="AA569">
        <f t="shared" si="153"/>
        <v>0</v>
      </c>
      <c r="AB569">
        <f t="shared" si="154"/>
        <v>1</v>
      </c>
      <c r="AC569">
        <f t="shared" si="155"/>
        <v>1</v>
      </c>
      <c r="AD569">
        <f t="shared" si="156"/>
        <v>1</v>
      </c>
      <c r="AE569">
        <f t="shared" si="157"/>
        <v>0</v>
      </c>
      <c r="AF569">
        <f t="shared" si="158"/>
        <v>1</v>
      </c>
      <c r="AG569">
        <f t="shared" si="159"/>
        <v>1</v>
      </c>
      <c r="AH569">
        <f t="shared" si="160"/>
        <v>0</v>
      </c>
      <c r="AI569">
        <f t="shared" si="161"/>
        <v>0</v>
      </c>
    </row>
    <row r="570" spans="1:35" x14ac:dyDescent="0.2">
      <c r="A570">
        <v>127</v>
      </c>
      <c r="B570" t="s">
        <v>1398</v>
      </c>
      <c r="C570">
        <v>10</v>
      </c>
      <c r="D570" t="s">
        <v>1746</v>
      </c>
      <c r="E570" t="s">
        <v>21</v>
      </c>
      <c r="F570" t="s">
        <v>39</v>
      </c>
      <c r="G570" t="s">
        <v>39</v>
      </c>
      <c r="H570" t="s">
        <v>21</v>
      </c>
      <c r="I570">
        <v>3</v>
      </c>
      <c r="J570">
        <v>1</v>
      </c>
      <c r="K570">
        <v>100</v>
      </c>
      <c r="L570" t="s">
        <v>41</v>
      </c>
      <c r="M570" t="s">
        <v>115</v>
      </c>
      <c r="N570" t="s">
        <v>215</v>
      </c>
      <c r="O570" t="s">
        <v>909</v>
      </c>
      <c r="P570" t="s">
        <v>1747</v>
      </c>
      <c r="Q570">
        <f t="shared" si="144"/>
        <v>1</v>
      </c>
      <c r="R570">
        <f t="shared" si="145"/>
        <v>5</v>
      </c>
      <c r="S570">
        <f t="shared" si="146"/>
        <v>5</v>
      </c>
      <c r="T570">
        <f t="shared" si="147"/>
        <v>1</v>
      </c>
      <c r="U570">
        <v>100</v>
      </c>
      <c r="V570">
        <f t="shared" si="148"/>
        <v>0</v>
      </c>
      <c r="W570">
        <f t="shared" si="149"/>
        <v>0</v>
      </c>
      <c r="X570">
        <f t="shared" si="150"/>
        <v>0</v>
      </c>
      <c r="Y570">
        <f t="shared" si="151"/>
        <v>0</v>
      </c>
      <c r="Z570">
        <f t="shared" si="152"/>
        <v>1</v>
      </c>
      <c r="AA570">
        <f t="shared" si="153"/>
        <v>0</v>
      </c>
      <c r="AB570">
        <f t="shared" si="154"/>
        <v>0</v>
      </c>
      <c r="AC570">
        <f t="shared" si="155"/>
        <v>1</v>
      </c>
      <c r="AD570">
        <f t="shared" si="156"/>
        <v>0</v>
      </c>
      <c r="AE570">
        <f t="shared" si="157"/>
        <v>0</v>
      </c>
      <c r="AF570">
        <f t="shared" si="158"/>
        <v>1</v>
      </c>
      <c r="AG570">
        <f t="shared" si="159"/>
        <v>0</v>
      </c>
      <c r="AH570">
        <f t="shared" si="160"/>
        <v>0</v>
      </c>
      <c r="AI570">
        <f t="shared" si="161"/>
        <v>0</v>
      </c>
    </row>
    <row r="571" spans="1:35" x14ac:dyDescent="0.2">
      <c r="A571">
        <v>128</v>
      </c>
      <c r="B571" t="s">
        <v>1398</v>
      </c>
      <c r="C571">
        <v>5</v>
      </c>
      <c r="D571" t="s">
        <v>1748</v>
      </c>
      <c r="E571" t="s">
        <v>21</v>
      </c>
      <c r="F571" t="s">
        <v>39</v>
      </c>
      <c r="G571" t="s">
        <v>39</v>
      </c>
      <c r="H571" t="s">
        <v>21</v>
      </c>
      <c r="I571">
        <v>1</v>
      </c>
      <c r="J571">
        <v>2</v>
      </c>
      <c r="K571" s="1">
        <v>50</v>
      </c>
      <c r="L571" t="s">
        <v>194</v>
      </c>
      <c r="M571" t="s">
        <v>468</v>
      </c>
      <c r="N571" t="s">
        <v>215</v>
      </c>
      <c r="O571" t="s">
        <v>1749</v>
      </c>
      <c r="P571" t="s">
        <v>1750</v>
      </c>
      <c r="Q571">
        <f t="shared" si="144"/>
        <v>1</v>
      </c>
      <c r="R571">
        <f t="shared" si="145"/>
        <v>5</v>
      </c>
      <c r="S571">
        <f t="shared" si="146"/>
        <v>5</v>
      </c>
      <c r="T571">
        <f t="shared" si="147"/>
        <v>1</v>
      </c>
      <c r="U571">
        <v>50</v>
      </c>
      <c r="V571">
        <f t="shared" si="148"/>
        <v>0</v>
      </c>
      <c r="W571">
        <f t="shared" si="149"/>
        <v>0</v>
      </c>
      <c r="X571">
        <f t="shared" si="150"/>
        <v>0</v>
      </c>
      <c r="Y571">
        <f t="shared" si="151"/>
        <v>1</v>
      </c>
      <c r="Z571">
        <f t="shared" si="152"/>
        <v>1</v>
      </c>
      <c r="AA571">
        <f t="shared" si="153"/>
        <v>1</v>
      </c>
      <c r="AB571">
        <f t="shared" si="154"/>
        <v>1</v>
      </c>
      <c r="AC571">
        <f t="shared" si="155"/>
        <v>1</v>
      </c>
      <c r="AD571">
        <f t="shared" si="156"/>
        <v>1</v>
      </c>
      <c r="AE571">
        <f t="shared" si="157"/>
        <v>1</v>
      </c>
      <c r="AF571">
        <f t="shared" si="158"/>
        <v>1</v>
      </c>
      <c r="AG571">
        <f t="shared" si="159"/>
        <v>0</v>
      </c>
      <c r="AH571">
        <f t="shared" si="160"/>
        <v>0</v>
      </c>
      <c r="AI571">
        <f t="shared" si="161"/>
        <v>0</v>
      </c>
    </row>
    <row r="572" spans="1:35" x14ac:dyDescent="0.2">
      <c r="A572">
        <v>129</v>
      </c>
      <c r="B572" t="s">
        <v>1398</v>
      </c>
      <c r="C572">
        <v>5</v>
      </c>
      <c r="D572" t="s">
        <v>1751</v>
      </c>
      <c r="E572" t="s">
        <v>20</v>
      </c>
      <c r="F572" t="s">
        <v>18</v>
      </c>
      <c r="G572" t="s">
        <v>39</v>
      </c>
      <c r="H572" t="s">
        <v>21</v>
      </c>
      <c r="I572">
        <v>4</v>
      </c>
      <c r="J572">
        <v>1</v>
      </c>
      <c r="K572">
        <v>10</v>
      </c>
      <c r="L572" t="s">
        <v>41</v>
      </c>
      <c r="M572" t="s">
        <v>123</v>
      </c>
      <c r="N572" t="s">
        <v>215</v>
      </c>
      <c r="O572" t="s">
        <v>909</v>
      </c>
      <c r="P572" t="s">
        <v>1752</v>
      </c>
      <c r="Q572">
        <f t="shared" si="144"/>
        <v>2</v>
      </c>
      <c r="R572">
        <f t="shared" si="145"/>
        <v>4</v>
      </c>
      <c r="S572">
        <f t="shared" si="146"/>
        <v>5</v>
      </c>
      <c r="T572">
        <f t="shared" si="147"/>
        <v>1</v>
      </c>
      <c r="U572">
        <v>10</v>
      </c>
      <c r="V572">
        <f t="shared" si="148"/>
        <v>0</v>
      </c>
      <c r="W572">
        <f t="shared" si="149"/>
        <v>0</v>
      </c>
      <c r="X572">
        <f t="shared" si="150"/>
        <v>0</v>
      </c>
      <c r="Y572">
        <f t="shared" si="151"/>
        <v>0</v>
      </c>
      <c r="Z572">
        <f t="shared" si="152"/>
        <v>1</v>
      </c>
      <c r="AA572">
        <f t="shared" si="153"/>
        <v>0</v>
      </c>
      <c r="AB572">
        <f t="shared" si="154"/>
        <v>1</v>
      </c>
      <c r="AC572">
        <f t="shared" si="155"/>
        <v>1</v>
      </c>
      <c r="AD572">
        <f t="shared" si="156"/>
        <v>0</v>
      </c>
      <c r="AE572">
        <f t="shared" si="157"/>
        <v>0</v>
      </c>
      <c r="AF572">
        <f t="shared" si="158"/>
        <v>1</v>
      </c>
      <c r="AG572">
        <f t="shared" si="159"/>
        <v>0</v>
      </c>
      <c r="AH572">
        <f t="shared" si="160"/>
        <v>0</v>
      </c>
      <c r="AI572">
        <f t="shared" si="161"/>
        <v>0</v>
      </c>
    </row>
    <row r="573" spans="1:35" x14ac:dyDescent="0.2">
      <c r="A573">
        <v>130</v>
      </c>
      <c r="B573" t="s">
        <v>1398</v>
      </c>
      <c r="C573">
        <v>8</v>
      </c>
      <c r="D573" t="s">
        <v>1418</v>
      </c>
      <c r="E573" t="s">
        <v>21</v>
      </c>
      <c r="F573" t="s">
        <v>39</v>
      </c>
      <c r="G573" t="s">
        <v>39</v>
      </c>
      <c r="H573" t="s">
        <v>21</v>
      </c>
      <c r="I573">
        <v>4</v>
      </c>
      <c r="J573">
        <v>1</v>
      </c>
      <c r="K573">
        <v>120</v>
      </c>
      <c r="L573" t="s">
        <v>601</v>
      </c>
      <c r="M573" t="s">
        <v>48</v>
      </c>
      <c r="N573" t="s">
        <v>84</v>
      </c>
      <c r="O573" t="s">
        <v>1753</v>
      </c>
      <c r="P573" t="s">
        <v>1754</v>
      </c>
      <c r="Q573">
        <f t="shared" si="144"/>
        <v>1</v>
      </c>
      <c r="R573">
        <f t="shared" si="145"/>
        <v>5</v>
      </c>
      <c r="S573">
        <f t="shared" si="146"/>
        <v>5</v>
      </c>
      <c r="T573">
        <f t="shared" si="147"/>
        <v>1</v>
      </c>
      <c r="U573">
        <v>120</v>
      </c>
      <c r="V573">
        <f t="shared" si="148"/>
        <v>0</v>
      </c>
      <c r="W573">
        <f t="shared" si="149"/>
        <v>1</v>
      </c>
      <c r="X573">
        <f t="shared" si="150"/>
        <v>0</v>
      </c>
      <c r="Y573">
        <f t="shared" si="151"/>
        <v>1</v>
      </c>
      <c r="Z573">
        <f t="shared" si="152"/>
        <v>1</v>
      </c>
      <c r="AA573">
        <f t="shared" si="153"/>
        <v>1</v>
      </c>
      <c r="AB573">
        <f t="shared" si="154"/>
        <v>1</v>
      </c>
      <c r="AC573">
        <f t="shared" si="155"/>
        <v>1</v>
      </c>
      <c r="AD573">
        <f t="shared" si="156"/>
        <v>0</v>
      </c>
      <c r="AE573">
        <f t="shared" si="157"/>
        <v>0</v>
      </c>
      <c r="AF573">
        <f t="shared" si="158"/>
        <v>0</v>
      </c>
      <c r="AG573">
        <f t="shared" si="159"/>
        <v>1</v>
      </c>
      <c r="AH573">
        <f t="shared" si="160"/>
        <v>0</v>
      </c>
      <c r="AI573">
        <f t="shared" si="161"/>
        <v>0</v>
      </c>
    </row>
    <row r="574" spans="1:35" x14ac:dyDescent="0.2">
      <c r="A574">
        <v>131</v>
      </c>
      <c r="B574" t="s">
        <v>1398</v>
      </c>
      <c r="C574">
        <v>2</v>
      </c>
      <c r="D574" t="s">
        <v>1755</v>
      </c>
      <c r="E574" t="s">
        <v>21</v>
      </c>
      <c r="F574" t="s">
        <v>39</v>
      </c>
      <c r="G574" t="s">
        <v>39</v>
      </c>
      <c r="H574" t="s">
        <v>21</v>
      </c>
      <c r="I574">
        <v>1</v>
      </c>
      <c r="J574">
        <v>1</v>
      </c>
      <c r="K574">
        <v>100</v>
      </c>
      <c r="L574" t="s">
        <v>22</v>
      </c>
      <c r="M574" t="s">
        <v>42</v>
      </c>
      <c r="N574" t="s">
        <v>84</v>
      </c>
      <c r="O574" t="s">
        <v>1756</v>
      </c>
      <c r="P574" t="s">
        <v>1757</v>
      </c>
      <c r="Q574">
        <f t="shared" si="144"/>
        <v>1</v>
      </c>
      <c r="R574">
        <f t="shared" si="145"/>
        <v>5</v>
      </c>
      <c r="S574">
        <f t="shared" si="146"/>
        <v>5</v>
      </c>
      <c r="T574">
        <f t="shared" si="147"/>
        <v>1</v>
      </c>
      <c r="U574">
        <v>100</v>
      </c>
      <c r="V574">
        <f t="shared" si="148"/>
        <v>1</v>
      </c>
      <c r="W574">
        <f t="shared" si="149"/>
        <v>0</v>
      </c>
      <c r="X574">
        <f t="shared" si="150"/>
        <v>0</v>
      </c>
      <c r="Y574">
        <f t="shared" si="151"/>
        <v>0</v>
      </c>
      <c r="Z574">
        <f t="shared" si="152"/>
        <v>0</v>
      </c>
      <c r="AA574">
        <f t="shared" si="153"/>
        <v>0</v>
      </c>
      <c r="AB574">
        <f t="shared" si="154"/>
        <v>1</v>
      </c>
      <c r="AC574">
        <f t="shared" si="155"/>
        <v>0</v>
      </c>
      <c r="AD574">
        <f t="shared" si="156"/>
        <v>0</v>
      </c>
      <c r="AE574">
        <f t="shared" si="157"/>
        <v>0</v>
      </c>
      <c r="AF574">
        <f t="shared" si="158"/>
        <v>0</v>
      </c>
      <c r="AG574">
        <f t="shared" si="159"/>
        <v>1</v>
      </c>
      <c r="AH574">
        <f t="shared" si="160"/>
        <v>0</v>
      </c>
      <c r="AI574">
        <f t="shared" si="161"/>
        <v>0</v>
      </c>
    </row>
    <row r="575" spans="1:35" x14ac:dyDescent="0.2">
      <c r="A575">
        <v>132</v>
      </c>
      <c r="B575" t="s">
        <v>1398</v>
      </c>
      <c r="C575">
        <v>6</v>
      </c>
      <c r="D575" t="s">
        <v>1758</v>
      </c>
      <c r="E575" t="s">
        <v>21</v>
      </c>
      <c r="F575" t="s">
        <v>39</v>
      </c>
      <c r="G575" t="s">
        <v>18</v>
      </c>
      <c r="H575" t="s">
        <v>21</v>
      </c>
      <c r="I575">
        <v>1</v>
      </c>
      <c r="J575">
        <v>2</v>
      </c>
      <c r="K575">
        <v>1000</v>
      </c>
      <c r="L575" t="s">
        <v>194</v>
      </c>
      <c r="M575" t="s">
        <v>781</v>
      </c>
      <c r="N575" t="s">
        <v>84</v>
      </c>
      <c r="O575" t="s">
        <v>1558</v>
      </c>
      <c r="P575" t="s">
        <v>1759</v>
      </c>
      <c r="Q575">
        <f t="shared" si="144"/>
        <v>1</v>
      </c>
      <c r="R575">
        <f t="shared" si="145"/>
        <v>5</v>
      </c>
      <c r="S575">
        <f t="shared" si="146"/>
        <v>4</v>
      </c>
      <c r="T575">
        <f t="shared" si="147"/>
        <v>1</v>
      </c>
      <c r="U575">
        <v>1000</v>
      </c>
      <c r="V575">
        <f t="shared" si="148"/>
        <v>0</v>
      </c>
      <c r="W575">
        <f t="shared" si="149"/>
        <v>0</v>
      </c>
      <c r="X575">
        <f t="shared" si="150"/>
        <v>0</v>
      </c>
      <c r="Y575">
        <f t="shared" si="151"/>
        <v>1</v>
      </c>
      <c r="Z575">
        <f t="shared" si="152"/>
        <v>1</v>
      </c>
      <c r="AA575">
        <f t="shared" si="153"/>
        <v>0</v>
      </c>
      <c r="AB575">
        <f t="shared" si="154"/>
        <v>1</v>
      </c>
      <c r="AC575">
        <f t="shared" si="155"/>
        <v>1</v>
      </c>
      <c r="AD575">
        <f t="shared" si="156"/>
        <v>1</v>
      </c>
      <c r="AE575">
        <f t="shared" si="157"/>
        <v>1</v>
      </c>
      <c r="AF575">
        <f t="shared" si="158"/>
        <v>0</v>
      </c>
      <c r="AG575">
        <f t="shared" si="159"/>
        <v>1</v>
      </c>
      <c r="AH575">
        <f t="shared" si="160"/>
        <v>0</v>
      </c>
      <c r="AI575">
        <f t="shared" si="161"/>
        <v>0</v>
      </c>
    </row>
    <row r="576" spans="1:35" x14ac:dyDescent="0.2">
      <c r="A576">
        <v>133</v>
      </c>
      <c r="B576" t="s">
        <v>1398</v>
      </c>
      <c r="C576">
        <v>9</v>
      </c>
      <c r="D576" t="s">
        <v>1760</v>
      </c>
      <c r="E576" t="s">
        <v>21</v>
      </c>
      <c r="F576" t="s">
        <v>18</v>
      </c>
      <c r="G576" t="s">
        <v>39</v>
      </c>
      <c r="H576" t="s">
        <v>21</v>
      </c>
      <c r="I576">
        <v>3</v>
      </c>
      <c r="J576">
        <v>2</v>
      </c>
      <c r="K576" t="s">
        <v>1761</v>
      </c>
      <c r="L576" t="s">
        <v>230</v>
      </c>
      <c r="M576" t="s">
        <v>468</v>
      </c>
      <c r="N576" t="s">
        <v>43</v>
      </c>
      <c r="O576" t="s">
        <v>1762</v>
      </c>
      <c r="P576" t="s">
        <v>1763</v>
      </c>
      <c r="Q576">
        <f t="shared" si="144"/>
        <v>1</v>
      </c>
      <c r="R576">
        <f t="shared" si="145"/>
        <v>4</v>
      </c>
      <c r="S576">
        <f t="shared" si="146"/>
        <v>5</v>
      </c>
      <c r="T576">
        <f t="shared" si="147"/>
        <v>1</v>
      </c>
      <c r="U576">
        <v>0</v>
      </c>
      <c r="V576">
        <f t="shared" si="148"/>
        <v>1</v>
      </c>
      <c r="W576">
        <f t="shared" si="149"/>
        <v>1</v>
      </c>
      <c r="X576">
        <f t="shared" si="150"/>
        <v>1</v>
      </c>
      <c r="Y576">
        <f t="shared" si="151"/>
        <v>1</v>
      </c>
      <c r="Z576">
        <f t="shared" si="152"/>
        <v>1</v>
      </c>
      <c r="AA576">
        <f t="shared" si="153"/>
        <v>1</v>
      </c>
      <c r="AB576">
        <f t="shared" si="154"/>
        <v>1</v>
      </c>
      <c r="AC576">
        <f t="shared" si="155"/>
        <v>1</v>
      </c>
      <c r="AD576">
        <f t="shared" si="156"/>
        <v>1</v>
      </c>
      <c r="AE576">
        <f t="shared" si="157"/>
        <v>1</v>
      </c>
      <c r="AF576">
        <f t="shared" si="158"/>
        <v>1</v>
      </c>
      <c r="AG576">
        <f t="shared" si="159"/>
        <v>1</v>
      </c>
      <c r="AH576">
        <f t="shared" si="160"/>
        <v>0</v>
      </c>
      <c r="AI576">
        <f t="shared" si="161"/>
        <v>0</v>
      </c>
    </row>
    <row r="577" spans="1:35" x14ac:dyDescent="0.2">
      <c r="A577">
        <v>134</v>
      </c>
      <c r="B577" t="s">
        <v>1398</v>
      </c>
      <c r="C577">
        <v>2</v>
      </c>
      <c r="D577" t="s">
        <v>1764</v>
      </c>
      <c r="E577" t="s">
        <v>20</v>
      </c>
      <c r="F577" t="s">
        <v>18</v>
      </c>
      <c r="G577" t="s">
        <v>39</v>
      </c>
      <c r="H577" t="s">
        <v>20</v>
      </c>
      <c r="I577">
        <v>2</v>
      </c>
      <c r="J577">
        <v>1</v>
      </c>
      <c r="K577">
        <v>300</v>
      </c>
      <c r="L577" t="s">
        <v>98</v>
      </c>
      <c r="M577" t="s">
        <v>115</v>
      </c>
      <c r="N577" t="s">
        <v>84</v>
      </c>
      <c r="O577" t="s">
        <v>943</v>
      </c>
      <c r="P577" t="s">
        <v>1765</v>
      </c>
      <c r="Q577">
        <f t="shared" si="144"/>
        <v>2</v>
      </c>
      <c r="R577">
        <f t="shared" si="145"/>
        <v>4</v>
      </c>
      <c r="S577">
        <f t="shared" si="146"/>
        <v>5</v>
      </c>
      <c r="T577">
        <f t="shared" si="147"/>
        <v>2</v>
      </c>
      <c r="U577">
        <v>300</v>
      </c>
      <c r="V577">
        <f t="shared" si="148"/>
        <v>0</v>
      </c>
      <c r="W577">
        <f t="shared" si="149"/>
        <v>1</v>
      </c>
      <c r="X577">
        <f t="shared" si="150"/>
        <v>0</v>
      </c>
      <c r="Y577">
        <f t="shared" si="151"/>
        <v>0</v>
      </c>
      <c r="Z577">
        <f t="shared" si="152"/>
        <v>0</v>
      </c>
      <c r="AA577">
        <f t="shared" si="153"/>
        <v>0</v>
      </c>
      <c r="AB577">
        <f t="shared" si="154"/>
        <v>0</v>
      </c>
      <c r="AC577">
        <f t="shared" si="155"/>
        <v>1</v>
      </c>
      <c r="AD577">
        <f t="shared" si="156"/>
        <v>0</v>
      </c>
      <c r="AE577">
        <f t="shared" si="157"/>
        <v>0</v>
      </c>
      <c r="AF577">
        <f t="shared" si="158"/>
        <v>0</v>
      </c>
      <c r="AG577">
        <f t="shared" si="159"/>
        <v>1</v>
      </c>
      <c r="AH577">
        <f t="shared" si="160"/>
        <v>0</v>
      </c>
      <c r="AI577">
        <f t="shared" si="161"/>
        <v>0</v>
      </c>
    </row>
    <row r="578" spans="1:35" x14ac:dyDescent="0.2">
      <c r="A578">
        <v>135</v>
      </c>
      <c r="B578" t="s">
        <v>1398</v>
      </c>
      <c r="C578">
        <v>9</v>
      </c>
      <c r="D578" t="s">
        <v>1766</v>
      </c>
      <c r="E578" t="s">
        <v>20</v>
      </c>
      <c r="F578" t="s">
        <v>39</v>
      </c>
      <c r="G578" t="s">
        <v>18</v>
      </c>
      <c r="H578" t="s">
        <v>21</v>
      </c>
      <c r="I578">
        <v>3</v>
      </c>
      <c r="J578">
        <v>2</v>
      </c>
      <c r="K578">
        <v>60</v>
      </c>
      <c r="L578" t="s">
        <v>47</v>
      </c>
      <c r="M578" t="s">
        <v>161</v>
      </c>
      <c r="N578" t="s">
        <v>215</v>
      </c>
      <c r="O578" t="s">
        <v>1767</v>
      </c>
      <c r="P578" t="s">
        <v>1768</v>
      </c>
      <c r="Q578">
        <f t="shared" si="144"/>
        <v>2</v>
      </c>
      <c r="R578">
        <f t="shared" si="145"/>
        <v>5</v>
      </c>
      <c r="S578">
        <f t="shared" si="146"/>
        <v>4</v>
      </c>
      <c r="T578">
        <f t="shared" si="147"/>
        <v>1</v>
      </c>
      <c r="U578">
        <v>60</v>
      </c>
      <c r="V578">
        <f t="shared" si="148"/>
        <v>0</v>
      </c>
      <c r="W578">
        <f t="shared" si="149"/>
        <v>0</v>
      </c>
      <c r="X578">
        <f t="shared" si="150"/>
        <v>1</v>
      </c>
      <c r="Y578">
        <f t="shared" si="151"/>
        <v>0</v>
      </c>
      <c r="Z578">
        <f t="shared" si="152"/>
        <v>1</v>
      </c>
      <c r="AA578">
        <f t="shared" si="153"/>
        <v>1</v>
      </c>
      <c r="AB578">
        <f t="shared" si="154"/>
        <v>1</v>
      </c>
      <c r="AC578">
        <f t="shared" si="155"/>
        <v>1</v>
      </c>
      <c r="AD578">
        <f t="shared" si="156"/>
        <v>1</v>
      </c>
      <c r="AE578">
        <f t="shared" si="157"/>
        <v>0</v>
      </c>
      <c r="AF578">
        <f t="shared" si="158"/>
        <v>1</v>
      </c>
      <c r="AG578">
        <f t="shared" si="159"/>
        <v>0</v>
      </c>
      <c r="AH578">
        <f t="shared" si="160"/>
        <v>0</v>
      </c>
      <c r="AI578">
        <f t="shared" si="161"/>
        <v>0</v>
      </c>
    </row>
    <row r="579" spans="1:35" x14ac:dyDescent="0.2">
      <c r="A579">
        <v>136</v>
      </c>
      <c r="B579" t="s">
        <v>1398</v>
      </c>
      <c r="C579">
        <v>8</v>
      </c>
      <c r="D579" t="s">
        <v>1769</v>
      </c>
      <c r="E579" t="s">
        <v>21</v>
      </c>
      <c r="F579" t="s">
        <v>39</v>
      </c>
      <c r="G579" t="s">
        <v>39</v>
      </c>
      <c r="H579" t="s">
        <v>21</v>
      </c>
      <c r="I579">
        <v>4</v>
      </c>
      <c r="J579">
        <v>3</v>
      </c>
      <c r="K579" s="2">
        <v>175000000</v>
      </c>
      <c r="L579" t="s">
        <v>41</v>
      </c>
      <c r="M579" t="s">
        <v>115</v>
      </c>
      <c r="N579" t="s">
        <v>215</v>
      </c>
      <c r="O579" t="s">
        <v>1770</v>
      </c>
      <c r="P579" t="s">
        <v>1771</v>
      </c>
      <c r="Q579">
        <f t="shared" ref="Q579:Q642" si="162">IF(E579="", "", LEFT(E579, 1) * 1)</f>
        <v>1</v>
      </c>
      <c r="R579">
        <f t="shared" ref="R579:R642" si="163">IF(F579="","",VALUE(LEFT(F579,FIND(" ",F579)-1)))</f>
        <v>5</v>
      </c>
      <c r="S579">
        <f t="shared" ref="S579:S642" si="164">IF(G579="","",VALUE(LEFT(G579,FIND(" ",G579)-1)))</f>
        <v>5</v>
      </c>
      <c r="T579">
        <f t="shared" ref="T579:T642" si="165">IF(H579="","",VALUE(LEFT(H579,FIND(" ",H579)-1)))</f>
        <v>1</v>
      </c>
      <c r="U579">
        <v>175000000</v>
      </c>
      <c r="V579">
        <f t="shared" ref="V579:V642" si="166">IF(L579="",0,IF(ISNUMBER(SEARCH("Bathroom",L579)),1,0))</f>
        <v>0</v>
      </c>
      <c r="W579">
        <f t="shared" ref="W579:W642" si="167">IF(L579="",0,IF(ISNUMBER(SEARCH("Dining room",L579)),1,0))</f>
        <v>0</v>
      </c>
      <c r="X579">
        <f t="shared" ref="X579:X642" si="168">IF(L579="",0,IF(ISNUMBER(SEARCH("Office",L579)),1,0))</f>
        <v>0</v>
      </c>
      <c r="Y579">
        <f t="shared" ref="Y579:Y642" si="169">IF(L579="",0,IF(ISNUMBER(SEARCH("Bedroom",L579)),1,0))</f>
        <v>0</v>
      </c>
      <c r="Z579">
        <f t="shared" ref="Z579:Z642" si="170">IF(L579="",0,IF(ISNUMBER(SEARCH("Living room",L579)),1,0))</f>
        <v>1</v>
      </c>
      <c r="AA579">
        <f t="shared" ref="AA579:AA642" si="171">IF(M579="",0, IF(ISNUMBER(SEARCH("By yourself",M579)), 1, 0))</f>
        <v>0</v>
      </c>
      <c r="AB579">
        <f t="shared" ref="AB579:AB642" si="172">IF(M579="", 0, IF(ISNUMBER(SEARCH("Friends", M579)), 1, 0))</f>
        <v>0</v>
      </c>
      <c r="AC579">
        <f t="shared" ref="AC579:AC642" si="173">IF(M579="",0,IF(ISNUMBER(SEARCH("Family members", M579)), 1, 0))</f>
        <v>1</v>
      </c>
      <c r="AD579">
        <f t="shared" ref="AD579:AD642" si="174">IF(M579="", 0, IF(ISNUMBER(SEARCH("Coworkers/Classmates", M579)), 1, 0))</f>
        <v>0</v>
      </c>
      <c r="AE579">
        <f t="shared" ref="AE579:AE642" si="175">IF(M579="", 0, IF(ISNUMBER(SEARCH("Strangers", M579)), 1, 0))</f>
        <v>0</v>
      </c>
      <c r="AF579">
        <f t="shared" ref="AF579:AF642" si="176">IF(N579="", 0, IF(ISNUMBER(SEARCH("Spring", N579)), 1, 0))</f>
        <v>1</v>
      </c>
      <c r="AG579">
        <f t="shared" ref="AG579:AG642" si="177">IF(N579="", 0, IF(ISNUMBER(SEARCH("Summer", N579)), 1, 0))</f>
        <v>0</v>
      </c>
      <c r="AH579">
        <f t="shared" ref="AH579:AH642" si="178">IF(N579="", 0, IF(ISNUMBER(SEARCH("Fall", N579)), 1, 0))</f>
        <v>0</v>
      </c>
      <c r="AI579">
        <f t="shared" ref="AI579:AI642" si="179">IF(N579="", 0, IF(ISNUMBER(SEARCH("Winter", N579)), 1, 0))</f>
        <v>0</v>
      </c>
    </row>
    <row r="580" spans="1:35" x14ac:dyDescent="0.2">
      <c r="A580">
        <v>137</v>
      </c>
      <c r="B580" t="s">
        <v>1398</v>
      </c>
      <c r="C580">
        <v>3</v>
      </c>
      <c r="D580" t="s">
        <v>1772</v>
      </c>
      <c r="E580" t="s">
        <v>21</v>
      </c>
      <c r="F580" t="s">
        <v>18</v>
      </c>
      <c r="G580" t="s">
        <v>39</v>
      </c>
      <c r="H580" t="s">
        <v>20</v>
      </c>
      <c r="I580">
        <v>1</v>
      </c>
      <c r="J580">
        <v>3</v>
      </c>
      <c r="K580" s="2">
        <v>20000</v>
      </c>
      <c r="L580" t="s">
        <v>22</v>
      </c>
      <c r="M580" t="s">
        <v>123</v>
      </c>
      <c r="N580" t="s">
        <v>215</v>
      </c>
      <c r="O580" t="s">
        <v>1773</v>
      </c>
      <c r="P580" t="s">
        <v>1774</v>
      </c>
      <c r="Q580">
        <f t="shared" si="162"/>
        <v>1</v>
      </c>
      <c r="R580">
        <f t="shared" si="163"/>
        <v>4</v>
      </c>
      <c r="S580">
        <f t="shared" si="164"/>
        <v>5</v>
      </c>
      <c r="T580">
        <f t="shared" si="165"/>
        <v>2</v>
      </c>
      <c r="U580">
        <v>20000</v>
      </c>
      <c r="V580">
        <f t="shared" si="166"/>
        <v>1</v>
      </c>
      <c r="W580">
        <f t="shared" si="167"/>
        <v>0</v>
      </c>
      <c r="X580">
        <f t="shared" si="168"/>
        <v>0</v>
      </c>
      <c r="Y580">
        <f t="shared" si="169"/>
        <v>0</v>
      </c>
      <c r="Z580">
        <f t="shared" si="170"/>
        <v>0</v>
      </c>
      <c r="AA580">
        <f t="shared" si="171"/>
        <v>0</v>
      </c>
      <c r="AB580">
        <f t="shared" si="172"/>
        <v>1</v>
      </c>
      <c r="AC580">
        <f t="shared" si="173"/>
        <v>1</v>
      </c>
      <c r="AD580">
        <f t="shared" si="174"/>
        <v>0</v>
      </c>
      <c r="AE580">
        <f t="shared" si="175"/>
        <v>0</v>
      </c>
      <c r="AF580">
        <f t="shared" si="176"/>
        <v>1</v>
      </c>
      <c r="AG580">
        <f t="shared" si="177"/>
        <v>0</v>
      </c>
      <c r="AH580">
        <f t="shared" si="178"/>
        <v>0</v>
      </c>
      <c r="AI580">
        <f t="shared" si="179"/>
        <v>0</v>
      </c>
    </row>
    <row r="581" spans="1:35" x14ac:dyDescent="0.2">
      <c r="A581">
        <v>138</v>
      </c>
      <c r="B581" t="s">
        <v>1398</v>
      </c>
      <c r="C581">
        <v>3</v>
      </c>
      <c r="D581" t="s">
        <v>1775</v>
      </c>
      <c r="E581" t="s">
        <v>20</v>
      </c>
      <c r="F581" t="s">
        <v>18</v>
      </c>
      <c r="G581" t="s">
        <v>19</v>
      </c>
      <c r="H581" t="s">
        <v>20</v>
      </c>
      <c r="I581">
        <v>1</v>
      </c>
      <c r="J581">
        <v>3</v>
      </c>
      <c r="K581">
        <v>10000</v>
      </c>
      <c r="L581" t="s">
        <v>41</v>
      </c>
      <c r="M581" t="s">
        <v>280</v>
      </c>
      <c r="N581" t="s">
        <v>43</v>
      </c>
      <c r="O581" t="s">
        <v>1776</v>
      </c>
      <c r="P581" t="s">
        <v>1777</v>
      </c>
      <c r="Q581">
        <f t="shared" si="162"/>
        <v>2</v>
      </c>
      <c r="R581">
        <f t="shared" si="163"/>
        <v>4</v>
      </c>
      <c r="S581">
        <f t="shared" si="164"/>
        <v>3</v>
      </c>
      <c r="T581">
        <f t="shared" si="165"/>
        <v>2</v>
      </c>
      <c r="U581">
        <v>10000</v>
      </c>
      <c r="V581">
        <f t="shared" si="166"/>
        <v>0</v>
      </c>
      <c r="W581">
        <f t="shared" si="167"/>
        <v>0</v>
      </c>
      <c r="X581">
        <f t="shared" si="168"/>
        <v>0</v>
      </c>
      <c r="Y581">
        <f t="shared" si="169"/>
        <v>0</v>
      </c>
      <c r="Z581">
        <f t="shared" si="170"/>
        <v>1</v>
      </c>
      <c r="AA581">
        <f t="shared" si="171"/>
        <v>0</v>
      </c>
      <c r="AB581">
        <f t="shared" si="172"/>
        <v>1</v>
      </c>
      <c r="AC581">
        <f t="shared" si="173"/>
        <v>1</v>
      </c>
      <c r="AD581">
        <f t="shared" si="174"/>
        <v>1</v>
      </c>
      <c r="AE581">
        <f t="shared" si="175"/>
        <v>0</v>
      </c>
      <c r="AF581">
        <f t="shared" si="176"/>
        <v>1</v>
      </c>
      <c r="AG581">
        <f t="shared" si="177"/>
        <v>1</v>
      </c>
      <c r="AH581">
        <f t="shared" si="178"/>
        <v>0</v>
      </c>
      <c r="AI581">
        <f t="shared" si="179"/>
        <v>0</v>
      </c>
    </row>
    <row r="582" spans="1:35" x14ac:dyDescent="0.2">
      <c r="A582">
        <v>139</v>
      </c>
      <c r="B582" t="s">
        <v>1398</v>
      </c>
      <c r="C582">
        <v>3</v>
      </c>
      <c r="D582" t="s">
        <v>1778</v>
      </c>
      <c r="E582" t="s">
        <v>21</v>
      </c>
      <c r="F582" t="s">
        <v>39</v>
      </c>
      <c r="G582" t="s">
        <v>18</v>
      </c>
      <c r="H582" t="s">
        <v>21</v>
      </c>
      <c r="I582">
        <v>4</v>
      </c>
      <c r="J582">
        <v>1</v>
      </c>
      <c r="K582">
        <v>50</v>
      </c>
      <c r="L582" t="s">
        <v>194</v>
      </c>
      <c r="M582" t="s">
        <v>42</v>
      </c>
      <c r="N582" t="s">
        <v>215</v>
      </c>
      <c r="O582" t="s">
        <v>909</v>
      </c>
      <c r="P582" t="s">
        <v>1779</v>
      </c>
      <c r="Q582">
        <f t="shared" si="162"/>
        <v>1</v>
      </c>
      <c r="R582">
        <f t="shared" si="163"/>
        <v>5</v>
      </c>
      <c r="S582">
        <f t="shared" si="164"/>
        <v>4</v>
      </c>
      <c r="T582">
        <f t="shared" si="165"/>
        <v>1</v>
      </c>
      <c r="U582">
        <v>50</v>
      </c>
      <c r="V582">
        <f t="shared" si="166"/>
        <v>0</v>
      </c>
      <c r="W582">
        <f t="shared" si="167"/>
        <v>0</v>
      </c>
      <c r="X582">
        <f t="shared" si="168"/>
        <v>0</v>
      </c>
      <c r="Y582">
        <f t="shared" si="169"/>
        <v>1</v>
      </c>
      <c r="Z582">
        <f t="shared" si="170"/>
        <v>1</v>
      </c>
      <c r="AA582">
        <f t="shared" si="171"/>
        <v>0</v>
      </c>
      <c r="AB582">
        <f t="shared" si="172"/>
        <v>1</v>
      </c>
      <c r="AC582">
        <f t="shared" si="173"/>
        <v>0</v>
      </c>
      <c r="AD582">
        <f t="shared" si="174"/>
        <v>0</v>
      </c>
      <c r="AE582">
        <f t="shared" si="175"/>
        <v>0</v>
      </c>
      <c r="AF582">
        <f t="shared" si="176"/>
        <v>1</v>
      </c>
      <c r="AG582">
        <f t="shared" si="177"/>
        <v>0</v>
      </c>
      <c r="AH582">
        <f t="shared" si="178"/>
        <v>0</v>
      </c>
      <c r="AI582">
        <f t="shared" si="179"/>
        <v>0</v>
      </c>
    </row>
    <row r="583" spans="1:35" x14ac:dyDescent="0.2">
      <c r="A583">
        <v>140</v>
      </c>
      <c r="B583" t="s">
        <v>1398</v>
      </c>
      <c r="C583">
        <v>5</v>
      </c>
      <c r="D583" t="s">
        <v>1780</v>
      </c>
      <c r="E583" t="s">
        <v>20</v>
      </c>
      <c r="F583" t="s">
        <v>18</v>
      </c>
      <c r="G583" t="s">
        <v>39</v>
      </c>
      <c r="H583" t="s">
        <v>21</v>
      </c>
      <c r="I583">
        <v>7</v>
      </c>
      <c r="J583">
        <v>5</v>
      </c>
      <c r="K583" s="1">
        <v>50</v>
      </c>
      <c r="L583" t="s">
        <v>562</v>
      </c>
      <c r="M583" t="s">
        <v>161</v>
      </c>
      <c r="N583" t="s">
        <v>215</v>
      </c>
      <c r="O583" t="s">
        <v>1668</v>
      </c>
      <c r="P583" t="s">
        <v>1781</v>
      </c>
      <c r="Q583">
        <f t="shared" si="162"/>
        <v>2</v>
      </c>
      <c r="R583">
        <f t="shared" si="163"/>
        <v>4</v>
      </c>
      <c r="S583">
        <f t="shared" si="164"/>
        <v>5</v>
      </c>
      <c r="T583">
        <f t="shared" si="165"/>
        <v>1</v>
      </c>
      <c r="U583">
        <v>50</v>
      </c>
      <c r="V583">
        <f t="shared" si="166"/>
        <v>0</v>
      </c>
      <c r="W583">
        <f t="shared" si="167"/>
        <v>1</v>
      </c>
      <c r="X583">
        <f t="shared" si="168"/>
        <v>1</v>
      </c>
      <c r="Y583">
        <f t="shared" si="169"/>
        <v>0</v>
      </c>
      <c r="Z583">
        <f t="shared" si="170"/>
        <v>1</v>
      </c>
      <c r="AA583">
        <f t="shared" si="171"/>
        <v>1</v>
      </c>
      <c r="AB583">
        <f t="shared" si="172"/>
        <v>1</v>
      </c>
      <c r="AC583">
        <f t="shared" si="173"/>
        <v>1</v>
      </c>
      <c r="AD583">
        <f t="shared" si="174"/>
        <v>1</v>
      </c>
      <c r="AE583">
        <f t="shared" si="175"/>
        <v>0</v>
      </c>
      <c r="AF583">
        <f t="shared" si="176"/>
        <v>1</v>
      </c>
      <c r="AG583">
        <f t="shared" si="177"/>
        <v>0</v>
      </c>
      <c r="AH583">
        <f t="shared" si="178"/>
        <v>0</v>
      </c>
      <c r="AI583">
        <f t="shared" si="179"/>
        <v>0</v>
      </c>
    </row>
    <row r="584" spans="1:35" x14ac:dyDescent="0.2">
      <c r="A584">
        <v>141</v>
      </c>
      <c r="B584" t="s">
        <v>1398</v>
      </c>
      <c r="C584">
        <v>5</v>
      </c>
      <c r="D584" t="s">
        <v>1782</v>
      </c>
      <c r="E584" t="s">
        <v>20</v>
      </c>
      <c r="F584" t="s">
        <v>18</v>
      </c>
      <c r="G584" t="s">
        <v>18</v>
      </c>
      <c r="H584" t="s">
        <v>20</v>
      </c>
      <c r="I584">
        <v>4</v>
      </c>
      <c r="J584">
        <v>5</v>
      </c>
      <c r="K584" s="2">
        <v>1000000000</v>
      </c>
      <c r="L584" t="s">
        <v>79</v>
      </c>
      <c r="M584" t="s">
        <v>123</v>
      </c>
      <c r="N584" t="s">
        <v>43</v>
      </c>
      <c r="O584" t="s">
        <v>1783</v>
      </c>
      <c r="P584" t="s">
        <v>1784</v>
      </c>
      <c r="Q584">
        <f t="shared" si="162"/>
        <v>2</v>
      </c>
      <c r="R584">
        <f t="shared" si="163"/>
        <v>4</v>
      </c>
      <c r="S584">
        <f t="shared" si="164"/>
        <v>4</v>
      </c>
      <c r="T584">
        <f t="shared" si="165"/>
        <v>2</v>
      </c>
      <c r="U584">
        <v>1000000000</v>
      </c>
      <c r="V584">
        <f t="shared" si="166"/>
        <v>0</v>
      </c>
      <c r="W584">
        <f t="shared" si="167"/>
        <v>1</v>
      </c>
      <c r="X584">
        <f t="shared" si="168"/>
        <v>0</v>
      </c>
      <c r="Y584">
        <f t="shared" si="169"/>
        <v>0</v>
      </c>
      <c r="Z584">
        <f t="shared" si="170"/>
        <v>1</v>
      </c>
      <c r="AA584">
        <f t="shared" si="171"/>
        <v>0</v>
      </c>
      <c r="AB584">
        <f t="shared" si="172"/>
        <v>1</v>
      </c>
      <c r="AC584">
        <f t="shared" si="173"/>
        <v>1</v>
      </c>
      <c r="AD584">
        <f t="shared" si="174"/>
        <v>0</v>
      </c>
      <c r="AE584">
        <f t="shared" si="175"/>
        <v>0</v>
      </c>
      <c r="AF584">
        <f t="shared" si="176"/>
        <v>1</v>
      </c>
      <c r="AG584">
        <f t="shared" si="177"/>
        <v>1</v>
      </c>
      <c r="AH584">
        <f t="shared" si="178"/>
        <v>0</v>
      </c>
      <c r="AI584">
        <f t="shared" si="179"/>
        <v>0</v>
      </c>
    </row>
    <row r="585" spans="1:35" x14ac:dyDescent="0.2">
      <c r="A585">
        <v>142</v>
      </c>
      <c r="B585" t="s">
        <v>1398</v>
      </c>
      <c r="C585">
        <v>4</v>
      </c>
      <c r="D585" t="s">
        <v>1785</v>
      </c>
      <c r="E585" t="s">
        <v>20</v>
      </c>
      <c r="F585" t="s">
        <v>18</v>
      </c>
      <c r="G585" t="s">
        <v>18</v>
      </c>
      <c r="H585" t="s">
        <v>20</v>
      </c>
      <c r="I585">
        <v>3</v>
      </c>
      <c r="J585">
        <v>2</v>
      </c>
      <c r="K585">
        <v>25000</v>
      </c>
      <c r="L585" t="s">
        <v>70</v>
      </c>
      <c r="M585" t="s">
        <v>48</v>
      </c>
      <c r="N585" t="s">
        <v>84</v>
      </c>
      <c r="O585" t="s">
        <v>1786</v>
      </c>
      <c r="P585" t="s">
        <v>1787</v>
      </c>
      <c r="Q585">
        <f t="shared" si="162"/>
        <v>2</v>
      </c>
      <c r="R585">
        <f t="shared" si="163"/>
        <v>4</v>
      </c>
      <c r="S585">
        <f t="shared" si="164"/>
        <v>4</v>
      </c>
      <c r="T585">
        <f t="shared" si="165"/>
        <v>2</v>
      </c>
      <c r="U585">
        <v>25000</v>
      </c>
      <c r="V585">
        <f t="shared" si="166"/>
        <v>0</v>
      </c>
      <c r="W585">
        <f t="shared" si="167"/>
        <v>0</v>
      </c>
      <c r="X585">
        <f t="shared" si="168"/>
        <v>0</v>
      </c>
      <c r="Y585">
        <f t="shared" si="169"/>
        <v>1</v>
      </c>
      <c r="Z585">
        <f t="shared" si="170"/>
        <v>0</v>
      </c>
      <c r="AA585">
        <f t="shared" si="171"/>
        <v>1</v>
      </c>
      <c r="AB585">
        <f t="shared" si="172"/>
        <v>1</v>
      </c>
      <c r="AC585">
        <f t="shared" si="173"/>
        <v>1</v>
      </c>
      <c r="AD585">
        <f t="shared" si="174"/>
        <v>0</v>
      </c>
      <c r="AE585">
        <f t="shared" si="175"/>
        <v>0</v>
      </c>
      <c r="AF585">
        <f t="shared" si="176"/>
        <v>0</v>
      </c>
      <c r="AG585">
        <f t="shared" si="177"/>
        <v>1</v>
      </c>
      <c r="AH585">
        <f t="shared" si="178"/>
        <v>0</v>
      </c>
      <c r="AI585">
        <f t="shared" si="179"/>
        <v>0</v>
      </c>
    </row>
    <row r="586" spans="1:35" x14ac:dyDescent="0.2">
      <c r="A586">
        <v>143</v>
      </c>
      <c r="B586" t="s">
        <v>1398</v>
      </c>
      <c r="C586">
        <v>10</v>
      </c>
      <c r="D586" t="s">
        <v>1788</v>
      </c>
      <c r="E586" t="s">
        <v>21</v>
      </c>
      <c r="F586" t="s">
        <v>39</v>
      </c>
      <c r="G586" t="s">
        <v>39</v>
      </c>
      <c r="H586" t="s">
        <v>21</v>
      </c>
      <c r="I586">
        <v>3</v>
      </c>
      <c r="J586">
        <v>3</v>
      </c>
      <c r="K586">
        <v>50</v>
      </c>
      <c r="L586" t="s">
        <v>276</v>
      </c>
      <c r="M586" t="s">
        <v>468</v>
      </c>
      <c r="N586" t="s">
        <v>84</v>
      </c>
      <c r="O586" t="s">
        <v>1789</v>
      </c>
      <c r="P586" t="s">
        <v>1790</v>
      </c>
      <c r="Q586">
        <f t="shared" si="162"/>
        <v>1</v>
      </c>
      <c r="R586">
        <f t="shared" si="163"/>
        <v>5</v>
      </c>
      <c r="S586">
        <f t="shared" si="164"/>
        <v>5</v>
      </c>
      <c r="T586">
        <f t="shared" si="165"/>
        <v>1</v>
      </c>
      <c r="U586">
        <v>50</v>
      </c>
      <c r="V586">
        <f t="shared" si="166"/>
        <v>1</v>
      </c>
      <c r="W586">
        <f t="shared" si="167"/>
        <v>1</v>
      </c>
      <c r="X586">
        <f t="shared" si="168"/>
        <v>0</v>
      </c>
      <c r="Y586">
        <f t="shared" si="169"/>
        <v>1</v>
      </c>
      <c r="Z586">
        <f t="shared" si="170"/>
        <v>1</v>
      </c>
      <c r="AA586">
        <f t="shared" si="171"/>
        <v>1</v>
      </c>
      <c r="AB586">
        <f t="shared" si="172"/>
        <v>1</v>
      </c>
      <c r="AC586">
        <f t="shared" si="173"/>
        <v>1</v>
      </c>
      <c r="AD586">
        <f t="shared" si="174"/>
        <v>1</v>
      </c>
      <c r="AE586">
        <f t="shared" si="175"/>
        <v>1</v>
      </c>
      <c r="AF586">
        <f t="shared" si="176"/>
        <v>0</v>
      </c>
      <c r="AG586">
        <f t="shared" si="177"/>
        <v>1</v>
      </c>
      <c r="AH586">
        <f t="shared" si="178"/>
        <v>0</v>
      </c>
      <c r="AI586">
        <f t="shared" si="179"/>
        <v>0</v>
      </c>
    </row>
    <row r="587" spans="1:35" x14ac:dyDescent="0.2">
      <c r="A587">
        <v>144</v>
      </c>
      <c r="B587" t="s">
        <v>1398</v>
      </c>
      <c r="C587">
        <v>4</v>
      </c>
      <c r="D587" t="s">
        <v>1791</v>
      </c>
      <c r="E587" t="s">
        <v>21</v>
      </c>
      <c r="F587" t="s">
        <v>39</v>
      </c>
      <c r="G587" t="s">
        <v>39</v>
      </c>
      <c r="H587" t="s">
        <v>20</v>
      </c>
      <c r="I587">
        <v>1</v>
      </c>
      <c r="J587">
        <v>1</v>
      </c>
      <c r="K587" t="s">
        <v>1792</v>
      </c>
      <c r="L587" t="s">
        <v>47</v>
      </c>
      <c r="M587" t="s">
        <v>48</v>
      </c>
      <c r="N587" t="s">
        <v>215</v>
      </c>
      <c r="O587" t="s">
        <v>1793</v>
      </c>
      <c r="P587" t="s">
        <v>1794</v>
      </c>
      <c r="Q587">
        <f t="shared" si="162"/>
        <v>1</v>
      </c>
      <c r="R587">
        <f t="shared" si="163"/>
        <v>5</v>
      </c>
      <c r="S587">
        <f t="shared" si="164"/>
        <v>5</v>
      </c>
      <c r="T587">
        <f t="shared" si="165"/>
        <v>2</v>
      </c>
      <c r="U587">
        <v>1000</v>
      </c>
      <c r="V587">
        <f t="shared" si="166"/>
        <v>0</v>
      </c>
      <c r="W587">
        <f t="shared" si="167"/>
        <v>0</v>
      </c>
      <c r="X587">
        <f t="shared" si="168"/>
        <v>1</v>
      </c>
      <c r="Y587">
        <f t="shared" si="169"/>
        <v>0</v>
      </c>
      <c r="Z587">
        <f t="shared" si="170"/>
        <v>1</v>
      </c>
      <c r="AA587">
        <f t="shared" si="171"/>
        <v>1</v>
      </c>
      <c r="AB587">
        <f t="shared" si="172"/>
        <v>1</v>
      </c>
      <c r="AC587">
        <f t="shared" si="173"/>
        <v>1</v>
      </c>
      <c r="AD587">
        <f t="shared" si="174"/>
        <v>0</v>
      </c>
      <c r="AE587">
        <f t="shared" si="175"/>
        <v>0</v>
      </c>
      <c r="AF587">
        <f t="shared" si="176"/>
        <v>1</v>
      </c>
      <c r="AG587">
        <f t="shared" si="177"/>
        <v>0</v>
      </c>
      <c r="AH587">
        <f t="shared" si="178"/>
        <v>0</v>
      </c>
      <c r="AI587">
        <f t="shared" si="179"/>
        <v>0</v>
      </c>
    </row>
    <row r="588" spans="1:35" x14ac:dyDescent="0.2">
      <c r="A588">
        <v>145</v>
      </c>
      <c r="B588" t="s">
        <v>1398</v>
      </c>
      <c r="C588">
        <v>4</v>
      </c>
      <c r="D588" t="s">
        <v>1795</v>
      </c>
      <c r="E588" t="s">
        <v>20</v>
      </c>
      <c r="F588" t="s">
        <v>39</v>
      </c>
      <c r="G588" t="s">
        <v>39</v>
      </c>
      <c r="H588" t="s">
        <v>21</v>
      </c>
      <c r="I588">
        <v>9</v>
      </c>
      <c r="J588">
        <v>4</v>
      </c>
      <c r="K588">
        <v>700</v>
      </c>
      <c r="L588" t="s">
        <v>98</v>
      </c>
      <c r="M588" t="s">
        <v>23</v>
      </c>
      <c r="N588" t="s">
        <v>215</v>
      </c>
      <c r="O588" t="s">
        <v>1796</v>
      </c>
      <c r="P588" t="s">
        <v>1797</v>
      </c>
      <c r="Q588">
        <f t="shared" si="162"/>
        <v>2</v>
      </c>
      <c r="R588">
        <f t="shared" si="163"/>
        <v>5</v>
      </c>
      <c r="S588">
        <f t="shared" si="164"/>
        <v>5</v>
      </c>
      <c r="T588">
        <f t="shared" si="165"/>
        <v>1</v>
      </c>
      <c r="U588">
        <v>700</v>
      </c>
      <c r="V588">
        <f t="shared" si="166"/>
        <v>0</v>
      </c>
      <c r="W588">
        <f t="shared" si="167"/>
        <v>1</v>
      </c>
      <c r="X588">
        <f t="shared" si="168"/>
        <v>0</v>
      </c>
      <c r="Y588">
        <f t="shared" si="169"/>
        <v>0</v>
      </c>
      <c r="Z588">
        <f t="shared" si="170"/>
        <v>0</v>
      </c>
      <c r="AA588">
        <f t="shared" si="171"/>
        <v>1</v>
      </c>
      <c r="AB588">
        <f t="shared" si="172"/>
        <v>0</v>
      </c>
      <c r="AC588">
        <f t="shared" si="173"/>
        <v>0</v>
      </c>
      <c r="AD588">
        <f t="shared" si="174"/>
        <v>0</v>
      </c>
      <c r="AE588">
        <f t="shared" si="175"/>
        <v>0</v>
      </c>
      <c r="AF588">
        <f t="shared" si="176"/>
        <v>1</v>
      </c>
      <c r="AG588">
        <f t="shared" si="177"/>
        <v>0</v>
      </c>
      <c r="AH588">
        <f t="shared" si="178"/>
        <v>0</v>
      </c>
      <c r="AI588">
        <f t="shared" si="179"/>
        <v>0</v>
      </c>
    </row>
    <row r="589" spans="1:35" x14ac:dyDescent="0.2">
      <c r="A589">
        <v>146</v>
      </c>
      <c r="B589" t="s">
        <v>1398</v>
      </c>
      <c r="C589">
        <v>6</v>
      </c>
      <c r="D589" t="s">
        <v>1798</v>
      </c>
      <c r="E589" t="s">
        <v>21</v>
      </c>
      <c r="F589" t="s">
        <v>39</v>
      </c>
      <c r="G589" t="s">
        <v>39</v>
      </c>
      <c r="H589" t="s">
        <v>21</v>
      </c>
      <c r="I589">
        <v>5</v>
      </c>
      <c r="J589">
        <v>3</v>
      </c>
      <c r="K589">
        <v>40</v>
      </c>
      <c r="L589" t="s">
        <v>230</v>
      </c>
      <c r="M589" t="s">
        <v>154</v>
      </c>
      <c r="N589" t="s">
        <v>43</v>
      </c>
      <c r="O589" t="s">
        <v>1799</v>
      </c>
      <c r="P589" t="s">
        <v>1800</v>
      </c>
      <c r="Q589">
        <f t="shared" si="162"/>
        <v>1</v>
      </c>
      <c r="R589">
        <f t="shared" si="163"/>
        <v>5</v>
      </c>
      <c r="S589">
        <f t="shared" si="164"/>
        <v>5</v>
      </c>
      <c r="T589">
        <f t="shared" si="165"/>
        <v>1</v>
      </c>
      <c r="U589">
        <v>40</v>
      </c>
      <c r="V589">
        <f t="shared" si="166"/>
        <v>1</v>
      </c>
      <c r="W589">
        <f t="shared" si="167"/>
        <v>1</v>
      </c>
      <c r="X589">
        <f t="shared" si="168"/>
        <v>1</v>
      </c>
      <c r="Y589">
        <f t="shared" si="169"/>
        <v>1</v>
      </c>
      <c r="Z589">
        <f t="shared" si="170"/>
        <v>1</v>
      </c>
      <c r="AA589">
        <f t="shared" si="171"/>
        <v>1</v>
      </c>
      <c r="AB589">
        <f t="shared" si="172"/>
        <v>0</v>
      </c>
      <c r="AC589">
        <f t="shared" si="173"/>
        <v>1</v>
      </c>
      <c r="AD589">
        <f t="shared" si="174"/>
        <v>0</v>
      </c>
      <c r="AE589">
        <f t="shared" si="175"/>
        <v>0</v>
      </c>
      <c r="AF589">
        <f t="shared" si="176"/>
        <v>1</v>
      </c>
      <c r="AG589">
        <f t="shared" si="177"/>
        <v>1</v>
      </c>
      <c r="AH589">
        <f t="shared" si="178"/>
        <v>0</v>
      </c>
      <c r="AI589">
        <f t="shared" si="179"/>
        <v>0</v>
      </c>
    </row>
    <row r="590" spans="1:35" x14ac:dyDescent="0.2">
      <c r="A590">
        <v>147</v>
      </c>
      <c r="B590" t="s">
        <v>1398</v>
      </c>
      <c r="C590">
        <v>5</v>
      </c>
      <c r="D590" t="s">
        <v>1801</v>
      </c>
      <c r="E590" t="s">
        <v>21</v>
      </c>
      <c r="F590" t="s">
        <v>18</v>
      </c>
      <c r="G590" t="s">
        <v>18</v>
      </c>
      <c r="H590" t="s">
        <v>20</v>
      </c>
      <c r="I590">
        <v>1</v>
      </c>
      <c r="J590">
        <v>2</v>
      </c>
      <c r="K590">
        <v>1000</v>
      </c>
      <c r="L590" t="s">
        <v>128</v>
      </c>
      <c r="M590" t="s">
        <v>99</v>
      </c>
      <c r="N590" t="s">
        <v>215</v>
      </c>
      <c r="O590" t="s">
        <v>1802</v>
      </c>
      <c r="P590" t="s">
        <v>1803</v>
      </c>
      <c r="Q590">
        <f t="shared" si="162"/>
        <v>1</v>
      </c>
      <c r="R590">
        <f t="shared" si="163"/>
        <v>4</v>
      </c>
      <c r="S590">
        <f t="shared" si="164"/>
        <v>4</v>
      </c>
      <c r="T590">
        <f t="shared" si="165"/>
        <v>2</v>
      </c>
      <c r="U590">
        <v>1000</v>
      </c>
      <c r="V590">
        <f t="shared" si="166"/>
        <v>1</v>
      </c>
      <c r="W590">
        <f t="shared" si="167"/>
        <v>0</v>
      </c>
      <c r="X590">
        <f t="shared" si="168"/>
        <v>1</v>
      </c>
      <c r="Y590">
        <f t="shared" si="169"/>
        <v>0</v>
      </c>
      <c r="Z590">
        <f t="shared" si="170"/>
        <v>0</v>
      </c>
      <c r="AA590">
        <f t="shared" si="171"/>
        <v>1</v>
      </c>
      <c r="AB590">
        <f t="shared" si="172"/>
        <v>0</v>
      </c>
      <c r="AC590">
        <f t="shared" si="173"/>
        <v>0</v>
      </c>
      <c r="AD590">
        <f t="shared" si="174"/>
        <v>0</v>
      </c>
      <c r="AE590">
        <f t="shared" si="175"/>
        <v>1</v>
      </c>
      <c r="AF590">
        <f t="shared" si="176"/>
        <v>1</v>
      </c>
      <c r="AG590">
        <f t="shared" si="177"/>
        <v>0</v>
      </c>
      <c r="AH590">
        <f t="shared" si="178"/>
        <v>0</v>
      </c>
      <c r="AI590">
        <f t="shared" si="179"/>
        <v>0</v>
      </c>
    </row>
    <row r="591" spans="1:35" x14ac:dyDescent="0.2">
      <c r="A591">
        <v>148</v>
      </c>
      <c r="B591" t="s">
        <v>1398</v>
      </c>
      <c r="C591">
        <v>3</v>
      </c>
      <c r="D591" t="s">
        <v>1804</v>
      </c>
      <c r="E591" t="s">
        <v>20</v>
      </c>
      <c r="F591" t="s">
        <v>18</v>
      </c>
      <c r="G591" t="s">
        <v>18</v>
      </c>
      <c r="H591" t="s">
        <v>21</v>
      </c>
      <c r="I591">
        <v>2</v>
      </c>
      <c r="J591">
        <v>3</v>
      </c>
      <c r="K591">
        <v>50000</v>
      </c>
      <c r="L591" t="s">
        <v>70</v>
      </c>
      <c r="M591" t="s">
        <v>123</v>
      </c>
      <c r="N591" t="s">
        <v>215</v>
      </c>
      <c r="O591" t="s">
        <v>1805</v>
      </c>
      <c r="P591" t="s">
        <v>1806</v>
      </c>
      <c r="Q591">
        <f t="shared" si="162"/>
        <v>2</v>
      </c>
      <c r="R591">
        <f t="shared" si="163"/>
        <v>4</v>
      </c>
      <c r="S591">
        <f t="shared" si="164"/>
        <v>4</v>
      </c>
      <c r="T591">
        <f t="shared" si="165"/>
        <v>1</v>
      </c>
      <c r="U591">
        <v>50000</v>
      </c>
      <c r="V591">
        <f t="shared" si="166"/>
        <v>0</v>
      </c>
      <c r="W591">
        <f t="shared" si="167"/>
        <v>0</v>
      </c>
      <c r="X591">
        <f t="shared" si="168"/>
        <v>0</v>
      </c>
      <c r="Y591">
        <f t="shared" si="169"/>
        <v>1</v>
      </c>
      <c r="Z591">
        <f t="shared" si="170"/>
        <v>0</v>
      </c>
      <c r="AA591">
        <f t="shared" si="171"/>
        <v>0</v>
      </c>
      <c r="AB591">
        <f t="shared" si="172"/>
        <v>1</v>
      </c>
      <c r="AC591">
        <f t="shared" si="173"/>
        <v>1</v>
      </c>
      <c r="AD591">
        <f t="shared" si="174"/>
        <v>0</v>
      </c>
      <c r="AE591">
        <f t="shared" si="175"/>
        <v>0</v>
      </c>
      <c r="AF591">
        <f t="shared" si="176"/>
        <v>1</v>
      </c>
      <c r="AG591">
        <f t="shared" si="177"/>
        <v>0</v>
      </c>
      <c r="AH591">
        <f t="shared" si="178"/>
        <v>0</v>
      </c>
      <c r="AI591">
        <f t="shared" si="179"/>
        <v>0</v>
      </c>
    </row>
    <row r="592" spans="1:35" x14ac:dyDescent="0.2">
      <c r="A592">
        <v>149</v>
      </c>
      <c r="B592" t="s">
        <v>1398</v>
      </c>
      <c r="C592">
        <v>4</v>
      </c>
      <c r="D592" t="s">
        <v>1807</v>
      </c>
      <c r="E592" t="s">
        <v>21</v>
      </c>
      <c r="F592" t="s">
        <v>39</v>
      </c>
      <c r="G592" t="s">
        <v>39</v>
      </c>
      <c r="H592" t="s">
        <v>21</v>
      </c>
      <c r="I592">
        <v>1</v>
      </c>
      <c r="J592">
        <v>1</v>
      </c>
      <c r="K592">
        <v>30</v>
      </c>
      <c r="L592" t="s">
        <v>714</v>
      </c>
      <c r="M592" t="s">
        <v>135</v>
      </c>
      <c r="N592" t="s">
        <v>43</v>
      </c>
      <c r="O592" t="s">
        <v>1105</v>
      </c>
      <c r="P592" t="s">
        <v>1808</v>
      </c>
      <c r="Q592">
        <f t="shared" si="162"/>
        <v>1</v>
      </c>
      <c r="R592">
        <f t="shared" si="163"/>
        <v>5</v>
      </c>
      <c r="S592">
        <f t="shared" si="164"/>
        <v>5</v>
      </c>
      <c r="T592">
        <f t="shared" si="165"/>
        <v>1</v>
      </c>
      <c r="U592">
        <v>30</v>
      </c>
      <c r="V592">
        <f t="shared" si="166"/>
        <v>0</v>
      </c>
      <c r="W592">
        <f t="shared" si="167"/>
        <v>0</v>
      </c>
      <c r="X592">
        <f t="shared" si="168"/>
        <v>1</v>
      </c>
      <c r="Y592">
        <f t="shared" si="169"/>
        <v>1</v>
      </c>
      <c r="Z592">
        <f t="shared" si="170"/>
        <v>1</v>
      </c>
      <c r="AA592">
        <f t="shared" si="171"/>
        <v>1</v>
      </c>
      <c r="AB592">
        <f t="shared" si="172"/>
        <v>1</v>
      </c>
      <c r="AC592">
        <f t="shared" si="173"/>
        <v>0</v>
      </c>
      <c r="AD592">
        <f t="shared" si="174"/>
        <v>0</v>
      </c>
      <c r="AE592">
        <f t="shared" si="175"/>
        <v>0</v>
      </c>
      <c r="AF592">
        <f t="shared" si="176"/>
        <v>1</v>
      </c>
      <c r="AG592">
        <f t="shared" si="177"/>
        <v>1</v>
      </c>
      <c r="AH592">
        <f t="shared" si="178"/>
        <v>0</v>
      </c>
      <c r="AI592">
        <f t="shared" si="179"/>
        <v>0</v>
      </c>
    </row>
    <row r="593" spans="1:35" x14ac:dyDescent="0.2">
      <c r="A593">
        <v>150</v>
      </c>
      <c r="B593" t="s">
        <v>1398</v>
      </c>
      <c r="C593">
        <v>5</v>
      </c>
      <c r="D593" t="s">
        <v>1809</v>
      </c>
      <c r="E593" t="s">
        <v>21</v>
      </c>
      <c r="F593" t="s">
        <v>39</v>
      </c>
      <c r="G593" t="s">
        <v>39</v>
      </c>
      <c r="H593" t="s">
        <v>21</v>
      </c>
      <c r="I593">
        <v>3</v>
      </c>
      <c r="J593">
        <v>2</v>
      </c>
      <c r="K593">
        <v>20000</v>
      </c>
      <c r="L593" t="s">
        <v>122</v>
      </c>
      <c r="M593" t="s">
        <v>468</v>
      </c>
      <c r="N593" t="s">
        <v>215</v>
      </c>
      <c r="O593" t="s">
        <v>1810</v>
      </c>
      <c r="P593" t="s">
        <v>1811</v>
      </c>
      <c r="Q593">
        <f t="shared" si="162"/>
        <v>1</v>
      </c>
      <c r="R593">
        <f t="shared" si="163"/>
        <v>5</v>
      </c>
      <c r="S593">
        <f t="shared" si="164"/>
        <v>5</v>
      </c>
      <c r="T593">
        <f t="shared" si="165"/>
        <v>1</v>
      </c>
      <c r="U593">
        <v>20000</v>
      </c>
      <c r="V593">
        <f t="shared" si="166"/>
        <v>1</v>
      </c>
      <c r="W593">
        <f t="shared" si="167"/>
        <v>0</v>
      </c>
      <c r="X593">
        <f t="shared" si="168"/>
        <v>1</v>
      </c>
      <c r="Y593">
        <f t="shared" si="169"/>
        <v>0</v>
      </c>
      <c r="Z593">
        <f t="shared" si="170"/>
        <v>1</v>
      </c>
      <c r="AA593">
        <f t="shared" si="171"/>
        <v>1</v>
      </c>
      <c r="AB593">
        <f t="shared" si="172"/>
        <v>1</v>
      </c>
      <c r="AC593">
        <f t="shared" si="173"/>
        <v>1</v>
      </c>
      <c r="AD593">
        <f t="shared" si="174"/>
        <v>1</v>
      </c>
      <c r="AE593">
        <f t="shared" si="175"/>
        <v>1</v>
      </c>
      <c r="AF593">
        <f t="shared" si="176"/>
        <v>1</v>
      </c>
      <c r="AG593">
        <f t="shared" si="177"/>
        <v>0</v>
      </c>
      <c r="AH593">
        <f t="shared" si="178"/>
        <v>0</v>
      </c>
      <c r="AI593">
        <f t="shared" si="179"/>
        <v>0</v>
      </c>
    </row>
    <row r="594" spans="1:35" x14ac:dyDescent="0.2">
      <c r="A594">
        <v>151</v>
      </c>
      <c r="B594" t="s">
        <v>1398</v>
      </c>
      <c r="C594">
        <v>8</v>
      </c>
      <c r="D594" t="s">
        <v>1812</v>
      </c>
      <c r="E594" t="s">
        <v>21</v>
      </c>
      <c r="F594" t="s">
        <v>39</v>
      </c>
      <c r="G594" t="s">
        <v>18</v>
      </c>
      <c r="H594" t="s">
        <v>21</v>
      </c>
      <c r="I594">
        <v>2</v>
      </c>
      <c r="J594">
        <v>1</v>
      </c>
      <c r="K594">
        <v>50</v>
      </c>
      <c r="L594" t="s">
        <v>230</v>
      </c>
      <c r="M594" t="s">
        <v>123</v>
      </c>
      <c r="N594" t="s">
        <v>215</v>
      </c>
      <c r="O594" t="s">
        <v>1813</v>
      </c>
      <c r="P594" t="s">
        <v>1814</v>
      </c>
      <c r="Q594">
        <f t="shared" si="162"/>
        <v>1</v>
      </c>
      <c r="R594">
        <f t="shared" si="163"/>
        <v>5</v>
      </c>
      <c r="S594">
        <f t="shared" si="164"/>
        <v>4</v>
      </c>
      <c r="T594">
        <f t="shared" si="165"/>
        <v>1</v>
      </c>
      <c r="U594">
        <v>50</v>
      </c>
      <c r="V594">
        <f t="shared" si="166"/>
        <v>1</v>
      </c>
      <c r="W594">
        <f t="shared" si="167"/>
        <v>1</v>
      </c>
      <c r="X594">
        <f t="shared" si="168"/>
        <v>1</v>
      </c>
      <c r="Y594">
        <f t="shared" si="169"/>
        <v>1</v>
      </c>
      <c r="Z594">
        <f t="shared" si="170"/>
        <v>1</v>
      </c>
      <c r="AA594">
        <f t="shared" si="171"/>
        <v>0</v>
      </c>
      <c r="AB594">
        <f t="shared" si="172"/>
        <v>1</v>
      </c>
      <c r="AC594">
        <f t="shared" si="173"/>
        <v>1</v>
      </c>
      <c r="AD594">
        <f t="shared" si="174"/>
        <v>0</v>
      </c>
      <c r="AE594">
        <f t="shared" si="175"/>
        <v>0</v>
      </c>
      <c r="AF594">
        <f t="shared" si="176"/>
        <v>1</v>
      </c>
      <c r="AG594">
        <f t="shared" si="177"/>
        <v>0</v>
      </c>
      <c r="AH594">
        <f t="shared" si="178"/>
        <v>0</v>
      </c>
      <c r="AI594">
        <f t="shared" si="179"/>
        <v>0</v>
      </c>
    </row>
    <row r="595" spans="1:35" x14ac:dyDescent="0.2">
      <c r="A595">
        <v>152</v>
      </c>
      <c r="B595" t="s">
        <v>1398</v>
      </c>
      <c r="C595">
        <v>1</v>
      </c>
      <c r="D595" t="s">
        <v>1815</v>
      </c>
      <c r="E595" t="s">
        <v>21</v>
      </c>
      <c r="F595" t="s">
        <v>21</v>
      </c>
      <c r="G595" t="s">
        <v>18</v>
      </c>
      <c r="H595" t="s">
        <v>21</v>
      </c>
      <c r="I595">
        <v>3</v>
      </c>
      <c r="J595">
        <v>1</v>
      </c>
      <c r="K595">
        <v>1</v>
      </c>
      <c r="L595" t="s">
        <v>22</v>
      </c>
      <c r="M595" t="s">
        <v>23</v>
      </c>
      <c r="N595" t="s">
        <v>43</v>
      </c>
      <c r="O595" t="s">
        <v>1816</v>
      </c>
      <c r="P595" t="s">
        <v>1817</v>
      </c>
      <c r="Q595">
        <f t="shared" si="162"/>
        <v>1</v>
      </c>
      <c r="R595">
        <f t="shared" si="163"/>
        <v>1</v>
      </c>
      <c r="S595">
        <f t="shared" si="164"/>
        <v>4</v>
      </c>
      <c r="T595">
        <f t="shared" si="165"/>
        <v>1</v>
      </c>
      <c r="U595">
        <v>1</v>
      </c>
      <c r="V595">
        <f t="shared" si="166"/>
        <v>1</v>
      </c>
      <c r="W595">
        <f t="shared" si="167"/>
        <v>0</v>
      </c>
      <c r="X595">
        <f t="shared" si="168"/>
        <v>0</v>
      </c>
      <c r="Y595">
        <f t="shared" si="169"/>
        <v>0</v>
      </c>
      <c r="Z595">
        <f t="shared" si="170"/>
        <v>0</v>
      </c>
      <c r="AA595">
        <f t="shared" si="171"/>
        <v>1</v>
      </c>
      <c r="AB595">
        <f t="shared" si="172"/>
        <v>0</v>
      </c>
      <c r="AC595">
        <f t="shared" si="173"/>
        <v>0</v>
      </c>
      <c r="AD595">
        <f t="shared" si="174"/>
        <v>0</v>
      </c>
      <c r="AE595">
        <f t="shared" si="175"/>
        <v>0</v>
      </c>
      <c r="AF595">
        <f t="shared" si="176"/>
        <v>1</v>
      </c>
      <c r="AG595">
        <f t="shared" si="177"/>
        <v>1</v>
      </c>
      <c r="AH595">
        <f t="shared" si="178"/>
        <v>0</v>
      </c>
      <c r="AI595">
        <f t="shared" si="179"/>
        <v>0</v>
      </c>
    </row>
    <row r="596" spans="1:35" x14ac:dyDescent="0.2">
      <c r="A596">
        <v>153</v>
      </c>
      <c r="B596" t="s">
        <v>1398</v>
      </c>
      <c r="C596">
        <v>6</v>
      </c>
      <c r="D596" t="s">
        <v>1818</v>
      </c>
      <c r="E596" t="s">
        <v>21</v>
      </c>
      <c r="F596" t="s">
        <v>39</v>
      </c>
      <c r="G596" t="s">
        <v>18</v>
      </c>
      <c r="H596" t="s">
        <v>21</v>
      </c>
      <c r="I596">
        <v>2</v>
      </c>
      <c r="J596">
        <v>3</v>
      </c>
      <c r="K596">
        <v>100</v>
      </c>
      <c r="L596" t="s">
        <v>41</v>
      </c>
      <c r="M596" t="s">
        <v>42</v>
      </c>
      <c r="N596" t="s">
        <v>215</v>
      </c>
      <c r="O596" t="s">
        <v>1819</v>
      </c>
      <c r="P596" t="s">
        <v>1820</v>
      </c>
      <c r="Q596">
        <f t="shared" si="162"/>
        <v>1</v>
      </c>
      <c r="R596">
        <f t="shared" si="163"/>
        <v>5</v>
      </c>
      <c r="S596">
        <f t="shared" si="164"/>
        <v>4</v>
      </c>
      <c r="T596">
        <f t="shared" si="165"/>
        <v>1</v>
      </c>
      <c r="U596">
        <v>100</v>
      </c>
      <c r="V596">
        <f t="shared" si="166"/>
        <v>0</v>
      </c>
      <c r="W596">
        <f t="shared" si="167"/>
        <v>0</v>
      </c>
      <c r="X596">
        <f t="shared" si="168"/>
        <v>0</v>
      </c>
      <c r="Y596">
        <f t="shared" si="169"/>
        <v>0</v>
      </c>
      <c r="Z596">
        <f t="shared" si="170"/>
        <v>1</v>
      </c>
      <c r="AA596">
        <f t="shared" si="171"/>
        <v>0</v>
      </c>
      <c r="AB596">
        <f t="shared" si="172"/>
        <v>1</v>
      </c>
      <c r="AC596">
        <f t="shared" si="173"/>
        <v>0</v>
      </c>
      <c r="AD596">
        <f t="shared" si="174"/>
        <v>0</v>
      </c>
      <c r="AE596">
        <f t="shared" si="175"/>
        <v>0</v>
      </c>
      <c r="AF596">
        <f t="shared" si="176"/>
        <v>1</v>
      </c>
      <c r="AG596">
        <f t="shared" si="177"/>
        <v>0</v>
      </c>
      <c r="AH596">
        <f t="shared" si="178"/>
        <v>0</v>
      </c>
      <c r="AI596">
        <f t="shared" si="179"/>
        <v>0</v>
      </c>
    </row>
    <row r="597" spans="1:35" x14ac:dyDescent="0.2">
      <c r="A597">
        <v>154</v>
      </c>
      <c r="B597" t="s">
        <v>1398</v>
      </c>
      <c r="C597">
        <v>9</v>
      </c>
      <c r="D597" t="s">
        <v>1821</v>
      </c>
      <c r="E597" t="s">
        <v>21</v>
      </c>
      <c r="F597" t="s">
        <v>39</v>
      </c>
      <c r="G597" t="s">
        <v>18</v>
      </c>
      <c r="H597" t="s">
        <v>21</v>
      </c>
      <c r="I597">
        <v>1</v>
      </c>
      <c r="J597">
        <v>2</v>
      </c>
      <c r="K597">
        <v>200</v>
      </c>
      <c r="L597" t="s">
        <v>41</v>
      </c>
      <c r="M597" t="s">
        <v>48</v>
      </c>
      <c r="N597" t="s">
        <v>84</v>
      </c>
      <c r="O597" t="s">
        <v>1822</v>
      </c>
      <c r="P597" t="s">
        <v>1823</v>
      </c>
      <c r="Q597">
        <f t="shared" si="162"/>
        <v>1</v>
      </c>
      <c r="R597">
        <f t="shared" si="163"/>
        <v>5</v>
      </c>
      <c r="S597">
        <f t="shared" si="164"/>
        <v>4</v>
      </c>
      <c r="T597">
        <f t="shared" si="165"/>
        <v>1</v>
      </c>
      <c r="U597">
        <v>200</v>
      </c>
      <c r="V597">
        <f t="shared" si="166"/>
        <v>0</v>
      </c>
      <c r="W597">
        <f t="shared" si="167"/>
        <v>0</v>
      </c>
      <c r="X597">
        <f t="shared" si="168"/>
        <v>0</v>
      </c>
      <c r="Y597">
        <f t="shared" si="169"/>
        <v>0</v>
      </c>
      <c r="Z597">
        <f t="shared" si="170"/>
        <v>1</v>
      </c>
      <c r="AA597">
        <f t="shared" si="171"/>
        <v>1</v>
      </c>
      <c r="AB597">
        <f t="shared" si="172"/>
        <v>1</v>
      </c>
      <c r="AC597">
        <f t="shared" si="173"/>
        <v>1</v>
      </c>
      <c r="AD597">
        <f t="shared" si="174"/>
        <v>0</v>
      </c>
      <c r="AE597">
        <f t="shared" si="175"/>
        <v>0</v>
      </c>
      <c r="AF597">
        <f t="shared" si="176"/>
        <v>0</v>
      </c>
      <c r="AG597">
        <f t="shared" si="177"/>
        <v>1</v>
      </c>
      <c r="AH597">
        <f t="shared" si="178"/>
        <v>0</v>
      </c>
      <c r="AI597">
        <f t="shared" si="179"/>
        <v>0</v>
      </c>
    </row>
    <row r="598" spans="1:35" x14ac:dyDescent="0.2">
      <c r="A598">
        <v>155</v>
      </c>
      <c r="B598" t="s">
        <v>1398</v>
      </c>
      <c r="C598">
        <v>8</v>
      </c>
      <c r="D598" t="s">
        <v>1824</v>
      </c>
      <c r="E598" t="s">
        <v>20</v>
      </c>
      <c r="F598" t="s">
        <v>18</v>
      </c>
      <c r="G598" t="s">
        <v>39</v>
      </c>
      <c r="H598" t="s">
        <v>21</v>
      </c>
      <c r="I598">
        <v>3</v>
      </c>
      <c r="J598">
        <v>2</v>
      </c>
      <c r="K598">
        <v>20000</v>
      </c>
      <c r="L598" t="s">
        <v>22</v>
      </c>
      <c r="M598" t="s">
        <v>115</v>
      </c>
      <c r="N598" t="s">
        <v>215</v>
      </c>
      <c r="O598" t="s">
        <v>1240</v>
      </c>
      <c r="P598" t="s">
        <v>1825</v>
      </c>
      <c r="Q598">
        <f t="shared" si="162"/>
        <v>2</v>
      </c>
      <c r="R598">
        <f t="shared" si="163"/>
        <v>4</v>
      </c>
      <c r="S598">
        <f t="shared" si="164"/>
        <v>5</v>
      </c>
      <c r="T598">
        <f t="shared" si="165"/>
        <v>1</v>
      </c>
      <c r="U598">
        <v>20000</v>
      </c>
      <c r="V598">
        <f t="shared" si="166"/>
        <v>1</v>
      </c>
      <c r="W598">
        <f t="shared" si="167"/>
        <v>0</v>
      </c>
      <c r="X598">
        <f t="shared" si="168"/>
        <v>0</v>
      </c>
      <c r="Y598">
        <f t="shared" si="169"/>
        <v>0</v>
      </c>
      <c r="Z598">
        <f t="shared" si="170"/>
        <v>0</v>
      </c>
      <c r="AA598">
        <f t="shared" si="171"/>
        <v>0</v>
      </c>
      <c r="AB598">
        <f t="shared" si="172"/>
        <v>0</v>
      </c>
      <c r="AC598">
        <f t="shared" si="173"/>
        <v>1</v>
      </c>
      <c r="AD598">
        <f t="shared" si="174"/>
        <v>0</v>
      </c>
      <c r="AE598">
        <f t="shared" si="175"/>
        <v>0</v>
      </c>
      <c r="AF598">
        <f t="shared" si="176"/>
        <v>1</v>
      </c>
      <c r="AG598">
        <f t="shared" si="177"/>
        <v>0</v>
      </c>
      <c r="AH598">
        <f t="shared" si="178"/>
        <v>0</v>
      </c>
      <c r="AI598">
        <f t="shared" si="179"/>
        <v>0</v>
      </c>
    </row>
    <row r="599" spans="1:35" x14ac:dyDescent="0.2">
      <c r="A599">
        <v>156</v>
      </c>
      <c r="B599" t="s">
        <v>1398</v>
      </c>
      <c r="C599">
        <v>7</v>
      </c>
      <c r="D599" t="s">
        <v>1826</v>
      </c>
      <c r="E599" t="s">
        <v>21</v>
      </c>
      <c r="F599" t="s">
        <v>39</v>
      </c>
      <c r="G599" t="s">
        <v>39</v>
      </c>
      <c r="H599" t="s">
        <v>21</v>
      </c>
      <c r="I599">
        <v>4</v>
      </c>
      <c r="J599">
        <v>3</v>
      </c>
      <c r="K599" s="2">
        <v>500000</v>
      </c>
      <c r="L599" t="s">
        <v>714</v>
      </c>
      <c r="M599" t="s">
        <v>468</v>
      </c>
      <c r="N599" t="s">
        <v>43</v>
      </c>
      <c r="O599" t="s">
        <v>1827</v>
      </c>
      <c r="P599" t="s">
        <v>1828</v>
      </c>
      <c r="Q599">
        <f t="shared" si="162"/>
        <v>1</v>
      </c>
      <c r="R599">
        <f t="shared" si="163"/>
        <v>5</v>
      </c>
      <c r="S599">
        <f t="shared" si="164"/>
        <v>5</v>
      </c>
      <c r="T599">
        <f t="shared" si="165"/>
        <v>1</v>
      </c>
      <c r="U599">
        <v>500000</v>
      </c>
      <c r="V599">
        <f t="shared" si="166"/>
        <v>0</v>
      </c>
      <c r="W599">
        <f t="shared" si="167"/>
        <v>0</v>
      </c>
      <c r="X599">
        <f t="shared" si="168"/>
        <v>1</v>
      </c>
      <c r="Y599">
        <f t="shared" si="169"/>
        <v>1</v>
      </c>
      <c r="Z599">
        <f t="shared" si="170"/>
        <v>1</v>
      </c>
      <c r="AA599">
        <f t="shared" si="171"/>
        <v>1</v>
      </c>
      <c r="AB599">
        <f t="shared" si="172"/>
        <v>1</v>
      </c>
      <c r="AC599">
        <f t="shared" si="173"/>
        <v>1</v>
      </c>
      <c r="AD599">
        <f t="shared" si="174"/>
        <v>1</v>
      </c>
      <c r="AE599">
        <f t="shared" si="175"/>
        <v>1</v>
      </c>
      <c r="AF599">
        <f t="shared" si="176"/>
        <v>1</v>
      </c>
      <c r="AG599">
        <f t="shared" si="177"/>
        <v>1</v>
      </c>
      <c r="AH599">
        <f t="shared" si="178"/>
        <v>0</v>
      </c>
      <c r="AI599">
        <f t="shared" si="179"/>
        <v>0</v>
      </c>
    </row>
    <row r="600" spans="1:35" x14ac:dyDescent="0.2">
      <c r="A600">
        <v>157</v>
      </c>
      <c r="B600" t="s">
        <v>1398</v>
      </c>
      <c r="C600">
        <v>10</v>
      </c>
      <c r="D600" t="s">
        <v>1829</v>
      </c>
      <c r="E600" t="s">
        <v>19</v>
      </c>
      <c r="F600" t="s">
        <v>39</v>
      </c>
      <c r="G600" t="s">
        <v>39</v>
      </c>
      <c r="H600" t="s">
        <v>21</v>
      </c>
      <c r="I600">
        <v>2</v>
      </c>
      <c r="J600">
        <v>1</v>
      </c>
      <c r="K600">
        <v>200</v>
      </c>
      <c r="L600" t="s">
        <v>34</v>
      </c>
      <c r="M600" t="s">
        <v>48</v>
      </c>
      <c r="N600" t="s">
        <v>43</v>
      </c>
      <c r="O600" t="s">
        <v>1830</v>
      </c>
      <c r="P600" t="s">
        <v>1831</v>
      </c>
      <c r="Q600">
        <f t="shared" si="162"/>
        <v>3</v>
      </c>
      <c r="R600">
        <f t="shared" si="163"/>
        <v>5</v>
      </c>
      <c r="S600">
        <f t="shared" si="164"/>
        <v>5</v>
      </c>
      <c r="T600">
        <f t="shared" si="165"/>
        <v>1</v>
      </c>
      <c r="U600">
        <v>200</v>
      </c>
      <c r="V600">
        <f t="shared" si="166"/>
        <v>1</v>
      </c>
      <c r="W600">
        <f t="shared" si="167"/>
        <v>0</v>
      </c>
      <c r="X600">
        <f t="shared" si="168"/>
        <v>0</v>
      </c>
      <c r="Y600">
        <f t="shared" si="169"/>
        <v>1</v>
      </c>
      <c r="Z600">
        <f t="shared" si="170"/>
        <v>0</v>
      </c>
      <c r="AA600">
        <f t="shared" si="171"/>
        <v>1</v>
      </c>
      <c r="AB600">
        <f t="shared" si="172"/>
        <v>1</v>
      </c>
      <c r="AC600">
        <f t="shared" si="173"/>
        <v>1</v>
      </c>
      <c r="AD600">
        <f t="shared" si="174"/>
        <v>0</v>
      </c>
      <c r="AE600">
        <f t="shared" si="175"/>
        <v>0</v>
      </c>
      <c r="AF600">
        <f t="shared" si="176"/>
        <v>1</v>
      </c>
      <c r="AG600">
        <f t="shared" si="177"/>
        <v>1</v>
      </c>
      <c r="AH600">
        <f t="shared" si="178"/>
        <v>0</v>
      </c>
      <c r="AI600">
        <f t="shared" si="179"/>
        <v>0</v>
      </c>
    </row>
    <row r="601" spans="1:35" x14ac:dyDescent="0.2">
      <c r="A601">
        <v>158</v>
      </c>
      <c r="B601" t="s">
        <v>1398</v>
      </c>
      <c r="C601">
        <v>8</v>
      </c>
      <c r="D601" t="s">
        <v>1832</v>
      </c>
      <c r="E601" t="s">
        <v>21</v>
      </c>
      <c r="F601" t="s">
        <v>39</v>
      </c>
      <c r="G601" t="s">
        <v>18</v>
      </c>
      <c r="H601" t="s">
        <v>21</v>
      </c>
      <c r="I601">
        <v>2</v>
      </c>
      <c r="J601">
        <v>2</v>
      </c>
      <c r="K601">
        <v>300</v>
      </c>
      <c r="L601" t="s">
        <v>79</v>
      </c>
      <c r="M601" t="s">
        <v>123</v>
      </c>
      <c r="N601" t="s">
        <v>43</v>
      </c>
      <c r="O601" t="s">
        <v>1833</v>
      </c>
      <c r="P601" t="s">
        <v>1834</v>
      </c>
      <c r="Q601">
        <f t="shared" si="162"/>
        <v>1</v>
      </c>
      <c r="R601">
        <f t="shared" si="163"/>
        <v>5</v>
      </c>
      <c r="S601">
        <f t="shared" si="164"/>
        <v>4</v>
      </c>
      <c r="T601">
        <f t="shared" si="165"/>
        <v>1</v>
      </c>
      <c r="U601">
        <v>300</v>
      </c>
      <c r="V601">
        <f t="shared" si="166"/>
        <v>0</v>
      </c>
      <c r="W601">
        <f t="shared" si="167"/>
        <v>1</v>
      </c>
      <c r="X601">
        <f t="shared" si="168"/>
        <v>0</v>
      </c>
      <c r="Y601">
        <f t="shared" si="169"/>
        <v>0</v>
      </c>
      <c r="Z601">
        <f t="shared" si="170"/>
        <v>1</v>
      </c>
      <c r="AA601">
        <f t="shared" si="171"/>
        <v>0</v>
      </c>
      <c r="AB601">
        <f t="shared" si="172"/>
        <v>1</v>
      </c>
      <c r="AC601">
        <f t="shared" si="173"/>
        <v>1</v>
      </c>
      <c r="AD601">
        <f t="shared" si="174"/>
        <v>0</v>
      </c>
      <c r="AE601">
        <f t="shared" si="175"/>
        <v>0</v>
      </c>
      <c r="AF601">
        <f t="shared" si="176"/>
        <v>1</v>
      </c>
      <c r="AG601">
        <f t="shared" si="177"/>
        <v>1</v>
      </c>
      <c r="AH601">
        <f t="shared" si="178"/>
        <v>0</v>
      </c>
      <c r="AI601">
        <f t="shared" si="179"/>
        <v>0</v>
      </c>
    </row>
    <row r="602" spans="1:35" x14ac:dyDescent="0.2">
      <c r="A602">
        <v>159</v>
      </c>
      <c r="B602" t="s">
        <v>1398</v>
      </c>
      <c r="C602">
        <v>8</v>
      </c>
      <c r="D602" t="s">
        <v>1835</v>
      </c>
      <c r="E602" t="s">
        <v>21</v>
      </c>
      <c r="F602" t="s">
        <v>18</v>
      </c>
      <c r="G602" t="s">
        <v>39</v>
      </c>
      <c r="H602" t="s">
        <v>21</v>
      </c>
      <c r="I602">
        <v>1</v>
      </c>
      <c r="J602">
        <v>2</v>
      </c>
      <c r="K602" t="s">
        <v>1836</v>
      </c>
      <c r="L602" t="s">
        <v>601</v>
      </c>
      <c r="M602" t="s">
        <v>468</v>
      </c>
      <c r="N602" t="s">
        <v>84</v>
      </c>
      <c r="O602" t="s">
        <v>1837</v>
      </c>
      <c r="P602" t="s">
        <v>1838</v>
      </c>
      <c r="Q602">
        <f t="shared" si="162"/>
        <v>1</v>
      </c>
      <c r="R602">
        <f t="shared" si="163"/>
        <v>4</v>
      </c>
      <c r="S602">
        <f t="shared" si="164"/>
        <v>5</v>
      </c>
      <c r="T602">
        <f t="shared" si="165"/>
        <v>1</v>
      </c>
      <c r="U602">
        <v>40</v>
      </c>
      <c r="V602">
        <f t="shared" si="166"/>
        <v>0</v>
      </c>
      <c r="W602">
        <f t="shared" si="167"/>
        <v>1</v>
      </c>
      <c r="X602">
        <f t="shared" si="168"/>
        <v>0</v>
      </c>
      <c r="Y602">
        <f t="shared" si="169"/>
        <v>1</v>
      </c>
      <c r="Z602">
        <f t="shared" si="170"/>
        <v>1</v>
      </c>
      <c r="AA602">
        <f t="shared" si="171"/>
        <v>1</v>
      </c>
      <c r="AB602">
        <f t="shared" si="172"/>
        <v>1</v>
      </c>
      <c r="AC602">
        <f t="shared" si="173"/>
        <v>1</v>
      </c>
      <c r="AD602">
        <f t="shared" si="174"/>
        <v>1</v>
      </c>
      <c r="AE602">
        <f t="shared" si="175"/>
        <v>1</v>
      </c>
      <c r="AF602">
        <f t="shared" si="176"/>
        <v>0</v>
      </c>
      <c r="AG602">
        <f t="shared" si="177"/>
        <v>1</v>
      </c>
      <c r="AH602">
        <f t="shared" si="178"/>
        <v>0</v>
      </c>
      <c r="AI602">
        <f t="shared" si="179"/>
        <v>0</v>
      </c>
    </row>
    <row r="603" spans="1:35" x14ac:dyDescent="0.2">
      <c r="A603">
        <v>160</v>
      </c>
      <c r="B603" t="s">
        <v>1398</v>
      </c>
      <c r="C603">
        <v>3</v>
      </c>
      <c r="D603" t="s">
        <v>1839</v>
      </c>
      <c r="E603" t="s">
        <v>21</v>
      </c>
      <c r="F603" t="s">
        <v>18</v>
      </c>
      <c r="G603" t="s">
        <v>39</v>
      </c>
      <c r="H603" t="s">
        <v>21</v>
      </c>
      <c r="I603">
        <v>1</v>
      </c>
      <c r="J603">
        <v>3</v>
      </c>
      <c r="K603">
        <v>500</v>
      </c>
      <c r="L603" t="s">
        <v>1477</v>
      </c>
      <c r="M603" t="s">
        <v>1161</v>
      </c>
      <c r="N603" t="s">
        <v>43</v>
      </c>
      <c r="O603" t="s">
        <v>1840</v>
      </c>
      <c r="P603" t="s">
        <v>1841</v>
      </c>
      <c r="Q603">
        <f t="shared" si="162"/>
        <v>1</v>
      </c>
      <c r="R603">
        <f t="shared" si="163"/>
        <v>4</v>
      </c>
      <c r="S603">
        <f t="shared" si="164"/>
        <v>5</v>
      </c>
      <c r="T603">
        <f t="shared" si="165"/>
        <v>1</v>
      </c>
      <c r="U603">
        <v>500</v>
      </c>
      <c r="V603">
        <f t="shared" si="166"/>
        <v>1</v>
      </c>
      <c r="W603">
        <f t="shared" si="167"/>
        <v>0</v>
      </c>
      <c r="X603">
        <f t="shared" si="168"/>
        <v>1</v>
      </c>
      <c r="Y603">
        <f t="shared" si="169"/>
        <v>1</v>
      </c>
      <c r="Z603">
        <f t="shared" si="170"/>
        <v>1</v>
      </c>
      <c r="AA603">
        <f t="shared" si="171"/>
        <v>0</v>
      </c>
      <c r="AB603">
        <f t="shared" si="172"/>
        <v>0</v>
      </c>
      <c r="AC603">
        <f t="shared" si="173"/>
        <v>1</v>
      </c>
      <c r="AD603">
        <f t="shared" si="174"/>
        <v>0</v>
      </c>
      <c r="AE603">
        <f t="shared" si="175"/>
        <v>1</v>
      </c>
      <c r="AF603">
        <f t="shared" si="176"/>
        <v>1</v>
      </c>
      <c r="AG603">
        <f t="shared" si="177"/>
        <v>1</v>
      </c>
      <c r="AH603">
        <f t="shared" si="178"/>
        <v>0</v>
      </c>
      <c r="AI603">
        <f t="shared" si="179"/>
        <v>0</v>
      </c>
    </row>
    <row r="604" spans="1:35" x14ac:dyDescent="0.2">
      <c r="A604">
        <v>161</v>
      </c>
      <c r="B604" t="s">
        <v>1398</v>
      </c>
      <c r="C604">
        <v>4</v>
      </c>
      <c r="D604" t="s">
        <v>1842</v>
      </c>
      <c r="E604" t="s">
        <v>20</v>
      </c>
      <c r="F604" t="s">
        <v>39</v>
      </c>
      <c r="G604" t="s">
        <v>39</v>
      </c>
      <c r="H604" t="s">
        <v>21</v>
      </c>
      <c r="I604">
        <v>2</v>
      </c>
      <c r="J604">
        <v>1</v>
      </c>
      <c r="K604">
        <v>60</v>
      </c>
      <c r="L604" t="s">
        <v>1477</v>
      </c>
      <c r="M604" t="s">
        <v>777</v>
      </c>
      <c r="N604" t="s">
        <v>43</v>
      </c>
      <c r="O604" t="s">
        <v>1843</v>
      </c>
      <c r="P604" t="s">
        <v>1844</v>
      </c>
      <c r="Q604">
        <f t="shared" si="162"/>
        <v>2</v>
      </c>
      <c r="R604">
        <f t="shared" si="163"/>
        <v>5</v>
      </c>
      <c r="S604">
        <f t="shared" si="164"/>
        <v>5</v>
      </c>
      <c r="T604">
        <f t="shared" si="165"/>
        <v>1</v>
      </c>
      <c r="U604">
        <v>60</v>
      </c>
      <c r="V604">
        <f t="shared" si="166"/>
        <v>1</v>
      </c>
      <c r="W604">
        <f t="shared" si="167"/>
        <v>0</v>
      </c>
      <c r="X604">
        <f t="shared" si="168"/>
        <v>1</v>
      </c>
      <c r="Y604">
        <f t="shared" si="169"/>
        <v>1</v>
      </c>
      <c r="Z604">
        <f t="shared" si="170"/>
        <v>1</v>
      </c>
      <c r="AA604">
        <f t="shared" si="171"/>
        <v>0</v>
      </c>
      <c r="AB604">
        <f t="shared" si="172"/>
        <v>1</v>
      </c>
      <c r="AC604">
        <f t="shared" si="173"/>
        <v>0</v>
      </c>
      <c r="AD604">
        <f t="shared" si="174"/>
        <v>0</v>
      </c>
      <c r="AE604">
        <f t="shared" si="175"/>
        <v>1</v>
      </c>
      <c r="AF604">
        <f t="shared" si="176"/>
        <v>1</v>
      </c>
      <c r="AG604">
        <f t="shared" si="177"/>
        <v>1</v>
      </c>
      <c r="AH604">
        <f t="shared" si="178"/>
        <v>0</v>
      </c>
      <c r="AI604">
        <f t="shared" si="179"/>
        <v>0</v>
      </c>
    </row>
    <row r="605" spans="1:35" x14ac:dyDescent="0.2">
      <c r="A605">
        <v>162</v>
      </c>
      <c r="B605" t="s">
        <v>1398</v>
      </c>
      <c r="C605">
        <v>8</v>
      </c>
      <c r="D605" t="s">
        <v>1845</v>
      </c>
      <c r="E605" t="s">
        <v>21</v>
      </c>
      <c r="F605" t="s">
        <v>18</v>
      </c>
      <c r="G605" t="s">
        <v>39</v>
      </c>
      <c r="H605" t="s">
        <v>21</v>
      </c>
      <c r="I605">
        <v>4</v>
      </c>
      <c r="J605">
        <v>5</v>
      </c>
      <c r="K605">
        <v>1000</v>
      </c>
      <c r="L605" t="s">
        <v>514</v>
      </c>
      <c r="M605" t="s">
        <v>161</v>
      </c>
      <c r="N605" t="s">
        <v>215</v>
      </c>
      <c r="O605" t="s">
        <v>909</v>
      </c>
      <c r="P605" t="s">
        <v>1846</v>
      </c>
      <c r="Q605">
        <f t="shared" si="162"/>
        <v>1</v>
      </c>
      <c r="R605">
        <f t="shared" si="163"/>
        <v>4</v>
      </c>
      <c r="S605">
        <f t="shared" si="164"/>
        <v>5</v>
      </c>
      <c r="T605">
        <f t="shared" si="165"/>
        <v>1</v>
      </c>
      <c r="U605">
        <v>1000</v>
      </c>
      <c r="V605">
        <f t="shared" si="166"/>
        <v>1</v>
      </c>
      <c r="W605">
        <f t="shared" si="167"/>
        <v>1</v>
      </c>
      <c r="X605">
        <f t="shared" si="168"/>
        <v>0</v>
      </c>
      <c r="Y605">
        <f t="shared" si="169"/>
        <v>0</v>
      </c>
      <c r="Z605">
        <f t="shared" si="170"/>
        <v>1</v>
      </c>
      <c r="AA605">
        <f t="shared" si="171"/>
        <v>1</v>
      </c>
      <c r="AB605">
        <f t="shared" si="172"/>
        <v>1</v>
      </c>
      <c r="AC605">
        <f t="shared" si="173"/>
        <v>1</v>
      </c>
      <c r="AD605">
        <f t="shared" si="174"/>
        <v>1</v>
      </c>
      <c r="AE605">
        <f t="shared" si="175"/>
        <v>0</v>
      </c>
      <c r="AF605">
        <f t="shared" si="176"/>
        <v>1</v>
      </c>
      <c r="AG605">
        <f t="shared" si="177"/>
        <v>0</v>
      </c>
      <c r="AH605">
        <f t="shared" si="178"/>
        <v>0</v>
      </c>
      <c r="AI605">
        <f t="shared" si="179"/>
        <v>0</v>
      </c>
    </row>
    <row r="606" spans="1:35" x14ac:dyDescent="0.2">
      <c r="A606">
        <v>163</v>
      </c>
      <c r="B606" t="s">
        <v>1398</v>
      </c>
      <c r="C606">
        <v>3</v>
      </c>
      <c r="D606" t="s">
        <v>1847</v>
      </c>
      <c r="E606" t="s">
        <v>21</v>
      </c>
      <c r="F606" t="s">
        <v>18</v>
      </c>
      <c r="G606" t="s">
        <v>39</v>
      </c>
      <c r="H606" t="s">
        <v>21</v>
      </c>
      <c r="I606">
        <v>4</v>
      </c>
      <c r="J606">
        <v>2</v>
      </c>
      <c r="K606">
        <v>25</v>
      </c>
      <c r="L606" t="s">
        <v>47</v>
      </c>
      <c r="M606" t="s">
        <v>781</v>
      </c>
      <c r="N606" t="s">
        <v>43</v>
      </c>
      <c r="O606" t="s">
        <v>1848</v>
      </c>
      <c r="P606" t="s">
        <v>1849</v>
      </c>
      <c r="Q606">
        <f t="shared" si="162"/>
        <v>1</v>
      </c>
      <c r="R606">
        <f t="shared" si="163"/>
        <v>4</v>
      </c>
      <c r="S606">
        <f t="shared" si="164"/>
        <v>5</v>
      </c>
      <c r="T606">
        <f t="shared" si="165"/>
        <v>1</v>
      </c>
      <c r="U606">
        <v>25</v>
      </c>
      <c r="V606">
        <f t="shared" si="166"/>
        <v>0</v>
      </c>
      <c r="W606">
        <f t="shared" si="167"/>
        <v>0</v>
      </c>
      <c r="X606">
        <f t="shared" si="168"/>
        <v>1</v>
      </c>
      <c r="Y606">
        <f t="shared" si="169"/>
        <v>0</v>
      </c>
      <c r="Z606">
        <f t="shared" si="170"/>
        <v>1</v>
      </c>
      <c r="AA606">
        <f t="shared" si="171"/>
        <v>0</v>
      </c>
      <c r="AB606">
        <f t="shared" si="172"/>
        <v>1</v>
      </c>
      <c r="AC606">
        <f t="shared" si="173"/>
        <v>1</v>
      </c>
      <c r="AD606">
        <f t="shared" si="174"/>
        <v>1</v>
      </c>
      <c r="AE606">
        <f t="shared" si="175"/>
        <v>1</v>
      </c>
      <c r="AF606">
        <f t="shared" si="176"/>
        <v>1</v>
      </c>
      <c r="AG606">
        <f t="shared" si="177"/>
        <v>1</v>
      </c>
      <c r="AH606">
        <f t="shared" si="178"/>
        <v>0</v>
      </c>
      <c r="AI606">
        <f t="shared" si="179"/>
        <v>0</v>
      </c>
    </row>
    <row r="607" spans="1:35" x14ac:dyDescent="0.2">
      <c r="A607">
        <v>164</v>
      </c>
      <c r="B607" t="s">
        <v>1398</v>
      </c>
      <c r="C607">
        <v>4</v>
      </c>
      <c r="D607" t="s">
        <v>1850</v>
      </c>
      <c r="E607" t="s">
        <v>21</v>
      </c>
      <c r="F607" t="s">
        <v>39</v>
      </c>
      <c r="G607" t="s">
        <v>39</v>
      </c>
      <c r="H607" t="s">
        <v>21</v>
      </c>
      <c r="I607">
        <v>1</v>
      </c>
      <c r="J607">
        <v>2</v>
      </c>
      <c r="K607" s="2">
        <v>30000</v>
      </c>
      <c r="L607" t="s">
        <v>53</v>
      </c>
      <c r="M607" t="s">
        <v>135</v>
      </c>
      <c r="N607" t="s">
        <v>215</v>
      </c>
      <c r="O607" t="s">
        <v>1438</v>
      </c>
      <c r="P607" t="s">
        <v>1851</v>
      </c>
      <c r="Q607">
        <f t="shared" si="162"/>
        <v>1</v>
      </c>
      <c r="R607">
        <f t="shared" si="163"/>
        <v>5</v>
      </c>
      <c r="S607">
        <f t="shared" si="164"/>
        <v>5</v>
      </c>
      <c r="T607">
        <f t="shared" si="165"/>
        <v>1</v>
      </c>
      <c r="U607">
        <v>30000</v>
      </c>
      <c r="V607">
        <f t="shared" si="166"/>
        <v>0</v>
      </c>
      <c r="W607">
        <f t="shared" si="167"/>
        <v>0</v>
      </c>
      <c r="X607">
        <f t="shared" si="168"/>
        <v>1</v>
      </c>
      <c r="Y607">
        <f t="shared" si="169"/>
        <v>0</v>
      </c>
      <c r="Z607">
        <f t="shared" si="170"/>
        <v>0</v>
      </c>
      <c r="AA607">
        <f t="shared" si="171"/>
        <v>1</v>
      </c>
      <c r="AB607">
        <f t="shared" si="172"/>
        <v>1</v>
      </c>
      <c r="AC607">
        <f t="shared" si="173"/>
        <v>0</v>
      </c>
      <c r="AD607">
        <f t="shared" si="174"/>
        <v>0</v>
      </c>
      <c r="AE607">
        <f t="shared" si="175"/>
        <v>0</v>
      </c>
      <c r="AF607">
        <f t="shared" si="176"/>
        <v>1</v>
      </c>
      <c r="AG607">
        <f t="shared" si="177"/>
        <v>0</v>
      </c>
      <c r="AH607">
        <f t="shared" si="178"/>
        <v>0</v>
      </c>
      <c r="AI607">
        <f t="shared" si="179"/>
        <v>0</v>
      </c>
    </row>
    <row r="608" spans="1:35" x14ac:dyDescent="0.2">
      <c r="A608">
        <v>165</v>
      </c>
      <c r="B608" t="s">
        <v>1398</v>
      </c>
      <c r="C608">
        <v>3</v>
      </c>
      <c r="D608" t="s">
        <v>1852</v>
      </c>
      <c r="E608" t="s">
        <v>21</v>
      </c>
      <c r="F608" t="s">
        <v>39</v>
      </c>
      <c r="G608" t="s">
        <v>39</v>
      </c>
      <c r="H608" t="s">
        <v>21</v>
      </c>
      <c r="I608">
        <v>1</v>
      </c>
      <c r="J608">
        <v>1</v>
      </c>
      <c r="K608" t="s">
        <v>1853</v>
      </c>
      <c r="L608" t="s">
        <v>562</v>
      </c>
      <c r="M608" t="s">
        <v>48</v>
      </c>
      <c r="N608" t="s">
        <v>43</v>
      </c>
      <c r="O608" t="s">
        <v>1854</v>
      </c>
      <c r="P608" t="s">
        <v>1855</v>
      </c>
      <c r="Q608">
        <f t="shared" si="162"/>
        <v>1</v>
      </c>
      <c r="R608">
        <f t="shared" si="163"/>
        <v>5</v>
      </c>
      <c r="S608">
        <f t="shared" si="164"/>
        <v>5</v>
      </c>
      <c r="T608">
        <f t="shared" si="165"/>
        <v>1</v>
      </c>
      <c r="U608">
        <v>10000000</v>
      </c>
      <c r="V608">
        <f t="shared" si="166"/>
        <v>0</v>
      </c>
      <c r="W608">
        <f t="shared" si="167"/>
        <v>1</v>
      </c>
      <c r="X608">
        <f t="shared" si="168"/>
        <v>1</v>
      </c>
      <c r="Y608">
        <f t="shared" si="169"/>
        <v>0</v>
      </c>
      <c r="Z608">
        <f t="shared" si="170"/>
        <v>1</v>
      </c>
      <c r="AA608">
        <f t="shared" si="171"/>
        <v>1</v>
      </c>
      <c r="AB608">
        <f t="shared" si="172"/>
        <v>1</v>
      </c>
      <c r="AC608">
        <f t="shared" si="173"/>
        <v>1</v>
      </c>
      <c r="AD608">
        <f t="shared" si="174"/>
        <v>0</v>
      </c>
      <c r="AE608">
        <f t="shared" si="175"/>
        <v>0</v>
      </c>
      <c r="AF608">
        <f t="shared" si="176"/>
        <v>1</v>
      </c>
      <c r="AG608">
        <f t="shared" si="177"/>
        <v>1</v>
      </c>
      <c r="AH608">
        <f t="shared" si="178"/>
        <v>0</v>
      </c>
      <c r="AI608">
        <f t="shared" si="179"/>
        <v>0</v>
      </c>
    </row>
    <row r="609" spans="1:35" ht="272" x14ac:dyDescent="0.2">
      <c r="A609">
        <v>166</v>
      </c>
      <c r="B609" t="s">
        <v>1398</v>
      </c>
      <c r="C609">
        <v>5</v>
      </c>
      <c r="D609" t="s">
        <v>1856</v>
      </c>
      <c r="E609" t="s">
        <v>21</v>
      </c>
      <c r="F609" t="s">
        <v>18</v>
      </c>
      <c r="G609" t="s">
        <v>39</v>
      </c>
      <c r="H609" t="s">
        <v>20</v>
      </c>
      <c r="I609">
        <v>1</v>
      </c>
      <c r="J609">
        <v>2</v>
      </c>
      <c r="K609" t="s">
        <v>1857</v>
      </c>
      <c r="L609" t="s">
        <v>41</v>
      </c>
      <c r="M609" t="s">
        <v>42</v>
      </c>
      <c r="N609" t="s">
        <v>215</v>
      </c>
      <c r="O609" t="s">
        <v>1858</v>
      </c>
      <c r="P609" s="3" t="s">
        <v>1859</v>
      </c>
      <c r="Q609">
        <f t="shared" si="162"/>
        <v>1</v>
      </c>
      <c r="R609">
        <f t="shared" si="163"/>
        <v>4</v>
      </c>
      <c r="S609">
        <f t="shared" si="164"/>
        <v>5</v>
      </c>
      <c r="T609">
        <f t="shared" si="165"/>
        <v>2</v>
      </c>
      <c r="U609">
        <v>100</v>
      </c>
      <c r="V609">
        <f t="shared" si="166"/>
        <v>0</v>
      </c>
      <c r="W609">
        <f t="shared" si="167"/>
        <v>0</v>
      </c>
      <c r="X609">
        <f t="shared" si="168"/>
        <v>0</v>
      </c>
      <c r="Y609">
        <f t="shared" si="169"/>
        <v>0</v>
      </c>
      <c r="Z609">
        <f t="shared" si="170"/>
        <v>1</v>
      </c>
      <c r="AA609">
        <f t="shared" si="171"/>
        <v>0</v>
      </c>
      <c r="AB609">
        <f t="shared" si="172"/>
        <v>1</v>
      </c>
      <c r="AC609">
        <f t="shared" si="173"/>
        <v>0</v>
      </c>
      <c r="AD609">
        <f t="shared" si="174"/>
        <v>0</v>
      </c>
      <c r="AE609">
        <f t="shared" si="175"/>
        <v>0</v>
      </c>
      <c r="AF609">
        <f t="shared" si="176"/>
        <v>1</v>
      </c>
      <c r="AG609">
        <f t="shared" si="177"/>
        <v>0</v>
      </c>
      <c r="AH609">
        <f t="shared" si="178"/>
        <v>0</v>
      </c>
      <c r="AI609">
        <f t="shared" si="179"/>
        <v>0</v>
      </c>
    </row>
    <row r="610" spans="1:35" x14ac:dyDescent="0.2">
      <c r="A610">
        <v>167</v>
      </c>
      <c r="B610" t="s">
        <v>1398</v>
      </c>
      <c r="C610">
        <v>7</v>
      </c>
      <c r="D610" t="s">
        <v>1860</v>
      </c>
      <c r="E610" t="s">
        <v>21</v>
      </c>
      <c r="F610" t="s">
        <v>39</v>
      </c>
      <c r="G610" t="s">
        <v>39</v>
      </c>
      <c r="H610" t="s">
        <v>21</v>
      </c>
      <c r="I610">
        <v>1</v>
      </c>
      <c r="J610">
        <v>2</v>
      </c>
      <c r="K610" s="1">
        <v>400</v>
      </c>
      <c r="L610" t="s">
        <v>47</v>
      </c>
      <c r="M610" t="s">
        <v>135</v>
      </c>
      <c r="N610" t="s">
        <v>215</v>
      </c>
      <c r="O610" t="s">
        <v>124</v>
      </c>
      <c r="P610" t="s">
        <v>1861</v>
      </c>
      <c r="Q610">
        <f t="shared" si="162"/>
        <v>1</v>
      </c>
      <c r="R610">
        <f t="shared" si="163"/>
        <v>5</v>
      </c>
      <c r="S610">
        <f t="shared" si="164"/>
        <v>5</v>
      </c>
      <c r="T610">
        <f t="shared" si="165"/>
        <v>1</v>
      </c>
      <c r="U610">
        <v>400</v>
      </c>
      <c r="V610">
        <f t="shared" si="166"/>
        <v>0</v>
      </c>
      <c r="W610">
        <f t="shared" si="167"/>
        <v>0</v>
      </c>
      <c r="X610">
        <f t="shared" si="168"/>
        <v>1</v>
      </c>
      <c r="Y610">
        <f t="shared" si="169"/>
        <v>0</v>
      </c>
      <c r="Z610">
        <f t="shared" si="170"/>
        <v>1</v>
      </c>
      <c r="AA610">
        <f t="shared" si="171"/>
        <v>1</v>
      </c>
      <c r="AB610">
        <f t="shared" si="172"/>
        <v>1</v>
      </c>
      <c r="AC610">
        <f t="shared" si="173"/>
        <v>0</v>
      </c>
      <c r="AD610">
        <f t="shared" si="174"/>
        <v>0</v>
      </c>
      <c r="AE610">
        <f t="shared" si="175"/>
        <v>0</v>
      </c>
      <c r="AF610">
        <f t="shared" si="176"/>
        <v>1</v>
      </c>
      <c r="AG610">
        <f t="shared" si="177"/>
        <v>0</v>
      </c>
      <c r="AH610">
        <f t="shared" si="178"/>
        <v>0</v>
      </c>
      <c r="AI610">
        <f t="shared" si="179"/>
        <v>0</v>
      </c>
    </row>
    <row r="611" spans="1:35" x14ac:dyDescent="0.2">
      <c r="A611">
        <v>168</v>
      </c>
      <c r="B611" t="s">
        <v>1398</v>
      </c>
      <c r="C611">
        <v>6</v>
      </c>
      <c r="D611" t="s">
        <v>1862</v>
      </c>
      <c r="E611" t="s">
        <v>21</v>
      </c>
      <c r="F611" t="s">
        <v>39</v>
      </c>
      <c r="G611" t="s">
        <v>39</v>
      </c>
      <c r="H611" t="s">
        <v>21</v>
      </c>
      <c r="I611">
        <v>2</v>
      </c>
      <c r="J611">
        <v>1</v>
      </c>
      <c r="K611">
        <v>10000</v>
      </c>
      <c r="L611" t="s">
        <v>194</v>
      </c>
      <c r="M611" t="s">
        <v>280</v>
      </c>
      <c r="N611" t="s">
        <v>215</v>
      </c>
      <c r="O611" t="s">
        <v>1863</v>
      </c>
      <c r="P611" t="s">
        <v>1864</v>
      </c>
      <c r="Q611">
        <f t="shared" si="162"/>
        <v>1</v>
      </c>
      <c r="R611">
        <f t="shared" si="163"/>
        <v>5</v>
      </c>
      <c r="S611">
        <f t="shared" si="164"/>
        <v>5</v>
      </c>
      <c r="T611">
        <f t="shared" si="165"/>
        <v>1</v>
      </c>
      <c r="U611">
        <v>10000</v>
      </c>
      <c r="V611">
        <f t="shared" si="166"/>
        <v>0</v>
      </c>
      <c r="W611">
        <f t="shared" si="167"/>
        <v>0</v>
      </c>
      <c r="X611">
        <f t="shared" si="168"/>
        <v>0</v>
      </c>
      <c r="Y611">
        <f t="shared" si="169"/>
        <v>1</v>
      </c>
      <c r="Z611">
        <f t="shared" si="170"/>
        <v>1</v>
      </c>
      <c r="AA611">
        <f t="shared" si="171"/>
        <v>0</v>
      </c>
      <c r="AB611">
        <f t="shared" si="172"/>
        <v>1</v>
      </c>
      <c r="AC611">
        <f t="shared" si="173"/>
        <v>1</v>
      </c>
      <c r="AD611">
        <f t="shared" si="174"/>
        <v>1</v>
      </c>
      <c r="AE611">
        <f t="shared" si="175"/>
        <v>0</v>
      </c>
      <c r="AF611">
        <f t="shared" si="176"/>
        <v>1</v>
      </c>
      <c r="AG611">
        <f t="shared" si="177"/>
        <v>0</v>
      </c>
      <c r="AH611">
        <f t="shared" si="178"/>
        <v>0</v>
      </c>
      <c r="AI611">
        <f t="shared" si="179"/>
        <v>0</v>
      </c>
    </row>
    <row r="612" spans="1:35" x14ac:dyDescent="0.2">
      <c r="A612">
        <v>169</v>
      </c>
      <c r="B612" t="s">
        <v>1398</v>
      </c>
      <c r="C612">
        <v>4</v>
      </c>
      <c r="D612" t="s">
        <v>1865</v>
      </c>
      <c r="E612" t="s">
        <v>21</v>
      </c>
      <c r="F612" t="s">
        <v>18</v>
      </c>
      <c r="G612" t="s">
        <v>18</v>
      </c>
      <c r="H612" t="s">
        <v>20</v>
      </c>
      <c r="I612">
        <v>3</v>
      </c>
      <c r="J612">
        <v>2</v>
      </c>
      <c r="K612" t="s">
        <v>1866</v>
      </c>
      <c r="L612" t="s">
        <v>1477</v>
      </c>
      <c r="M612" t="s">
        <v>781</v>
      </c>
      <c r="N612" t="s">
        <v>84</v>
      </c>
      <c r="O612" t="s">
        <v>1867</v>
      </c>
      <c r="P612" t="s">
        <v>1868</v>
      </c>
      <c r="Q612">
        <f t="shared" si="162"/>
        <v>1</v>
      </c>
      <c r="R612">
        <f t="shared" si="163"/>
        <v>4</v>
      </c>
      <c r="S612">
        <f t="shared" si="164"/>
        <v>4</v>
      </c>
      <c r="T612">
        <f t="shared" si="165"/>
        <v>2</v>
      </c>
      <c r="U612">
        <v>250000000</v>
      </c>
      <c r="V612">
        <f t="shared" si="166"/>
        <v>1</v>
      </c>
      <c r="W612">
        <f t="shared" si="167"/>
        <v>0</v>
      </c>
      <c r="X612">
        <f t="shared" si="168"/>
        <v>1</v>
      </c>
      <c r="Y612">
        <f t="shared" si="169"/>
        <v>1</v>
      </c>
      <c r="Z612">
        <f t="shared" si="170"/>
        <v>1</v>
      </c>
      <c r="AA612">
        <f t="shared" si="171"/>
        <v>0</v>
      </c>
      <c r="AB612">
        <f t="shared" si="172"/>
        <v>1</v>
      </c>
      <c r="AC612">
        <f t="shared" si="173"/>
        <v>1</v>
      </c>
      <c r="AD612">
        <f t="shared" si="174"/>
        <v>1</v>
      </c>
      <c r="AE612">
        <f t="shared" si="175"/>
        <v>1</v>
      </c>
      <c r="AF612">
        <f t="shared" si="176"/>
        <v>0</v>
      </c>
      <c r="AG612">
        <f t="shared" si="177"/>
        <v>1</v>
      </c>
      <c r="AH612">
        <f t="shared" si="178"/>
        <v>0</v>
      </c>
      <c r="AI612">
        <f t="shared" si="179"/>
        <v>0</v>
      </c>
    </row>
    <row r="613" spans="1:35" x14ac:dyDescent="0.2">
      <c r="A613">
        <v>170</v>
      </c>
      <c r="B613" t="s">
        <v>1398</v>
      </c>
      <c r="C613">
        <v>8</v>
      </c>
      <c r="D613" t="s">
        <v>1869</v>
      </c>
      <c r="E613" t="s">
        <v>20</v>
      </c>
      <c r="F613" t="s">
        <v>39</v>
      </c>
      <c r="G613" t="s">
        <v>18</v>
      </c>
      <c r="H613" t="s">
        <v>21</v>
      </c>
      <c r="I613">
        <v>4</v>
      </c>
      <c r="J613">
        <v>3</v>
      </c>
      <c r="K613">
        <v>500</v>
      </c>
      <c r="L613" t="s">
        <v>562</v>
      </c>
      <c r="M613" t="s">
        <v>1354</v>
      </c>
      <c r="N613" t="s">
        <v>215</v>
      </c>
      <c r="O613" t="s">
        <v>909</v>
      </c>
      <c r="P613" t="s">
        <v>1870</v>
      </c>
      <c r="Q613">
        <f t="shared" si="162"/>
        <v>2</v>
      </c>
      <c r="R613">
        <f t="shared" si="163"/>
        <v>5</v>
      </c>
      <c r="S613">
        <f t="shared" si="164"/>
        <v>4</v>
      </c>
      <c r="T613">
        <f t="shared" si="165"/>
        <v>1</v>
      </c>
      <c r="U613">
        <v>500</v>
      </c>
      <c r="V613">
        <f t="shared" si="166"/>
        <v>0</v>
      </c>
      <c r="W613">
        <f t="shared" si="167"/>
        <v>1</v>
      </c>
      <c r="X613">
        <f t="shared" si="168"/>
        <v>1</v>
      </c>
      <c r="Y613">
        <f t="shared" si="169"/>
        <v>0</v>
      </c>
      <c r="Z613">
        <f t="shared" si="170"/>
        <v>1</v>
      </c>
      <c r="AA613">
        <f t="shared" si="171"/>
        <v>0</v>
      </c>
      <c r="AB613">
        <f t="shared" si="172"/>
        <v>1</v>
      </c>
      <c r="AC613">
        <f t="shared" si="173"/>
        <v>1</v>
      </c>
      <c r="AD613">
        <f t="shared" si="174"/>
        <v>0</v>
      </c>
      <c r="AE613">
        <f t="shared" si="175"/>
        <v>1</v>
      </c>
      <c r="AF613">
        <f t="shared" si="176"/>
        <v>1</v>
      </c>
      <c r="AG613">
        <f t="shared" si="177"/>
        <v>0</v>
      </c>
      <c r="AH613">
        <f t="shared" si="178"/>
        <v>0</v>
      </c>
      <c r="AI613">
        <f t="shared" si="179"/>
        <v>0</v>
      </c>
    </row>
    <row r="614" spans="1:35" x14ac:dyDescent="0.2">
      <c r="A614">
        <v>171</v>
      </c>
      <c r="B614" t="s">
        <v>1398</v>
      </c>
      <c r="C614">
        <v>8</v>
      </c>
      <c r="D614" t="s">
        <v>1871</v>
      </c>
      <c r="E614" t="s">
        <v>21</v>
      </c>
      <c r="F614" t="s">
        <v>39</v>
      </c>
      <c r="G614" t="s">
        <v>39</v>
      </c>
      <c r="H614" t="s">
        <v>21</v>
      </c>
      <c r="I614">
        <v>1</v>
      </c>
      <c r="J614">
        <v>1</v>
      </c>
      <c r="K614">
        <v>20</v>
      </c>
      <c r="L614" t="s">
        <v>230</v>
      </c>
      <c r="M614" t="s">
        <v>468</v>
      </c>
      <c r="N614" t="s">
        <v>43</v>
      </c>
      <c r="O614" t="s">
        <v>1419</v>
      </c>
      <c r="P614" t="s">
        <v>1872</v>
      </c>
      <c r="Q614">
        <f t="shared" si="162"/>
        <v>1</v>
      </c>
      <c r="R614">
        <f t="shared" si="163"/>
        <v>5</v>
      </c>
      <c r="S614">
        <f t="shared" si="164"/>
        <v>5</v>
      </c>
      <c r="T614">
        <f t="shared" si="165"/>
        <v>1</v>
      </c>
      <c r="U614">
        <v>20</v>
      </c>
      <c r="V614">
        <f t="shared" si="166"/>
        <v>1</v>
      </c>
      <c r="W614">
        <f t="shared" si="167"/>
        <v>1</v>
      </c>
      <c r="X614">
        <f t="shared" si="168"/>
        <v>1</v>
      </c>
      <c r="Y614">
        <f t="shared" si="169"/>
        <v>1</v>
      </c>
      <c r="Z614">
        <f t="shared" si="170"/>
        <v>1</v>
      </c>
      <c r="AA614">
        <f t="shared" si="171"/>
        <v>1</v>
      </c>
      <c r="AB614">
        <f t="shared" si="172"/>
        <v>1</v>
      </c>
      <c r="AC614">
        <f t="shared" si="173"/>
        <v>1</v>
      </c>
      <c r="AD614">
        <f t="shared" si="174"/>
        <v>1</v>
      </c>
      <c r="AE614">
        <f t="shared" si="175"/>
        <v>1</v>
      </c>
      <c r="AF614">
        <f t="shared" si="176"/>
        <v>1</v>
      </c>
      <c r="AG614">
        <f t="shared" si="177"/>
        <v>1</v>
      </c>
      <c r="AH614">
        <f t="shared" si="178"/>
        <v>0</v>
      </c>
      <c r="AI614">
        <f t="shared" si="179"/>
        <v>0</v>
      </c>
    </row>
    <row r="615" spans="1:35" x14ac:dyDescent="0.2">
      <c r="A615">
        <v>172</v>
      </c>
      <c r="B615" t="s">
        <v>1398</v>
      </c>
      <c r="C615">
        <v>3</v>
      </c>
      <c r="D615" t="s">
        <v>1873</v>
      </c>
      <c r="E615" t="s">
        <v>21</v>
      </c>
      <c r="F615" t="s">
        <v>18</v>
      </c>
      <c r="G615" t="s">
        <v>18</v>
      </c>
      <c r="H615" t="s">
        <v>21</v>
      </c>
      <c r="I615">
        <v>1</v>
      </c>
      <c r="J615">
        <v>1</v>
      </c>
      <c r="K615">
        <v>13000</v>
      </c>
      <c r="L615" t="s">
        <v>70</v>
      </c>
      <c r="M615" t="s">
        <v>42</v>
      </c>
      <c r="N615" t="s">
        <v>43</v>
      </c>
      <c r="O615" t="s">
        <v>1689</v>
      </c>
      <c r="P615" t="s">
        <v>1874</v>
      </c>
      <c r="Q615">
        <f t="shared" si="162"/>
        <v>1</v>
      </c>
      <c r="R615">
        <f t="shared" si="163"/>
        <v>4</v>
      </c>
      <c r="S615">
        <f t="shared" si="164"/>
        <v>4</v>
      </c>
      <c r="T615">
        <f t="shared" si="165"/>
        <v>1</v>
      </c>
      <c r="U615">
        <v>13000</v>
      </c>
      <c r="V615">
        <f t="shared" si="166"/>
        <v>0</v>
      </c>
      <c r="W615">
        <f t="shared" si="167"/>
        <v>0</v>
      </c>
      <c r="X615">
        <f t="shared" si="168"/>
        <v>0</v>
      </c>
      <c r="Y615">
        <f t="shared" si="169"/>
        <v>1</v>
      </c>
      <c r="Z615">
        <f t="shared" si="170"/>
        <v>0</v>
      </c>
      <c r="AA615">
        <f t="shared" si="171"/>
        <v>0</v>
      </c>
      <c r="AB615">
        <f t="shared" si="172"/>
        <v>1</v>
      </c>
      <c r="AC615">
        <f t="shared" si="173"/>
        <v>0</v>
      </c>
      <c r="AD615">
        <f t="shared" si="174"/>
        <v>0</v>
      </c>
      <c r="AE615">
        <f t="shared" si="175"/>
        <v>0</v>
      </c>
      <c r="AF615">
        <f t="shared" si="176"/>
        <v>1</v>
      </c>
      <c r="AG615">
        <f t="shared" si="177"/>
        <v>1</v>
      </c>
      <c r="AH615">
        <f t="shared" si="178"/>
        <v>0</v>
      </c>
      <c r="AI615">
        <f t="shared" si="179"/>
        <v>0</v>
      </c>
    </row>
    <row r="616" spans="1:35" x14ac:dyDescent="0.2">
      <c r="A616">
        <v>173</v>
      </c>
      <c r="B616" t="s">
        <v>1398</v>
      </c>
      <c r="C616">
        <v>10</v>
      </c>
      <c r="D616" t="s">
        <v>1875</v>
      </c>
      <c r="E616" t="s">
        <v>20</v>
      </c>
      <c r="F616" t="s">
        <v>18</v>
      </c>
      <c r="G616" t="s">
        <v>18</v>
      </c>
      <c r="H616" t="s">
        <v>20</v>
      </c>
      <c r="I616">
        <v>6</v>
      </c>
      <c r="J616">
        <v>1</v>
      </c>
      <c r="K616" t="s">
        <v>1876</v>
      </c>
      <c r="L616" t="s">
        <v>70</v>
      </c>
      <c r="M616" t="s">
        <v>280</v>
      </c>
      <c r="N616" t="s">
        <v>215</v>
      </c>
      <c r="O616" t="s">
        <v>1877</v>
      </c>
      <c r="P616" t="s">
        <v>1878</v>
      </c>
      <c r="Q616">
        <f t="shared" si="162"/>
        <v>2</v>
      </c>
      <c r="R616">
        <f t="shared" si="163"/>
        <v>4</v>
      </c>
      <c r="S616">
        <f t="shared" si="164"/>
        <v>4</v>
      </c>
      <c r="T616">
        <f t="shared" si="165"/>
        <v>2</v>
      </c>
      <c r="U616">
        <v>1000000</v>
      </c>
      <c r="V616">
        <f t="shared" si="166"/>
        <v>0</v>
      </c>
      <c r="W616">
        <f t="shared" si="167"/>
        <v>0</v>
      </c>
      <c r="X616">
        <f t="shared" si="168"/>
        <v>0</v>
      </c>
      <c r="Y616">
        <f t="shared" si="169"/>
        <v>1</v>
      </c>
      <c r="Z616">
        <f t="shared" si="170"/>
        <v>0</v>
      </c>
      <c r="AA616">
        <f t="shared" si="171"/>
        <v>0</v>
      </c>
      <c r="AB616">
        <f t="shared" si="172"/>
        <v>1</v>
      </c>
      <c r="AC616">
        <f t="shared" si="173"/>
        <v>1</v>
      </c>
      <c r="AD616">
        <f t="shared" si="174"/>
        <v>1</v>
      </c>
      <c r="AE616">
        <f t="shared" si="175"/>
        <v>0</v>
      </c>
      <c r="AF616">
        <f t="shared" si="176"/>
        <v>1</v>
      </c>
      <c r="AG616">
        <f t="shared" si="177"/>
        <v>0</v>
      </c>
      <c r="AH616">
        <f t="shared" si="178"/>
        <v>0</v>
      </c>
      <c r="AI616">
        <f t="shared" si="179"/>
        <v>0</v>
      </c>
    </row>
    <row r="617" spans="1:35" x14ac:dyDescent="0.2">
      <c r="A617">
        <v>174</v>
      </c>
      <c r="B617" t="s">
        <v>1398</v>
      </c>
      <c r="C617">
        <v>3</v>
      </c>
      <c r="D617" t="s">
        <v>1879</v>
      </c>
      <c r="E617" t="s">
        <v>21</v>
      </c>
      <c r="F617" t="s">
        <v>39</v>
      </c>
      <c r="G617" t="s">
        <v>39</v>
      </c>
      <c r="H617" t="s">
        <v>21</v>
      </c>
      <c r="I617">
        <v>2</v>
      </c>
      <c r="J617">
        <v>1</v>
      </c>
      <c r="K617">
        <v>100</v>
      </c>
      <c r="L617" t="s">
        <v>230</v>
      </c>
      <c r="M617" t="s">
        <v>468</v>
      </c>
      <c r="N617" t="s">
        <v>43</v>
      </c>
      <c r="O617" t="s">
        <v>1419</v>
      </c>
      <c r="P617" t="s">
        <v>1880</v>
      </c>
      <c r="Q617">
        <f t="shared" si="162"/>
        <v>1</v>
      </c>
      <c r="R617">
        <f t="shared" si="163"/>
        <v>5</v>
      </c>
      <c r="S617">
        <f t="shared" si="164"/>
        <v>5</v>
      </c>
      <c r="T617">
        <f t="shared" si="165"/>
        <v>1</v>
      </c>
      <c r="U617">
        <v>100</v>
      </c>
      <c r="V617">
        <f t="shared" si="166"/>
        <v>1</v>
      </c>
      <c r="W617">
        <f t="shared" si="167"/>
        <v>1</v>
      </c>
      <c r="X617">
        <f t="shared" si="168"/>
        <v>1</v>
      </c>
      <c r="Y617">
        <f t="shared" si="169"/>
        <v>1</v>
      </c>
      <c r="Z617">
        <f t="shared" si="170"/>
        <v>1</v>
      </c>
      <c r="AA617">
        <f t="shared" si="171"/>
        <v>1</v>
      </c>
      <c r="AB617">
        <f t="shared" si="172"/>
        <v>1</v>
      </c>
      <c r="AC617">
        <f t="shared" si="173"/>
        <v>1</v>
      </c>
      <c r="AD617">
        <f t="shared" si="174"/>
        <v>1</v>
      </c>
      <c r="AE617">
        <f t="shared" si="175"/>
        <v>1</v>
      </c>
      <c r="AF617">
        <f t="shared" si="176"/>
        <v>1</v>
      </c>
      <c r="AG617">
        <f t="shared" si="177"/>
        <v>1</v>
      </c>
      <c r="AH617">
        <f t="shared" si="178"/>
        <v>0</v>
      </c>
      <c r="AI617">
        <f t="shared" si="179"/>
        <v>0</v>
      </c>
    </row>
    <row r="618" spans="1:35" x14ac:dyDescent="0.2">
      <c r="A618">
        <v>175</v>
      </c>
      <c r="B618" t="s">
        <v>1398</v>
      </c>
      <c r="C618">
        <v>3</v>
      </c>
      <c r="D618" t="s">
        <v>1881</v>
      </c>
      <c r="E618" t="s">
        <v>20</v>
      </c>
      <c r="F618" t="s">
        <v>18</v>
      </c>
      <c r="G618" t="s">
        <v>39</v>
      </c>
      <c r="H618" t="s">
        <v>21</v>
      </c>
      <c r="I618">
        <v>3</v>
      </c>
      <c r="J618">
        <v>1</v>
      </c>
      <c r="K618">
        <v>40</v>
      </c>
      <c r="L618" t="s">
        <v>494</v>
      </c>
      <c r="M618" t="s">
        <v>781</v>
      </c>
      <c r="N618" t="s">
        <v>43</v>
      </c>
      <c r="O618" t="s">
        <v>1689</v>
      </c>
      <c r="P618" t="s">
        <v>1882</v>
      </c>
      <c r="Q618">
        <f t="shared" si="162"/>
        <v>2</v>
      </c>
      <c r="R618">
        <f t="shared" si="163"/>
        <v>4</v>
      </c>
      <c r="S618">
        <f t="shared" si="164"/>
        <v>5</v>
      </c>
      <c r="T618">
        <f t="shared" si="165"/>
        <v>1</v>
      </c>
      <c r="U618">
        <v>40</v>
      </c>
      <c r="V618">
        <f t="shared" si="166"/>
        <v>0</v>
      </c>
      <c r="W618">
        <f t="shared" si="167"/>
        <v>1</v>
      </c>
      <c r="X618">
        <f t="shared" si="168"/>
        <v>1</v>
      </c>
      <c r="Y618">
        <f t="shared" si="169"/>
        <v>1</v>
      </c>
      <c r="Z618">
        <f t="shared" si="170"/>
        <v>1</v>
      </c>
      <c r="AA618">
        <f t="shared" si="171"/>
        <v>0</v>
      </c>
      <c r="AB618">
        <f t="shared" si="172"/>
        <v>1</v>
      </c>
      <c r="AC618">
        <f t="shared" si="173"/>
        <v>1</v>
      </c>
      <c r="AD618">
        <f t="shared" si="174"/>
        <v>1</v>
      </c>
      <c r="AE618">
        <f t="shared" si="175"/>
        <v>1</v>
      </c>
      <c r="AF618">
        <f t="shared" si="176"/>
        <v>1</v>
      </c>
      <c r="AG618">
        <f t="shared" si="177"/>
        <v>1</v>
      </c>
      <c r="AH618">
        <f t="shared" si="178"/>
        <v>0</v>
      </c>
      <c r="AI618">
        <f t="shared" si="179"/>
        <v>0</v>
      </c>
    </row>
    <row r="619" spans="1:35" x14ac:dyDescent="0.2">
      <c r="A619">
        <v>176</v>
      </c>
      <c r="B619" t="s">
        <v>1398</v>
      </c>
      <c r="C619">
        <v>6</v>
      </c>
      <c r="D619" t="s">
        <v>1883</v>
      </c>
      <c r="E619" t="s">
        <v>21</v>
      </c>
      <c r="F619" t="s">
        <v>39</v>
      </c>
      <c r="G619" t="s">
        <v>18</v>
      </c>
      <c r="H619" t="s">
        <v>21</v>
      </c>
      <c r="I619">
        <v>2</v>
      </c>
      <c r="J619">
        <v>1</v>
      </c>
      <c r="K619" t="s">
        <v>1884</v>
      </c>
      <c r="L619" t="s">
        <v>714</v>
      </c>
      <c r="M619" t="s">
        <v>48</v>
      </c>
      <c r="N619" t="s">
        <v>43</v>
      </c>
      <c r="O619" t="s">
        <v>1885</v>
      </c>
      <c r="P619" t="s">
        <v>1886</v>
      </c>
      <c r="Q619">
        <f t="shared" si="162"/>
        <v>1</v>
      </c>
      <c r="R619">
        <f t="shared" si="163"/>
        <v>5</v>
      </c>
      <c r="S619">
        <f t="shared" si="164"/>
        <v>4</v>
      </c>
      <c r="T619">
        <f t="shared" si="165"/>
        <v>1</v>
      </c>
      <c r="U619">
        <v>70</v>
      </c>
      <c r="V619">
        <f t="shared" si="166"/>
        <v>0</v>
      </c>
      <c r="W619">
        <f t="shared" si="167"/>
        <v>0</v>
      </c>
      <c r="X619">
        <f t="shared" si="168"/>
        <v>1</v>
      </c>
      <c r="Y619">
        <f t="shared" si="169"/>
        <v>1</v>
      </c>
      <c r="Z619">
        <f t="shared" si="170"/>
        <v>1</v>
      </c>
      <c r="AA619">
        <f t="shared" si="171"/>
        <v>1</v>
      </c>
      <c r="AB619">
        <f t="shared" si="172"/>
        <v>1</v>
      </c>
      <c r="AC619">
        <f t="shared" si="173"/>
        <v>1</v>
      </c>
      <c r="AD619">
        <f t="shared" si="174"/>
        <v>0</v>
      </c>
      <c r="AE619">
        <f t="shared" si="175"/>
        <v>0</v>
      </c>
      <c r="AF619">
        <f t="shared" si="176"/>
        <v>1</v>
      </c>
      <c r="AG619">
        <f t="shared" si="177"/>
        <v>1</v>
      </c>
      <c r="AH619">
        <f t="shared" si="178"/>
        <v>0</v>
      </c>
      <c r="AI619">
        <f t="shared" si="179"/>
        <v>0</v>
      </c>
    </row>
    <row r="620" spans="1:35" x14ac:dyDescent="0.2">
      <c r="A620">
        <v>177</v>
      </c>
      <c r="B620" t="s">
        <v>1398</v>
      </c>
      <c r="C620">
        <v>1</v>
      </c>
      <c r="D620" t="s">
        <v>1887</v>
      </c>
      <c r="E620" t="s">
        <v>21</v>
      </c>
      <c r="F620" t="s">
        <v>39</v>
      </c>
      <c r="G620" t="s">
        <v>39</v>
      </c>
      <c r="H620" t="s">
        <v>21</v>
      </c>
      <c r="I620">
        <v>16</v>
      </c>
      <c r="J620">
        <v>8</v>
      </c>
      <c r="K620">
        <v>2000</v>
      </c>
      <c r="L620" t="s">
        <v>494</v>
      </c>
      <c r="M620" t="s">
        <v>48</v>
      </c>
      <c r="N620" t="s">
        <v>43</v>
      </c>
      <c r="O620" t="s">
        <v>1888</v>
      </c>
      <c r="P620" t="s">
        <v>1889</v>
      </c>
      <c r="Q620">
        <f t="shared" si="162"/>
        <v>1</v>
      </c>
      <c r="R620">
        <f t="shared" si="163"/>
        <v>5</v>
      </c>
      <c r="S620">
        <f t="shared" si="164"/>
        <v>5</v>
      </c>
      <c r="T620">
        <f t="shared" si="165"/>
        <v>1</v>
      </c>
      <c r="U620">
        <v>2000</v>
      </c>
      <c r="V620">
        <f t="shared" si="166"/>
        <v>0</v>
      </c>
      <c r="W620">
        <f t="shared" si="167"/>
        <v>1</v>
      </c>
      <c r="X620">
        <f t="shared" si="168"/>
        <v>1</v>
      </c>
      <c r="Y620">
        <f t="shared" si="169"/>
        <v>1</v>
      </c>
      <c r="Z620">
        <f t="shared" si="170"/>
        <v>1</v>
      </c>
      <c r="AA620">
        <f t="shared" si="171"/>
        <v>1</v>
      </c>
      <c r="AB620">
        <f t="shared" si="172"/>
        <v>1</v>
      </c>
      <c r="AC620">
        <f t="shared" si="173"/>
        <v>1</v>
      </c>
      <c r="AD620">
        <f t="shared" si="174"/>
        <v>0</v>
      </c>
      <c r="AE620">
        <f t="shared" si="175"/>
        <v>0</v>
      </c>
      <c r="AF620">
        <f t="shared" si="176"/>
        <v>1</v>
      </c>
      <c r="AG620">
        <f t="shared" si="177"/>
        <v>1</v>
      </c>
      <c r="AH620">
        <f t="shared" si="178"/>
        <v>0</v>
      </c>
      <c r="AI620">
        <f t="shared" si="179"/>
        <v>0</v>
      </c>
    </row>
    <row r="621" spans="1:35" x14ac:dyDescent="0.2">
      <c r="A621">
        <v>178</v>
      </c>
      <c r="B621" t="s">
        <v>1398</v>
      </c>
      <c r="C621">
        <v>5</v>
      </c>
      <c r="D621" t="s">
        <v>1890</v>
      </c>
      <c r="E621" t="s">
        <v>20</v>
      </c>
      <c r="F621" t="s">
        <v>18</v>
      </c>
      <c r="G621" t="s">
        <v>39</v>
      </c>
      <c r="H621" t="s">
        <v>21</v>
      </c>
      <c r="I621">
        <v>3</v>
      </c>
      <c r="J621">
        <v>1</v>
      </c>
      <c r="K621" s="2">
        <v>75000</v>
      </c>
      <c r="L621" t="s">
        <v>435</v>
      </c>
      <c r="M621" t="s">
        <v>123</v>
      </c>
      <c r="N621" t="s">
        <v>215</v>
      </c>
      <c r="O621" t="s">
        <v>67</v>
      </c>
      <c r="P621" t="s">
        <v>1891</v>
      </c>
      <c r="Q621">
        <f t="shared" si="162"/>
        <v>2</v>
      </c>
      <c r="R621">
        <f t="shared" si="163"/>
        <v>4</v>
      </c>
      <c r="S621">
        <f t="shared" si="164"/>
        <v>5</v>
      </c>
      <c r="T621">
        <f t="shared" si="165"/>
        <v>1</v>
      </c>
      <c r="U621">
        <v>75000</v>
      </c>
      <c r="V621">
        <f t="shared" si="166"/>
        <v>1</v>
      </c>
      <c r="W621">
        <f t="shared" si="167"/>
        <v>0</v>
      </c>
      <c r="X621">
        <f t="shared" si="168"/>
        <v>0</v>
      </c>
      <c r="Y621">
        <f t="shared" si="169"/>
        <v>0</v>
      </c>
      <c r="Z621">
        <f t="shared" si="170"/>
        <v>1</v>
      </c>
      <c r="AA621">
        <f t="shared" si="171"/>
        <v>0</v>
      </c>
      <c r="AB621">
        <f t="shared" si="172"/>
        <v>1</v>
      </c>
      <c r="AC621">
        <f t="shared" si="173"/>
        <v>1</v>
      </c>
      <c r="AD621">
        <f t="shared" si="174"/>
        <v>0</v>
      </c>
      <c r="AE621">
        <f t="shared" si="175"/>
        <v>0</v>
      </c>
      <c r="AF621">
        <f t="shared" si="176"/>
        <v>1</v>
      </c>
      <c r="AG621">
        <f t="shared" si="177"/>
        <v>0</v>
      </c>
      <c r="AH621">
        <f t="shared" si="178"/>
        <v>0</v>
      </c>
      <c r="AI621">
        <f t="shared" si="179"/>
        <v>0</v>
      </c>
    </row>
    <row r="622" spans="1:35" x14ac:dyDescent="0.2">
      <c r="A622">
        <v>179</v>
      </c>
      <c r="B622" t="s">
        <v>1398</v>
      </c>
      <c r="C622">
        <v>7</v>
      </c>
      <c r="D622" t="s">
        <v>1892</v>
      </c>
      <c r="E622" t="s">
        <v>21</v>
      </c>
      <c r="F622" t="s">
        <v>18</v>
      </c>
      <c r="G622" t="s">
        <v>18</v>
      </c>
      <c r="H622" t="s">
        <v>20</v>
      </c>
      <c r="I622">
        <v>2</v>
      </c>
      <c r="J622">
        <v>2</v>
      </c>
      <c r="K622">
        <v>20</v>
      </c>
      <c r="L622" t="s">
        <v>41</v>
      </c>
      <c r="M622" t="s">
        <v>42</v>
      </c>
      <c r="N622" t="s">
        <v>215</v>
      </c>
      <c r="O622" t="s">
        <v>1893</v>
      </c>
      <c r="P622" t="s">
        <v>1894</v>
      </c>
      <c r="Q622">
        <f t="shared" si="162"/>
        <v>1</v>
      </c>
      <c r="R622">
        <f t="shared" si="163"/>
        <v>4</v>
      </c>
      <c r="S622">
        <f t="shared" si="164"/>
        <v>4</v>
      </c>
      <c r="T622">
        <f t="shared" si="165"/>
        <v>2</v>
      </c>
      <c r="U622">
        <v>20</v>
      </c>
      <c r="V622">
        <f t="shared" si="166"/>
        <v>0</v>
      </c>
      <c r="W622">
        <f t="shared" si="167"/>
        <v>0</v>
      </c>
      <c r="X622">
        <f t="shared" si="168"/>
        <v>0</v>
      </c>
      <c r="Y622">
        <f t="shared" si="169"/>
        <v>0</v>
      </c>
      <c r="Z622">
        <f t="shared" si="170"/>
        <v>1</v>
      </c>
      <c r="AA622">
        <f t="shared" si="171"/>
        <v>0</v>
      </c>
      <c r="AB622">
        <f t="shared" si="172"/>
        <v>1</v>
      </c>
      <c r="AC622">
        <f t="shared" si="173"/>
        <v>0</v>
      </c>
      <c r="AD622">
        <f t="shared" si="174"/>
        <v>0</v>
      </c>
      <c r="AE622">
        <f t="shared" si="175"/>
        <v>0</v>
      </c>
      <c r="AF622">
        <f t="shared" si="176"/>
        <v>1</v>
      </c>
      <c r="AG622">
        <f t="shared" si="177"/>
        <v>0</v>
      </c>
      <c r="AH622">
        <f t="shared" si="178"/>
        <v>0</v>
      </c>
      <c r="AI622">
        <f t="shared" si="179"/>
        <v>0</v>
      </c>
    </row>
    <row r="623" spans="1:35" x14ac:dyDescent="0.2">
      <c r="A623">
        <v>180</v>
      </c>
      <c r="B623" t="s">
        <v>1398</v>
      </c>
      <c r="C623">
        <v>3</v>
      </c>
      <c r="D623" t="s">
        <v>1895</v>
      </c>
      <c r="E623" t="s">
        <v>20</v>
      </c>
      <c r="F623" t="s">
        <v>19</v>
      </c>
      <c r="G623" t="s">
        <v>39</v>
      </c>
      <c r="H623" t="s">
        <v>20</v>
      </c>
      <c r="I623">
        <v>2</v>
      </c>
      <c r="J623">
        <v>1</v>
      </c>
      <c r="K623" t="s">
        <v>1896</v>
      </c>
      <c r="L623" t="s">
        <v>514</v>
      </c>
      <c r="M623" t="s">
        <v>154</v>
      </c>
      <c r="N623" t="s">
        <v>43</v>
      </c>
      <c r="O623" t="s">
        <v>1897</v>
      </c>
      <c r="P623" t="s">
        <v>1898</v>
      </c>
      <c r="Q623">
        <f t="shared" si="162"/>
        <v>2</v>
      </c>
      <c r="R623">
        <f t="shared" si="163"/>
        <v>3</v>
      </c>
      <c r="S623">
        <f t="shared" si="164"/>
        <v>5</v>
      </c>
      <c r="T623">
        <f t="shared" si="165"/>
        <v>2</v>
      </c>
      <c r="U623">
        <v>50</v>
      </c>
      <c r="V623">
        <f t="shared" si="166"/>
        <v>1</v>
      </c>
      <c r="W623">
        <f t="shared" si="167"/>
        <v>1</v>
      </c>
      <c r="X623">
        <f t="shared" si="168"/>
        <v>0</v>
      </c>
      <c r="Y623">
        <f t="shared" si="169"/>
        <v>0</v>
      </c>
      <c r="Z623">
        <f t="shared" si="170"/>
        <v>1</v>
      </c>
      <c r="AA623">
        <f t="shared" si="171"/>
        <v>1</v>
      </c>
      <c r="AB623">
        <f t="shared" si="172"/>
        <v>0</v>
      </c>
      <c r="AC623">
        <f t="shared" si="173"/>
        <v>1</v>
      </c>
      <c r="AD623">
        <f t="shared" si="174"/>
        <v>0</v>
      </c>
      <c r="AE623">
        <f t="shared" si="175"/>
        <v>0</v>
      </c>
      <c r="AF623">
        <f t="shared" si="176"/>
        <v>1</v>
      </c>
      <c r="AG623">
        <f t="shared" si="177"/>
        <v>1</v>
      </c>
      <c r="AH623">
        <f t="shared" si="178"/>
        <v>0</v>
      </c>
      <c r="AI623">
        <f t="shared" si="179"/>
        <v>0</v>
      </c>
    </row>
    <row r="624" spans="1:35" x14ac:dyDescent="0.2">
      <c r="A624">
        <v>181</v>
      </c>
      <c r="B624" t="s">
        <v>1398</v>
      </c>
      <c r="C624">
        <v>6</v>
      </c>
      <c r="D624" t="s">
        <v>1899</v>
      </c>
      <c r="E624" t="s">
        <v>20</v>
      </c>
      <c r="F624" t="s">
        <v>18</v>
      </c>
      <c r="G624" t="s">
        <v>18</v>
      </c>
      <c r="H624" t="s">
        <v>20</v>
      </c>
      <c r="I624">
        <v>3</v>
      </c>
      <c r="J624">
        <v>2</v>
      </c>
      <c r="K624" s="1">
        <v>20</v>
      </c>
      <c r="L624" t="s">
        <v>443</v>
      </c>
      <c r="M624" t="s">
        <v>48</v>
      </c>
      <c r="N624" t="s">
        <v>43</v>
      </c>
      <c r="O624" t="s">
        <v>1893</v>
      </c>
      <c r="P624" t="s">
        <v>1900</v>
      </c>
      <c r="Q624">
        <f t="shared" si="162"/>
        <v>2</v>
      </c>
      <c r="R624">
        <f t="shared" si="163"/>
        <v>4</v>
      </c>
      <c r="S624">
        <f t="shared" si="164"/>
        <v>4</v>
      </c>
      <c r="T624">
        <f t="shared" si="165"/>
        <v>2</v>
      </c>
      <c r="U624">
        <v>20</v>
      </c>
      <c r="V624">
        <f t="shared" si="166"/>
        <v>1</v>
      </c>
      <c r="W624">
        <f t="shared" si="167"/>
        <v>0</v>
      </c>
      <c r="X624">
        <f t="shared" si="168"/>
        <v>0</v>
      </c>
      <c r="Y624">
        <f t="shared" si="169"/>
        <v>1</v>
      </c>
      <c r="Z624">
        <f t="shared" si="170"/>
        <v>1</v>
      </c>
      <c r="AA624">
        <f t="shared" si="171"/>
        <v>1</v>
      </c>
      <c r="AB624">
        <f t="shared" si="172"/>
        <v>1</v>
      </c>
      <c r="AC624">
        <f t="shared" si="173"/>
        <v>1</v>
      </c>
      <c r="AD624">
        <f t="shared" si="174"/>
        <v>0</v>
      </c>
      <c r="AE624">
        <f t="shared" si="175"/>
        <v>0</v>
      </c>
      <c r="AF624">
        <f t="shared" si="176"/>
        <v>1</v>
      </c>
      <c r="AG624">
        <f t="shared" si="177"/>
        <v>1</v>
      </c>
      <c r="AH624">
        <f t="shared" si="178"/>
        <v>0</v>
      </c>
      <c r="AI624">
        <f t="shared" si="179"/>
        <v>0</v>
      </c>
    </row>
    <row r="625" spans="1:35" x14ac:dyDescent="0.2">
      <c r="A625">
        <v>182</v>
      </c>
      <c r="B625" t="s">
        <v>1398</v>
      </c>
      <c r="C625">
        <v>5</v>
      </c>
      <c r="D625" t="s">
        <v>1901</v>
      </c>
      <c r="E625" t="s">
        <v>20</v>
      </c>
      <c r="F625" t="s">
        <v>20</v>
      </c>
      <c r="G625" t="s">
        <v>20</v>
      </c>
      <c r="H625" t="s">
        <v>19</v>
      </c>
      <c r="I625">
        <v>2</v>
      </c>
      <c r="J625">
        <v>2</v>
      </c>
      <c r="K625" t="s">
        <v>1902</v>
      </c>
      <c r="L625" t="s">
        <v>1609</v>
      </c>
      <c r="M625" t="s">
        <v>23</v>
      </c>
      <c r="N625" t="s">
        <v>43</v>
      </c>
      <c r="O625" t="s">
        <v>1903</v>
      </c>
      <c r="P625" t="s">
        <v>1904</v>
      </c>
      <c r="Q625">
        <f t="shared" si="162"/>
        <v>2</v>
      </c>
      <c r="R625">
        <f t="shared" si="163"/>
        <v>2</v>
      </c>
      <c r="S625">
        <f t="shared" si="164"/>
        <v>2</v>
      </c>
      <c r="T625">
        <f t="shared" si="165"/>
        <v>3</v>
      </c>
      <c r="U625">
        <v>20</v>
      </c>
      <c r="V625">
        <f t="shared" si="166"/>
        <v>1</v>
      </c>
      <c r="W625">
        <f t="shared" si="167"/>
        <v>1</v>
      </c>
      <c r="X625">
        <f t="shared" si="168"/>
        <v>0</v>
      </c>
      <c r="Y625">
        <f t="shared" si="169"/>
        <v>1</v>
      </c>
      <c r="Z625">
        <f t="shared" si="170"/>
        <v>0</v>
      </c>
      <c r="AA625">
        <f t="shared" si="171"/>
        <v>1</v>
      </c>
      <c r="AB625">
        <f t="shared" si="172"/>
        <v>0</v>
      </c>
      <c r="AC625">
        <f t="shared" si="173"/>
        <v>0</v>
      </c>
      <c r="AD625">
        <f t="shared" si="174"/>
        <v>0</v>
      </c>
      <c r="AE625">
        <f t="shared" si="175"/>
        <v>0</v>
      </c>
      <c r="AF625">
        <f t="shared" si="176"/>
        <v>1</v>
      </c>
      <c r="AG625">
        <f t="shared" si="177"/>
        <v>1</v>
      </c>
      <c r="AH625">
        <f t="shared" si="178"/>
        <v>0</v>
      </c>
      <c r="AI625">
        <f t="shared" si="179"/>
        <v>0</v>
      </c>
    </row>
    <row r="626" spans="1:35" x14ac:dyDescent="0.2">
      <c r="A626">
        <v>183</v>
      </c>
      <c r="B626" t="s">
        <v>1398</v>
      </c>
      <c r="C626">
        <v>7</v>
      </c>
      <c r="D626" t="s">
        <v>1905</v>
      </c>
      <c r="E626" t="s">
        <v>21</v>
      </c>
      <c r="F626" t="s">
        <v>39</v>
      </c>
      <c r="G626" t="s">
        <v>18</v>
      </c>
      <c r="H626" t="s">
        <v>21</v>
      </c>
      <c r="I626">
        <v>2</v>
      </c>
      <c r="J626">
        <v>1</v>
      </c>
      <c r="K626">
        <v>100</v>
      </c>
      <c r="L626" t="s">
        <v>41</v>
      </c>
      <c r="M626" t="s">
        <v>280</v>
      </c>
      <c r="N626" t="s">
        <v>215</v>
      </c>
      <c r="O626" t="s">
        <v>1105</v>
      </c>
      <c r="P626" t="s">
        <v>1906</v>
      </c>
      <c r="Q626">
        <f t="shared" si="162"/>
        <v>1</v>
      </c>
      <c r="R626">
        <f t="shared" si="163"/>
        <v>5</v>
      </c>
      <c r="S626">
        <f t="shared" si="164"/>
        <v>4</v>
      </c>
      <c r="T626">
        <f t="shared" si="165"/>
        <v>1</v>
      </c>
      <c r="U626">
        <v>100</v>
      </c>
      <c r="V626">
        <f t="shared" si="166"/>
        <v>0</v>
      </c>
      <c r="W626">
        <f t="shared" si="167"/>
        <v>0</v>
      </c>
      <c r="X626">
        <f t="shared" si="168"/>
        <v>0</v>
      </c>
      <c r="Y626">
        <f t="shared" si="169"/>
        <v>0</v>
      </c>
      <c r="Z626">
        <f t="shared" si="170"/>
        <v>1</v>
      </c>
      <c r="AA626">
        <f t="shared" si="171"/>
        <v>0</v>
      </c>
      <c r="AB626">
        <f t="shared" si="172"/>
        <v>1</v>
      </c>
      <c r="AC626">
        <f t="shared" si="173"/>
        <v>1</v>
      </c>
      <c r="AD626">
        <f t="shared" si="174"/>
        <v>1</v>
      </c>
      <c r="AE626">
        <f t="shared" si="175"/>
        <v>0</v>
      </c>
      <c r="AF626">
        <f t="shared" si="176"/>
        <v>1</v>
      </c>
      <c r="AG626">
        <f t="shared" si="177"/>
        <v>0</v>
      </c>
      <c r="AH626">
        <f t="shared" si="178"/>
        <v>0</v>
      </c>
      <c r="AI626">
        <f t="shared" si="179"/>
        <v>0</v>
      </c>
    </row>
    <row r="627" spans="1:35" x14ac:dyDescent="0.2">
      <c r="A627">
        <v>184</v>
      </c>
      <c r="B627" t="s">
        <v>1398</v>
      </c>
      <c r="C627">
        <v>4</v>
      </c>
      <c r="D627" t="s">
        <v>1907</v>
      </c>
      <c r="E627" t="s">
        <v>21</v>
      </c>
      <c r="F627" t="s">
        <v>39</v>
      </c>
      <c r="G627" t="s">
        <v>39</v>
      </c>
      <c r="H627" t="s">
        <v>21</v>
      </c>
      <c r="I627">
        <v>3</v>
      </c>
      <c r="J627">
        <v>2</v>
      </c>
      <c r="K627" t="s">
        <v>632</v>
      </c>
      <c r="L627" t="s">
        <v>41</v>
      </c>
      <c r="M627" t="s">
        <v>115</v>
      </c>
      <c r="N627" t="s">
        <v>215</v>
      </c>
      <c r="O627" t="s">
        <v>1908</v>
      </c>
      <c r="P627" t="s">
        <v>1909</v>
      </c>
      <c r="Q627">
        <f t="shared" si="162"/>
        <v>1</v>
      </c>
      <c r="R627">
        <f t="shared" si="163"/>
        <v>5</v>
      </c>
      <c r="S627">
        <f t="shared" si="164"/>
        <v>5</v>
      </c>
      <c r="T627">
        <f t="shared" si="165"/>
        <v>1</v>
      </c>
      <c r="U627">
        <v>100000000</v>
      </c>
      <c r="V627">
        <f t="shared" si="166"/>
        <v>0</v>
      </c>
      <c r="W627">
        <f t="shared" si="167"/>
        <v>0</v>
      </c>
      <c r="X627">
        <f t="shared" si="168"/>
        <v>0</v>
      </c>
      <c r="Y627">
        <f t="shared" si="169"/>
        <v>0</v>
      </c>
      <c r="Z627">
        <f t="shared" si="170"/>
        <v>1</v>
      </c>
      <c r="AA627">
        <f t="shared" si="171"/>
        <v>0</v>
      </c>
      <c r="AB627">
        <f t="shared" si="172"/>
        <v>0</v>
      </c>
      <c r="AC627">
        <f t="shared" si="173"/>
        <v>1</v>
      </c>
      <c r="AD627">
        <f t="shared" si="174"/>
        <v>0</v>
      </c>
      <c r="AE627">
        <f t="shared" si="175"/>
        <v>0</v>
      </c>
      <c r="AF627">
        <f t="shared" si="176"/>
        <v>1</v>
      </c>
      <c r="AG627">
        <f t="shared" si="177"/>
        <v>0</v>
      </c>
      <c r="AH627">
        <f t="shared" si="178"/>
        <v>0</v>
      </c>
      <c r="AI627">
        <f t="shared" si="179"/>
        <v>0</v>
      </c>
    </row>
    <row r="628" spans="1:35" x14ac:dyDescent="0.2">
      <c r="A628">
        <v>185</v>
      </c>
      <c r="B628" t="s">
        <v>1398</v>
      </c>
      <c r="C628">
        <v>7</v>
      </c>
      <c r="D628" t="s">
        <v>1910</v>
      </c>
      <c r="E628" t="s">
        <v>21</v>
      </c>
      <c r="F628" t="s">
        <v>18</v>
      </c>
      <c r="G628" t="s">
        <v>19</v>
      </c>
      <c r="H628" t="s">
        <v>21</v>
      </c>
      <c r="I628">
        <v>1</v>
      </c>
      <c r="J628">
        <v>1</v>
      </c>
      <c r="K628">
        <v>499</v>
      </c>
      <c r="L628" t="s">
        <v>41</v>
      </c>
      <c r="M628" t="s">
        <v>23</v>
      </c>
      <c r="N628" t="s">
        <v>215</v>
      </c>
      <c r="O628" t="s">
        <v>1911</v>
      </c>
      <c r="P628" t="s">
        <v>1912</v>
      </c>
      <c r="Q628">
        <f t="shared" si="162"/>
        <v>1</v>
      </c>
      <c r="R628">
        <f t="shared" si="163"/>
        <v>4</v>
      </c>
      <c r="S628">
        <f t="shared" si="164"/>
        <v>3</v>
      </c>
      <c r="T628">
        <f t="shared" si="165"/>
        <v>1</v>
      </c>
      <c r="U628">
        <v>499</v>
      </c>
      <c r="V628">
        <f t="shared" si="166"/>
        <v>0</v>
      </c>
      <c r="W628">
        <f t="shared" si="167"/>
        <v>0</v>
      </c>
      <c r="X628">
        <f t="shared" si="168"/>
        <v>0</v>
      </c>
      <c r="Y628">
        <f t="shared" si="169"/>
        <v>0</v>
      </c>
      <c r="Z628">
        <f t="shared" si="170"/>
        <v>1</v>
      </c>
      <c r="AA628">
        <f t="shared" si="171"/>
        <v>1</v>
      </c>
      <c r="AB628">
        <f t="shared" si="172"/>
        <v>0</v>
      </c>
      <c r="AC628">
        <f t="shared" si="173"/>
        <v>0</v>
      </c>
      <c r="AD628">
        <f t="shared" si="174"/>
        <v>0</v>
      </c>
      <c r="AE628">
        <f t="shared" si="175"/>
        <v>0</v>
      </c>
      <c r="AF628">
        <f t="shared" si="176"/>
        <v>1</v>
      </c>
      <c r="AG628">
        <f t="shared" si="177"/>
        <v>0</v>
      </c>
      <c r="AH628">
        <f t="shared" si="178"/>
        <v>0</v>
      </c>
      <c r="AI628">
        <f t="shared" si="179"/>
        <v>0</v>
      </c>
    </row>
    <row r="629" spans="1:35" x14ac:dyDescent="0.2">
      <c r="A629">
        <v>186</v>
      </c>
      <c r="B629" t="s">
        <v>1398</v>
      </c>
      <c r="C629">
        <v>4</v>
      </c>
      <c r="D629" t="s">
        <v>1913</v>
      </c>
      <c r="E629" t="s">
        <v>21</v>
      </c>
      <c r="F629" t="s">
        <v>39</v>
      </c>
      <c r="G629" t="s">
        <v>18</v>
      </c>
      <c r="H629" t="s">
        <v>21</v>
      </c>
      <c r="I629">
        <v>2</v>
      </c>
      <c r="J629">
        <v>1</v>
      </c>
      <c r="K629">
        <v>130</v>
      </c>
      <c r="L629" t="s">
        <v>79</v>
      </c>
      <c r="M629" t="s">
        <v>123</v>
      </c>
      <c r="N629" t="s">
        <v>43</v>
      </c>
      <c r="O629" t="s">
        <v>1914</v>
      </c>
      <c r="P629" t="s">
        <v>1915</v>
      </c>
      <c r="Q629">
        <f t="shared" si="162"/>
        <v>1</v>
      </c>
      <c r="R629">
        <f t="shared" si="163"/>
        <v>5</v>
      </c>
      <c r="S629">
        <f t="shared" si="164"/>
        <v>4</v>
      </c>
      <c r="T629">
        <f t="shared" si="165"/>
        <v>1</v>
      </c>
      <c r="U629">
        <v>130</v>
      </c>
      <c r="V629">
        <f t="shared" si="166"/>
        <v>0</v>
      </c>
      <c r="W629">
        <f t="shared" si="167"/>
        <v>1</v>
      </c>
      <c r="X629">
        <f t="shared" si="168"/>
        <v>0</v>
      </c>
      <c r="Y629">
        <f t="shared" si="169"/>
        <v>0</v>
      </c>
      <c r="Z629">
        <f t="shared" si="170"/>
        <v>1</v>
      </c>
      <c r="AA629">
        <f t="shared" si="171"/>
        <v>0</v>
      </c>
      <c r="AB629">
        <f t="shared" si="172"/>
        <v>1</v>
      </c>
      <c r="AC629">
        <f t="shared" si="173"/>
        <v>1</v>
      </c>
      <c r="AD629">
        <f t="shared" si="174"/>
        <v>0</v>
      </c>
      <c r="AE629">
        <f t="shared" si="175"/>
        <v>0</v>
      </c>
      <c r="AF629">
        <f t="shared" si="176"/>
        <v>1</v>
      </c>
      <c r="AG629">
        <f t="shared" si="177"/>
        <v>1</v>
      </c>
      <c r="AH629">
        <f t="shared" si="178"/>
        <v>0</v>
      </c>
      <c r="AI629">
        <f t="shared" si="179"/>
        <v>0</v>
      </c>
    </row>
    <row r="630" spans="1:35" x14ac:dyDescent="0.2">
      <c r="A630">
        <v>187</v>
      </c>
      <c r="B630" t="s">
        <v>1398</v>
      </c>
      <c r="C630">
        <v>9</v>
      </c>
      <c r="D630" t="s">
        <v>1916</v>
      </c>
      <c r="E630" t="s">
        <v>21</v>
      </c>
      <c r="F630" t="s">
        <v>18</v>
      </c>
      <c r="G630" t="s">
        <v>39</v>
      </c>
      <c r="H630" t="s">
        <v>21</v>
      </c>
      <c r="I630">
        <v>1</v>
      </c>
      <c r="J630">
        <v>1</v>
      </c>
      <c r="K630" t="s">
        <v>1917</v>
      </c>
      <c r="L630" t="s">
        <v>194</v>
      </c>
      <c r="M630" t="s">
        <v>154</v>
      </c>
      <c r="N630" t="s">
        <v>215</v>
      </c>
      <c r="O630" t="s">
        <v>1918</v>
      </c>
      <c r="P630" t="s">
        <v>1919</v>
      </c>
      <c r="Q630">
        <f t="shared" si="162"/>
        <v>1</v>
      </c>
      <c r="R630">
        <f t="shared" si="163"/>
        <v>4</v>
      </c>
      <c r="S630">
        <f t="shared" si="164"/>
        <v>5</v>
      </c>
      <c r="T630">
        <f t="shared" si="165"/>
        <v>1</v>
      </c>
      <c r="U630">
        <v>20</v>
      </c>
      <c r="V630">
        <f t="shared" si="166"/>
        <v>0</v>
      </c>
      <c r="W630">
        <f t="shared" si="167"/>
        <v>0</v>
      </c>
      <c r="X630">
        <f t="shared" si="168"/>
        <v>0</v>
      </c>
      <c r="Y630">
        <f t="shared" si="169"/>
        <v>1</v>
      </c>
      <c r="Z630">
        <f t="shared" si="170"/>
        <v>1</v>
      </c>
      <c r="AA630">
        <f t="shared" si="171"/>
        <v>1</v>
      </c>
      <c r="AB630">
        <f t="shared" si="172"/>
        <v>0</v>
      </c>
      <c r="AC630">
        <f t="shared" si="173"/>
        <v>1</v>
      </c>
      <c r="AD630">
        <f t="shared" si="174"/>
        <v>0</v>
      </c>
      <c r="AE630">
        <f t="shared" si="175"/>
        <v>0</v>
      </c>
      <c r="AF630">
        <f t="shared" si="176"/>
        <v>1</v>
      </c>
      <c r="AG630">
        <f t="shared" si="177"/>
        <v>0</v>
      </c>
      <c r="AH630">
        <f t="shared" si="178"/>
        <v>0</v>
      </c>
      <c r="AI630">
        <f t="shared" si="179"/>
        <v>0</v>
      </c>
    </row>
    <row r="631" spans="1:35" x14ac:dyDescent="0.2">
      <c r="A631">
        <v>188</v>
      </c>
      <c r="B631" t="s">
        <v>1398</v>
      </c>
      <c r="C631">
        <v>6</v>
      </c>
      <c r="D631" t="s">
        <v>1920</v>
      </c>
      <c r="E631" t="s">
        <v>21</v>
      </c>
      <c r="F631" t="s">
        <v>39</v>
      </c>
      <c r="G631" t="s">
        <v>18</v>
      </c>
      <c r="H631" t="s">
        <v>21</v>
      </c>
      <c r="I631">
        <v>2</v>
      </c>
      <c r="J631">
        <v>1</v>
      </c>
      <c r="K631">
        <v>500</v>
      </c>
      <c r="L631" t="s">
        <v>66</v>
      </c>
      <c r="M631" t="s">
        <v>781</v>
      </c>
      <c r="N631" t="s">
        <v>43</v>
      </c>
      <c r="O631" t="s">
        <v>244</v>
      </c>
      <c r="P631" t="s">
        <v>1921</v>
      </c>
      <c r="Q631">
        <f t="shared" si="162"/>
        <v>1</v>
      </c>
      <c r="R631">
        <f t="shared" si="163"/>
        <v>5</v>
      </c>
      <c r="S631">
        <f t="shared" si="164"/>
        <v>4</v>
      </c>
      <c r="T631">
        <f t="shared" si="165"/>
        <v>1</v>
      </c>
      <c r="U631">
        <v>500</v>
      </c>
      <c r="V631">
        <f t="shared" si="166"/>
        <v>0</v>
      </c>
      <c r="W631">
        <f t="shared" si="167"/>
        <v>1</v>
      </c>
      <c r="X631">
        <f t="shared" si="168"/>
        <v>1</v>
      </c>
      <c r="Y631">
        <f t="shared" si="169"/>
        <v>0</v>
      </c>
      <c r="Z631">
        <f t="shared" si="170"/>
        <v>0</v>
      </c>
      <c r="AA631">
        <f t="shared" si="171"/>
        <v>0</v>
      </c>
      <c r="AB631">
        <f t="shared" si="172"/>
        <v>1</v>
      </c>
      <c r="AC631">
        <f t="shared" si="173"/>
        <v>1</v>
      </c>
      <c r="AD631">
        <f t="shared" si="174"/>
        <v>1</v>
      </c>
      <c r="AE631">
        <f t="shared" si="175"/>
        <v>1</v>
      </c>
      <c r="AF631">
        <f t="shared" si="176"/>
        <v>1</v>
      </c>
      <c r="AG631">
        <f t="shared" si="177"/>
        <v>1</v>
      </c>
      <c r="AH631">
        <f t="shared" si="178"/>
        <v>0</v>
      </c>
      <c r="AI631">
        <f t="shared" si="179"/>
        <v>0</v>
      </c>
    </row>
    <row r="632" spans="1:35" x14ac:dyDescent="0.2">
      <c r="A632">
        <v>189</v>
      </c>
      <c r="B632" t="s">
        <v>1398</v>
      </c>
      <c r="C632">
        <v>8</v>
      </c>
      <c r="D632" t="s">
        <v>1922</v>
      </c>
      <c r="E632" t="s">
        <v>21</v>
      </c>
      <c r="F632" t="s">
        <v>39</v>
      </c>
      <c r="G632" t="s">
        <v>39</v>
      </c>
      <c r="H632" t="s">
        <v>21</v>
      </c>
      <c r="I632">
        <v>2</v>
      </c>
      <c r="J632">
        <v>1</v>
      </c>
      <c r="K632" t="s">
        <v>1923</v>
      </c>
      <c r="L632" t="s">
        <v>443</v>
      </c>
      <c r="M632" t="s">
        <v>161</v>
      </c>
      <c r="N632" t="s">
        <v>43</v>
      </c>
      <c r="O632" t="s">
        <v>1668</v>
      </c>
      <c r="P632" t="s">
        <v>1924</v>
      </c>
      <c r="Q632">
        <f t="shared" si="162"/>
        <v>1</v>
      </c>
      <c r="R632">
        <f t="shared" si="163"/>
        <v>5</v>
      </c>
      <c r="S632">
        <f t="shared" si="164"/>
        <v>5</v>
      </c>
      <c r="T632">
        <f t="shared" si="165"/>
        <v>1</v>
      </c>
      <c r="U632">
        <v>50</v>
      </c>
      <c r="V632">
        <f t="shared" si="166"/>
        <v>1</v>
      </c>
      <c r="W632">
        <f t="shared" si="167"/>
        <v>0</v>
      </c>
      <c r="X632">
        <f t="shared" si="168"/>
        <v>0</v>
      </c>
      <c r="Y632">
        <f t="shared" si="169"/>
        <v>1</v>
      </c>
      <c r="Z632">
        <f t="shared" si="170"/>
        <v>1</v>
      </c>
      <c r="AA632">
        <f t="shared" si="171"/>
        <v>1</v>
      </c>
      <c r="AB632">
        <f t="shared" si="172"/>
        <v>1</v>
      </c>
      <c r="AC632">
        <f t="shared" si="173"/>
        <v>1</v>
      </c>
      <c r="AD632">
        <f t="shared" si="174"/>
        <v>1</v>
      </c>
      <c r="AE632">
        <f t="shared" si="175"/>
        <v>0</v>
      </c>
      <c r="AF632">
        <f t="shared" si="176"/>
        <v>1</v>
      </c>
      <c r="AG632">
        <f t="shared" si="177"/>
        <v>1</v>
      </c>
      <c r="AH632">
        <f t="shared" si="178"/>
        <v>0</v>
      </c>
      <c r="AI632">
        <f t="shared" si="179"/>
        <v>0</v>
      </c>
    </row>
    <row r="633" spans="1:35" x14ac:dyDescent="0.2">
      <c r="A633">
        <v>190</v>
      </c>
      <c r="B633" t="s">
        <v>1398</v>
      </c>
      <c r="C633">
        <v>3</v>
      </c>
      <c r="D633" t="s">
        <v>1925</v>
      </c>
      <c r="E633" t="s">
        <v>20</v>
      </c>
      <c r="F633" t="s">
        <v>18</v>
      </c>
      <c r="G633" t="s">
        <v>18</v>
      </c>
      <c r="H633" t="s">
        <v>21</v>
      </c>
      <c r="I633">
        <v>1</v>
      </c>
      <c r="J633">
        <v>1</v>
      </c>
      <c r="K633" s="1">
        <v>200000</v>
      </c>
      <c r="L633" t="s">
        <v>22</v>
      </c>
      <c r="M633" t="s">
        <v>42</v>
      </c>
      <c r="N633" t="s">
        <v>43</v>
      </c>
      <c r="O633" t="s">
        <v>1432</v>
      </c>
      <c r="P633" t="s">
        <v>1926</v>
      </c>
      <c r="Q633">
        <f t="shared" si="162"/>
        <v>2</v>
      </c>
      <c r="R633">
        <f t="shared" si="163"/>
        <v>4</v>
      </c>
      <c r="S633">
        <f t="shared" si="164"/>
        <v>4</v>
      </c>
      <c r="T633">
        <f t="shared" si="165"/>
        <v>1</v>
      </c>
      <c r="U633">
        <v>200000</v>
      </c>
      <c r="V633">
        <f t="shared" si="166"/>
        <v>1</v>
      </c>
      <c r="W633">
        <f t="shared" si="167"/>
        <v>0</v>
      </c>
      <c r="X633">
        <f t="shared" si="168"/>
        <v>0</v>
      </c>
      <c r="Y633">
        <f t="shared" si="169"/>
        <v>0</v>
      </c>
      <c r="Z633">
        <f t="shared" si="170"/>
        <v>0</v>
      </c>
      <c r="AA633">
        <f t="shared" si="171"/>
        <v>0</v>
      </c>
      <c r="AB633">
        <f t="shared" si="172"/>
        <v>1</v>
      </c>
      <c r="AC633">
        <f t="shared" si="173"/>
        <v>0</v>
      </c>
      <c r="AD633">
        <f t="shared" si="174"/>
        <v>0</v>
      </c>
      <c r="AE633">
        <f t="shared" si="175"/>
        <v>0</v>
      </c>
      <c r="AF633">
        <f t="shared" si="176"/>
        <v>1</v>
      </c>
      <c r="AG633">
        <f t="shared" si="177"/>
        <v>1</v>
      </c>
      <c r="AH633">
        <f t="shared" si="178"/>
        <v>0</v>
      </c>
      <c r="AI633">
        <f t="shared" si="179"/>
        <v>0</v>
      </c>
    </row>
    <row r="634" spans="1:35" x14ac:dyDescent="0.2">
      <c r="A634">
        <v>191</v>
      </c>
      <c r="B634" t="s">
        <v>1398</v>
      </c>
      <c r="C634">
        <v>6</v>
      </c>
      <c r="D634" t="s">
        <v>1927</v>
      </c>
      <c r="E634" t="s">
        <v>21</v>
      </c>
      <c r="F634" t="s">
        <v>39</v>
      </c>
      <c r="G634" t="s">
        <v>18</v>
      </c>
      <c r="H634" t="s">
        <v>21</v>
      </c>
      <c r="I634">
        <v>4</v>
      </c>
      <c r="J634">
        <v>4</v>
      </c>
      <c r="K634" t="s">
        <v>1928</v>
      </c>
      <c r="L634" t="s">
        <v>562</v>
      </c>
      <c r="M634" t="s">
        <v>280</v>
      </c>
      <c r="N634" t="s">
        <v>215</v>
      </c>
      <c r="O634" t="s">
        <v>1929</v>
      </c>
      <c r="P634" t="s">
        <v>1930</v>
      </c>
      <c r="Q634">
        <f t="shared" si="162"/>
        <v>1</v>
      </c>
      <c r="R634">
        <f t="shared" si="163"/>
        <v>5</v>
      </c>
      <c r="S634">
        <f t="shared" si="164"/>
        <v>4</v>
      </c>
      <c r="T634">
        <f t="shared" si="165"/>
        <v>1</v>
      </c>
      <c r="U634">
        <v>50</v>
      </c>
      <c r="V634">
        <f t="shared" si="166"/>
        <v>0</v>
      </c>
      <c r="W634">
        <f t="shared" si="167"/>
        <v>1</v>
      </c>
      <c r="X634">
        <f t="shared" si="168"/>
        <v>1</v>
      </c>
      <c r="Y634">
        <f t="shared" si="169"/>
        <v>0</v>
      </c>
      <c r="Z634">
        <f t="shared" si="170"/>
        <v>1</v>
      </c>
      <c r="AA634">
        <f t="shared" si="171"/>
        <v>0</v>
      </c>
      <c r="AB634">
        <f t="shared" si="172"/>
        <v>1</v>
      </c>
      <c r="AC634">
        <f t="shared" si="173"/>
        <v>1</v>
      </c>
      <c r="AD634">
        <f t="shared" si="174"/>
        <v>1</v>
      </c>
      <c r="AE634">
        <f t="shared" si="175"/>
        <v>0</v>
      </c>
      <c r="AF634">
        <f t="shared" si="176"/>
        <v>1</v>
      </c>
      <c r="AG634">
        <f t="shared" si="177"/>
        <v>0</v>
      </c>
      <c r="AH634">
        <f t="shared" si="178"/>
        <v>0</v>
      </c>
      <c r="AI634">
        <f t="shared" si="179"/>
        <v>0</v>
      </c>
    </row>
    <row r="635" spans="1:35" x14ac:dyDescent="0.2">
      <c r="A635">
        <v>192</v>
      </c>
      <c r="B635" t="s">
        <v>1398</v>
      </c>
      <c r="C635">
        <v>7</v>
      </c>
      <c r="D635" t="s">
        <v>1931</v>
      </c>
      <c r="E635" t="s">
        <v>21</v>
      </c>
      <c r="F635" t="s">
        <v>39</v>
      </c>
      <c r="G635" t="s">
        <v>39</v>
      </c>
      <c r="H635" t="s">
        <v>21</v>
      </c>
      <c r="I635">
        <v>7</v>
      </c>
      <c r="J635">
        <v>7</v>
      </c>
      <c r="K635" s="1">
        <v>60</v>
      </c>
      <c r="L635" t="s">
        <v>34</v>
      </c>
      <c r="M635" t="s">
        <v>468</v>
      </c>
      <c r="N635" t="s">
        <v>84</v>
      </c>
      <c r="O635" t="s">
        <v>1932</v>
      </c>
      <c r="P635" t="s">
        <v>1933</v>
      </c>
      <c r="Q635">
        <f t="shared" si="162"/>
        <v>1</v>
      </c>
      <c r="R635">
        <f t="shared" si="163"/>
        <v>5</v>
      </c>
      <c r="S635">
        <f t="shared" si="164"/>
        <v>5</v>
      </c>
      <c r="T635">
        <f t="shared" si="165"/>
        <v>1</v>
      </c>
      <c r="U635">
        <v>60</v>
      </c>
      <c r="V635">
        <f t="shared" si="166"/>
        <v>1</v>
      </c>
      <c r="W635">
        <f t="shared" si="167"/>
        <v>0</v>
      </c>
      <c r="X635">
        <f t="shared" si="168"/>
        <v>0</v>
      </c>
      <c r="Y635">
        <f t="shared" si="169"/>
        <v>1</v>
      </c>
      <c r="Z635">
        <f t="shared" si="170"/>
        <v>0</v>
      </c>
      <c r="AA635">
        <f t="shared" si="171"/>
        <v>1</v>
      </c>
      <c r="AB635">
        <f t="shared" si="172"/>
        <v>1</v>
      </c>
      <c r="AC635">
        <f t="shared" si="173"/>
        <v>1</v>
      </c>
      <c r="AD635">
        <f t="shared" si="174"/>
        <v>1</v>
      </c>
      <c r="AE635">
        <f t="shared" si="175"/>
        <v>1</v>
      </c>
      <c r="AF635">
        <f t="shared" si="176"/>
        <v>0</v>
      </c>
      <c r="AG635">
        <f t="shared" si="177"/>
        <v>1</v>
      </c>
      <c r="AH635">
        <f t="shared" si="178"/>
        <v>0</v>
      </c>
      <c r="AI635">
        <f t="shared" si="179"/>
        <v>0</v>
      </c>
    </row>
    <row r="636" spans="1:35" x14ac:dyDescent="0.2">
      <c r="A636">
        <v>193</v>
      </c>
      <c r="B636" t="s">
        <v>1398</v>
      </c>
      <c r="C636">
        <v>6</v>
      </c>
      <c r="D636" t="s">
        <v>1934</v>
      </c>
      <c r="E636" t="s">
        <v>20</v>
      </c>
      <c r="F636" t="s">
        <v>39</v>
      </c>
      <c r="G636" t="s">
        <v>18</v>
      </c>
      <c r="H636" t="s">
        <v>20</v>
      </c>
      <c r="I636">
        <v>5</v>
      </c>
      <c r="J636">
        <v>2</v>
      </c>
      <c r="K636" s="1">
        <v>500</v>
      </c>
      <c r="L636" t="s">
        <v>776</v>
      </c>
      <c r="M636" t="s">
        <v>468</v>
      </c>
      <c r="N636" t="s">
        <v>43</v>
      </c>
      <c r="O636" t="s">
        <v>148</v>
      </c>
      <c r="P636" t="s">
        <v>1935</v>
      </c>
      <c r="Q636">
        <f t="shared" si="162"/>
        <v>2</v>
      </c>
      <c r="R636">
        <f t="shared" si="163"/>
        <v>5</v>
      </c>
      <c r="S636">
        <f t="shared" si="164"/>
        <v>4</v>
      </c>
      <c r="T636">
        <f t="shared" si="165"/>
        <v>2</v>
      </c>
      <c r="U636">
        <v>500</v>
      </c>
      <c r="V636">
        <f t="shared" si="166"/>
        <v>0</v>
      </c>
      <c r="W636">
        <f t="shared" si="167"/>
        <v>1</v>
      </c>
      <c r="X636">
        <f t="shared" si="168"/>
        <v>0</v>
      </c>
      <c r="Y636">
        <f t="shared" si="169"/>
        <v>1</v>
      </c>
      <c r="Z636">
        <f t="shared" si="170"/>
        <v>0</v>
      </c>
      <c r="AA636">
        <f t="shared" si="171"/>
        <v>1</v>
      </c>
      <c r="AB636">
        <f t="shared" si="172"/>
        <v>1</v>
      </c>
      <c r="AC636">
        <f t="shared" si="173"/>
        <v>1</v>
      </c>
      <c r="AD636">
        <f t="shared" si="174"/>
        <v>1</v>
      </c>
      <c r="AE636">
        <f t="shared" si="175"/>
        <v>1</v>
      </c>
      <c r="AF636">
        <f t="shared" si="176"/>
        <v>1</v>
      </c>
      <c r="AG636">
        <f t="shared" si="177"/>
        <v>1</v>
      </c>
      <c r="AH636">
        <f t="shared" si="178"/>
        <v>0</v>
      </c>
      <c r="AI636">
        <f t="shared" si="179"/>
        <v>0</v>
      </c>
    </row>
    <row r="637" spans="1:35" x14ac:dyDescent="0.2">
      <c r="A637">
        <v>194</v>
      </c>
      <c r="B637" t="s">
        <v>1398</v>
      </c>
      <c r="C637">
        <v>10</v>
      </c>
      <c r="D637" t="s">
        <v>1936</v>
      </c>
      <c r="E637" t="s">
        <v>21</v>
      </c>
      <c r="F637" t="s">
        <v>39</v>
      </c>
      <c r="G637" t="s">
        <v>39</v>
      </c>
      <c r="H637" t="s">
        <v>20</v>
      </c>
      <c r="I637">
        <v>3</v>
      </c>
      <c r="J637">
        <v>5</v>
      </c>
      <c r="K637" s="1">
        <v>100000000</v>
      </c>
      <c r="L637" t="s">
        <v>230</v>
      </c>
      <c r="M637" t="s">
        <v>123</v>
      </c>
      <c r="N637" t="s">
        <v>215</v>
      </c>
      <c r="O637" t="s">
        <v>1937</v>
      </c>
      <c r="P637" t="s">
        <v>1938</v>
      </c>
      <c r="Q637">
        <f t="shared" si="162"/>
        <v>1</v>
      </c>
      <c r="R637">
        <f t="shared" si="163"/>
        <v>5</v>
      </c>
      <c r="S637">
        <f t="shared" si="164"/>
        <v>5</v>
      </c>
      <c r="T637">
        <f t="shared" si="165"/>
        <v>2</v>
      </c>
      <c r="U637">
        <v>100000000</v>
      </c>
      <c r="V637">
        <f t="shared" si="166"/>
        <v>1</v>
      </c>
      <c r="W637">
        <f t="shared" si="167"/>
        <v>1</v>
      </c>
      <c r="X637">
        <f t="shared" si="168"/>
        <v>1</v>
      </c>
      <c r="Y637">
        <f t="shared" si="169"/>
        <v>1</v>
      </c>
      <c r="Z637">
        <f t="shared" si="170"/>
        <v>1</v>
      </c>
      <c r="AA637">
        <f t="shared" si="171"/>
        <v>0</v>
      </c>
      <c r="AB637">
        <f t="shared" si="172"/>
        <v>1</v>
      </c>
      <c r="AC637">
        <f t="shared" si="173"/>
        <v>1</v>
      </c>
      <c r="AD637">
        <f t="shared" si="174"/>
        <v>0</v>
      </c>
      <c r="AE637">
        <f t="shared" si="175"/>
        <v>0</v>
      </c>
      <c r="AF637">
        <f t="shared" si="176"/>
        <v>1</v>
      </c>
      <c r="AG637">
        <f t="shared" si="177"/>
        <v>0</v>
      </c>
      <c r="AH637">
        <f t="shared" si="178"/>
        <v>0</v>
      </c>
      <c r="AI637">
        <f t="shared" si="179"/>
        <v>0</v>
      </c>
    </row>
    <row r="638" spans="1:35" x14ac:dyDescent="0.2">
      <c r="A638">
        <v>195</v>
      </c>
      <c r="B638" t="s">
        <v>1398</v>
      </c>
      <c r="C638">
        <v>8</v>
      </c>
      <c r="D638" t="s">
        <v>1939</v>
      </c>
      <c r="E638" t="s">
        <v>21</v>
      </c>
      <c r="F638" t="s">
        <v>39</v>
      </c>
      <c r="G638" t="s">
        <v>39</v>
      </c>
      <c r="H638" t="s">
        <v>21</v>
      </c>
      <c r="I638">
        <v>8</v>
      </c>
      <c r="J638">
        <v>4</v>
      </c>
      <c r="K638">
        <v>1000</v>
      </c>
      <c r="L638" t="s">
        <v>230</v>
      </c>
      <c r="M638" t="s">
        <v>123</v>
      </c>
      <c r="N638" t="s">
        <v>84</v>
      </c>
      <c r="O638" t="s">
        <v>1419</v>
      </c>
      <c r="P638" t="s">
        <v>1940</v>
      </c>
      <c r="Q638">
        <f t="shared" si="162"/>
        <v>1</v>
      </c>
      <c r="R638">
        <f t="shared" si="163"/>
        <v>5</v>
      </c>
      <c r="S638">
        <f t="shared" si="164"/>
        <v>5</v>
      </c>
      <c r="T638">
        <f t="shared" si="165"/>
        <v>1</v>
      </c>
      <c r="U638">
        <v>1000</v>
      </c>
      <c r="V638">
        <f t="shared" si="166"/>
        <v>1</v>
      </c>
      <c r="W638">
        <f t="shared" si="167"/>
        <v>1</v>
      </c>
      <c r="X638">
        <f t="shared" si="168"/>
        <v>1</v>
      </c>
      <c r="Y638">
        <f t="shared" si="169"/>
        <v>1</v>
      </c>
      <c r="Z638">
        <f t="shared" si="170"/>
        <v>1</v>
      </c>
      <c r="AA638">
        <f t="shared" si="171"/>
        <v>0</v>
      </c>
      <c r="AB638">
        <f t="shared" si="172"/>
        <v>1</v>
      </c>
      <c r="AC638">
        <f t="shared" si="173"/>
        <v>1</v>
      </c>
      <c r="AD638">
        <f t="shared" si="174"/>
        <v>0</v>
      </c>
      <c r="AE638">
        <f t="shared" si="175"/>
        <v>0</v>
      </c>
      <c r="AF638">
        <f t="shared" si="176"/>
        <v>0</v>
      </c>
      <c r="AG638">
        <f t="shared" si="177"/>
        <v>1</v>
      </c>
      <c r="AH638">
        <f t="shared" si="178"/>
        <v>0</v>
      </c>
      <c r="AI638">
        <f t="shared" si="179"/>
        <v>0</v>
      </c>
    </row>
    <row r="639" spans="1:35" x14ac:dyDescent="0.2">
      <c r="A639">
        <v>196</v>
      </c>
      <c r="B639" t="s">
        <v>1398</v>
      </c>
      <c r="C639">
        <v>8</v>
      </c>
      <c r="D639" t="s">
        <v>1941</v>
      </c>
      <c r="E639" t="s">
        <v>21</v>
      </c>
      <c r="F639" t="s">
        <v>39</v>
      </c>
      <c r="G639" t="s">
        <v>39</v>
      </c>
      <c r="H639" t="s">
        <v>21</v>
      </c>
      <c r="I639">
        <v>3</v>
      </c>
      <c r="J639">
        <v>2</v>
      </c>
      <c r="K639">
        <v>325</v>
      </c>
      <c r="L639" t="s">
        <v>41</v>
      </c>
      <c r="M639" t="s">
        <v>777</v>
      </c>
      <c r="N639" t="s">
        <v>215</v>
      </c>
      <c r="O639" t="s">
        <v>1942</v>
      </c>
      <c r="P639" t="s">
        <v>1943</v>
      </c>
      <c r="Q639">
        <f t="shared" si="162"/>
        <v>1</v>
      </c>
      <c r="R639">
        <f t="shared" si="163"/>
        <v>5</v>
      </c>
      <c r="S639">
        <f t="shared" si="164"/>
        <v>5</v>
      </c>
      <c r="T639">
        <f t="shared" si="165"/>
        <v>1</v>
      </c>
      <c r="U639">
        <v>325</v>
      </c>
      <c r="V639">
        <f t="shared" si="166"/>
        <v>0</v>
      </c>
      <c r="W639">
        <f t="shared" si="167"/>
        <v>0</v>
      </c>
      <c r="X639">
        <f t="shared" si="168"/>
        <v>0</v>
      </c>
      <c r="Y639">
        <f t="shared" si="169"/>
        <v>0</v>
      </c>
      <c r="Z639">
        <f t="shared" si="170"/>
        <v>1</v>
      </c>
      <c r="AA639">
        <f t="shared" si="171"/>
        <v>0</v>
      </c>
      <c r="AB639">
        <f t="shared" si="172"/>
        <v>1</v>
      </c>
      <c r="AC639">
        <f t="shared" si="173"/>
        <v>0</v>
      </c>
      <c r="AD639">
        <f t="shared" si="174"/>
        <v>0</v>
      </c>
      <c r="AE639">
        <f t="shared" si="175"/>
        <v>1</v>
      </c>
      <c r="AF639">
        <f t="shared" si="176"/>
        <v>1</v>
      </c>
      <c r="AG639">
        <f t="shared" si="177"/>
        <v>0</v>
      </c>
      <c r="AH639">
        <f t="shared" si="178"/>
        <v>0</v>
      </c>
      <c r="AI639">
        <f t="shared" si="179"/>
        <v>0</v>
      </c>
    </row>
    <row r="640" spans="1:35" x14ac:dyDescent="0.2">
      <c r="A640">
        <v>197</v>
      </c>
      <c r="B640" t="s">
        <v>1398</v>
      </c>
      <c r="C640">
        <v>7</v>
      </c>
      <c r="D640" t="s">
        <v>1944</v>
      </c>
      <c r="E640" t="s">
        <v>20</v>
      </c>
      <c r="F640" t="s">
        <v>18</v>
      </c>
      <c r="G640" t="s">
        <v>18</v>
      </c>
      <c r="H640" t="s">
        <v>20</v>
      </c>
      <c r="I640">
        <v>2</v>
      </c>
      <c r="J640">
        <v>2</v>
      </c>
      <c r="K640" s="1">
        <v>150000</v>
      </c>
      <c r="L640" t="s">
        <v>79</v>
      </c>
      <c r="M640" t="s">
        <v>115</v>
      </c>
      <c r="N640" t="s">
        <v>84</v>
      </c>
      <c r="O640" t="s">
        <v>1945</v>
      </c>
      <c r="P640" t="s">
        <v>1946</v>
      </c>
      <c r="Q640">
        <f t="shared" si="162"/>
        <v>2</v>
      </c>
      <c r="R640">
        <f t="shared" si="163"/>
        <v>4</v>
      </c>
      <c r="S640">
        <f t="shared" si="164"/>
        <v>4</v>
      </c>
      <c r="T640">
        <f t="shared" si="165"/>
        <v>2</v>
      </c>
      <c r="U640">
        <v>150000</v>
      </c>
      <c r="V640">
        <f t="shared" si="166"/>
        <v>0</v>
      </c>
      <c r="W640">
        <f t="shared" si="167"/>
        <v>1</v>
      </c>
      <c r="X640">
        <f t="shared" si="168"/>
        <v>0</v>
      </c>
      <c r="Y640">
        <f t="shared" si="169"/>
        <v>0</v>
      </c>
      <c r="Z640">
        <f t="shared" si="170"/>
        <v>1</v>
      </c>
      <c r="AA640">
        <f t="shared" si="171"/>
        <v>0</v>
      </c>
      <c r="AB640">
        <f t="shared" si="172"/>
        <v>0</v>
      </c>
      <c r="AC640">
        <f t="shared" si="173"/>
        <v>1</v>
      </c>
      <c r="AD640">
        <f t="shared" si="174"/>
        <v>0</v>
      </c>
      <c r="AE640">
        <f t="shared" si="175"/>
        <v>0</v>
      </c>
      <c r="AF640">
        <f t="shared" si="176"/>
        <v>0</v>
      </c>
      <c r="AG640">
        <f t="shared" si="177"/>
        <v>1</v>
      </c>
      <c r="AH640">
        <f t="shared" si="178"/>
        <v>0</v>
      </c>
      <c r="AI640">
        <f t="shared" si="179"/>
        <v>0</v>
      </c>
    </row>
    <row r="641" spans="1:35" ht="51" x14ac:dyDescent="0.2">
      <c r="A641">
        <v>198</v>
      </c>
      <c r="B641" t="s">
        <v>1398</v>
      </c>
      <c r="C641">
        <v>5</v>
      </c>
      <c r="D641" s="3" t="s">
        <v>1947</v>
      </c>
      <c r="E641" t="s">
        <v>20</v>
      </c>
      <c r="F641" t="s">
        <v>18</v>
      </c>
      <c r="G641" t="s">
        <v>39</v>
      </c>
      <c r="H641" t="s">
        <v>21</v>
      </c>
      <c r="I641">
        <v>30</v>
      </c>
      <c r="J641">
        <v>2</v>
      </c>
      <c r="K641">
        <v>5000</v>
      </c>
      <c r="L641" t="s">
        <v>70</v>
      </c>
      <c r="M641" t="s">
        <v>115</v>
      </c>
      <c r="N641" t="s">
        <v>215</v>
      </c>
      <c r="O641" t="s">
        <v>1948</v>
      </c>
      <c r="P641" t="s">
        <v>1949</v>
      </c>
      <c r="Q641">
        <f t="shared" si="162"/>
        <v>2</v>
      </c>
      <c r="R641">
        <f t="shared" si="163"/>
        <v>4</v>
      </c>
      <c r="S641">
        <f t="shared" si="164"/>
        <v>5</v>
      </c>
      <c r="T641">
        <f t="shared" si="165"/>
        <v>1</v>
      </c>
      <c r="U641">
        <v>5000</v>
      </c>
      <c r="V641">
        <f t="shared" si="166"/>
        <v>0</v>
      </c>
      <c r="W641">
        <f t="shared" si="167"/>
        <v>0</v>
      </c>
      <c r="X641">
        <f t="shared" si="168"/>
        <v>0</v>
      </c>
      <c r="Y641">
        <f t="shared" si="169"/>
        <v>1</v>
      </c>
      <c r="Z641">
        <f t="shared" si="170"/>
        <v>0</v>
      </c>
      <c r="AA641">
        <f t="shared" si="171"/>
        <v>0</v>
      </c>
      <c r="AB641">
        <f t="shared" si="172"/>
        <v>0</v>
      </c>
      <c r="AC641">
        <f t="shared" si="173"/>
        <v>1</v>
      </c>
      <c r="AD641">
        <f t="shared" si="174"/>
        <v>0</v>
      </c>
      <c r="AE641">
        <f t="shared" si="175"/>
        <v>0</v>
      </c>
      <c r="AF641">
        <f t="shared" si="176"/>
        <v>1</v>
      </c>
      <c r="AG641">
        <f t="shared" si="177"/>
        <v>0</v>
      </c>
      <c r="AH641">
        <f t="shared" si="178"/>
        <v>0</v>
      </c>
      <c r="AI641">
        <f t="shared" si="179"/>
        <v>0</v>
      </c>
    </row>
    <row r="642" spans="1:35" x14ac:dyDescent="0.2">
      <c r="A642">
        <v>199</v>
      </c>
      <c r="B642" t="s">
        <v>1398</v>
      </c>
      <c r="C642">
        <v>6</v>
      </c>
      <c r="D642" t="s">
        <v>1950</v>
      </c>
      <c r="E642" t="s">
        <v>21</v>
      </c>
      <c r="F642" t="s">
        <v>18</v>
      </c>
      <c r="G642" t="s">
        <v>20</v>
      </c>
      <c r="H642" t="s">
        <v>21</v>
      </c>
      <c r="I642">
        <v>1</v>
      </c>
      <c r="J642">
        <v>1</v>
      </c>
      <c r="K642" s="1">
        <v>300</v>
      </c>
      <c r="L642" t="s">
        <v>75</v>
      </c>
      <c r="M642" t="s">
        <v>219</v>
      </c>
      <c r="N642" t="s">
        <v>215</v>
      </c>
      <c r="O642" t="s">
        <v>1951</v>
      </c>
      <c r="P642" t="s">
        <v>1952</v>
      </c>
      <c r="Q642">
        <f t="shared" si="162"/>
        <v>1</v>
      </c>
      <c r="R642">
        <f t="shared" si="163"/>
        <v>4</v>
      </c>
      <c r="S642">
        <f t="shared" si="164"/>
        <v>2</v>
      </c>
      <c r="T642">
        <f t="shared" si="165"/>
        <v>1</v>
      </c>
      <c r="U642">
        <v>300</v>
      </c>
      <c r="V642">
        <f t="shared" si="166"/>
        <v>0</v>
      </c>
      <c r="W642">
        <f t="shared" si="167"/>
        <v>0</v>
      </c>
      <c r="X642">
        <f t="shared" si="168"/>
        <v>1</v>
      </c>
      <c r="Y642">
        <f t="shared" si="169"/>
        <v>1</v>
      </c>
      <c r="Z642">
        <f t="shared" si="170"/>
        <v>0</v>
      </c>
      <c r="AA642">
        <f t="shared" si="171"/>
        <v>0</v>
      </c>
      <c r="AB642">
        <f t="shared" si="172"/>
        <v>0</v>
      </c>
      <c r="AC642">
        <f t="shared" si="173"/>
        <v>0</v>
      </c>
      <c r="AD642">
        <f t="shared" si="174"/>
        <v>0</v>
      </c>
      <c r="AE642">
        <f t="shared" si="175"/>
        <v>1</v>
      </c>
      <c r="AF642">
        <f t="shared" si="176"/>
        <v>1</v>
      </c>
      <c r="AG642">
        <f t="shared" si="177"/>
        <v>0</v>
      </c>
      <c r="AH642">
        <f t="shared" si="178"/>
        <v>0</v>
      </c>
      <c r="AI642">
        <f t="shared" si="179"/>
        <v>0</v>
      </c>
    </row>
    <row r="643" spans="1:35" x14ac:dyDescent="0.2">
      <c r="A643">
        <v>200</v>
      </c>
      <c r="B643" t="s">
        <v>1398</v>
      </c>
      <c r="C643">
        <v>8</v>
      </c>
      <c r="D643" t="s">
        <v>1953</v>
      </c>
      <c r="E643" t="s">
        <v>21</v>
      </c>
      <c r="F643" t="s">
        <v>18</v>
      </c>
      <c r="G643" t="s">
        <v>39</v>
      </c>
      <c r="H643" t="s">
        <v>21</v>
      </c>
      <c r="I643">
        <v>1</v>
      </c>
      <c r="J643">
        <v>2</v>
      </c>
      <c r="K643">
        <v>0</v>
      </c>
      <c r="L643" t="s">
        <v>41</v>
      </c>
      <c r="M643" t="s">
        <v>23</v>
      </c>
      <c r="N643" t="s">
        <v>215</v>
      </c>
      <c r="O643" t="s">
        <v>1419</v>
      </c>
      <c r="P643" t="s">
        <v>1954</v>
      </c>
      <c r="Q643">
        <f t="shared" ref="Q643:Q706" si="180">IF(E643="", "", LEFT(E643, 1) * 1)</f>
        <v>1</v>
      </c>
      <c r="R643">
        <f t="shared" ref="R643:R706" si="181">IF(F643="","",VALUE(LEFT(F643,FIND(" ",F643)-1)))</f>
        <v>4</v>
      </c>
      <c r="S643">
        <f t="shared" ref="S643:S706" si="182">IF(G643="","",VALUE(LEFT(G643,FIND(" ",G643)-1)))</f>
        <v>5</v>
      </c>
      <c r="T643">
        <f t="shared" ref="T643:T706" si="183">IF(H643="","",VALUE(LEFT(H643,FIND(" ",H643)-1)))</f>
        <v>1</v>
      </c>
      <c r="U643">
        <v>0</v>
      </c>
      <c r="V643">
        <f t="shared" ref="V643:V706" si="184">IF(L643="",0,IF(ISNUMBER(SEARCH("Bathroom",L643)),1,0))</f>
        <v>0</v>
      </c>
      <c r="W643">
        <f t="shared" ref="W643:W706" si="185">IF(L643="",0,IF(ISNUMBER(SEARCH("Dining room",L643)),1,0))</f>
        <v>0</v>
      </c>
      <c r="X643">
        <f t="shared" ref="X643:X706" si="186">IF(L643="",0,IF(ISNUMBER(SEARCH("Office",L643)),1,0))</f>
        <v>0</v>
      </c>
      <c r="Y643">
        <f t="shared" ref="Y643:Y706" si="187">IF(L643="",0,IF(ISNUMBER(SEARCH("Bedroom",L643)),1,0))</f>
        <v>0</v>
      </c>
      <c r="Z643">
        <f t="shared" ref="Z643:Z706" si="188">IF(L643="",0,IF(ISNUMBER(SEARCH("Living room",L643)),1,0))</f>
        <v>1</v>
      </c>
      <c r="AA643">
        <f t="shared" ref="AA643:AA706" si="189">IF(M643="",0, IF(ISNUMBER(SEARCH("By yourself",M643)), 1, 0))</f>
        <v>1</v>
      </c>
      <c r="AB643">
        <f t="shared" ref="AB643:AB706" si="190">IF(M643="", 0, IF(ISNUMBER(SEARCH("Friends", M643)), 1, 0))</f>
        <v>0</v>
      </c>
      <c r="AC643">
        <f t="shared" ref="AC643:AC706" si="191">IF(M643="",0,IF(ISNUMBER(SEARCH("Family members", M643)), 1, 0))</f>
        <v>0</v>
      </c>
      <c r="AD643">
        <f t="shared" ref="AD643:AD706" si="192">IF(M643="", 0, IF(ISNUMBER(SEARCH("Coworkers/Classmates", M643)), 1, 0))</f>
        <v>0</v>
      </c>
      <c r="AE643">
        <f t="shared" ref="AE643:AE706" si="193">IF(M643="", 0, IF(ISNUMBER(SEARCH("Strangers", M643)), 1, 0))</f>
        <v>0</v>
      </c>
      <c r="AF643">
        <f t="shared" ref="AF643:AF706" si="194">IF(N643="", 0, IF(ISNUMBER(SEARCH("Spring", N643)), 1, 0))</f>
        <v>1</v>
      </c>
      <c r="AG643">
        <f t="shared" ref="AG643:AG706" si="195">IF(N643="", 0, IF(ISNUMBER(SEARCH("Summer", N643)), 1, 0))</f>
        <v>0</v>
      </c>
      <c r="AH643">
        <f t="shared" ref="AH643:AH706" si="196">IF(N643="", 0, IF(ISNUMBER(SEARCH("Fall", N643)), 1, 0))</f>
        <v>0</v>
      </c>
      <c r="AI643">
        <f t="shared" ref="AI643:AI706" si="197">IF(N643="", 0, IF(ISNUMBER(SEARCH("Winter", N643)), 1, 0))</f>
        <v>0</v>
      </c>
    </row>
    <row r="644" spans="1:35" x14ac:dyDescent="0.2">
      <c r="A644">
        <v>201</v>
      </c>
      <c r="B644" t="s">
        <v>1398</v>
      </c>
      <c r="C644">
        <v>3</v>
      </c>
      <c r="D644" t="s">
        <v>1955</v>
      </c>
      <c r="E644" t="s">
        <v>21</v>
      </c>
      <c r="F644" t="s">
        <v>18</v>
      </c>
      <c r="G644" t="s">
        <v>39</v>
      </c>
      <c r="H644" t="s">
        <v>21</v>
      </c>
      <c r="I644">
        <v>2</v>
      </c>
      <c r="J644">
        <v>4</v>
      </c>
      <c r="K644">
        <v>10000</v>
      </c>
      <c r="L644" t="s">
        <v>601</v>
      </c>
      <c r="M644" t="s">
        <v>154</v>
      </c>
      <c r="N644" t="s">
        <v>84</v>
      </c>
      <c r="O644" t="s">
        <v>1813</v>
      </c>
      <c r="P644" t="s">
        <v>1956</v>
      </c>
      <c r="Q644">
        <f t="shared" si="180"/>
        <v>1</v>
      </c>
      <c r="R644">
        <f t="shared" si="181"/>
        <v>4</v>
      </c>
      <c r="S644">
        <f t="shared" si="182"/>
        <v>5</v>
      </c>
      <c r="T644">
        <f t="shared" si="183"/>
        <v>1</v>
      </c>
      <c r="U644">
        <v>10000</v>
      </c>
      <c r="V644">
        <f t="shared" si="184"/>
        <v>0</v>
      </c>
      <c r="W644">
        <f t="shared" si="185"/>
        <v>1</v>
      </c>
      <c r="X644">
        <f t="shared" si="186"/>
        <v>0</v>
      </c>
      <c r="Y644">
        <f t="shared" si="187"/>
        <v>1</v>
      </c>
      <c r="Z644">
        <f t="shared" si="188"/>
        <v>1</v>
      </c>
      <c r="AA644">
        <f t="shared" si="189"/>
        <v>1</v>
      </c>
      <c r="AB644">
        <f t="shared" si="190"/>
        <v>0</v>
      </c>
      <c r="AC644">
        <f t="shared" si="191"/>
        <v>1</v>
      </c>
      <c r="AD644">
        <f t="shared" si="192"/>
        <v>0</v>
      </c>
      <c r="AE644">
        <f t="shared" si="193"/>
        <v>0</v>
      </c>
      <c r="AF644">
        <f t="shared" si="194"/>
        <v>0</v>
      </c>
      <c r="AG644">
        <f t="shared" si="195"/>
        <v>1</v>
      </c>
      <c r="AH644">
        <f t="shared" si="196"/>
        <v>0</v>
      </c>
      <c r="AI644">
        <f t="shared" si="197"/>
        <v>0</v>
      </c>
    </row>
    <row r="645" spans="1:35" x14ac:dyDescent="0.2">
      <c r="A645">
        <v>202</v>
      </c>
      <c r="B645" t="s">
        <v>1398</v>
      </c>
      <c r="C645">
        <v>2</v>
      </c>
      <c r="D645" t="s">
        <v>1957</v>
      </c>
      <c r="E645" t="s">
        <v>21</v>
      </c>
      <c r="F645" t="s">
        <v>39</v>
      </c>
      <c r="G645" t="s">
        <v>18</v>
      </c>
      <c r="H645" t="s">
        <v>21</v>
      </c>
      <c r="I645">
        <v>3</v>
      </c>
      <c r="J645">
        <v>1</v>
      </c>
      <c r="K645" s="1">
        <v>25</v>
      </c>
      <c r="L645" t="s">
        <v>435</v>
      </c>
      <c r="M645" t="s">
        <v>48</v>
      </c>
      <c r="N645" t="s">
        <v>215</v>
      </c>
      <c r="O645" t="s">
        <v>1668</v>
      </c>
      <c r="P645" t="s">
        <v>1958</v>
      </c>
      <c r="Q645">
        <f t="shared" si="180"/>
        <v>1</v>
      </c>
      <c r="R645">
        <f t="shared" si="181"/>
        <v>5</v>
      </c>
      <c r="S645">
        <f t="shared" si="182"/>
        <v>4</v>
      </c>
      <c r="T645">
        <f t="shared" si="183"/>
        <v>1</v>
      </c>
      <c r="U645">
        <v>25</v>
      </c>
      <c r="V645">
        <f t="shared" si="184"/>
        <v>1</v>
      </c>
      <c r="W645">
        <f t="shared" si="185"/>
        <v>0</v>
      </c>
      <c r="X645">
        <f t="shared" si="186"/>
        <v>0</v>
      </c>
      <c r="Y645">
        <f t="shared" si="187"/>
        <v>0</v>
      </c>
      <c r="Z645">
        <f t="shared" si="188"/>
        <v>1</v>
      </c>
      <c r="AA645">
        <f t="shared" si="189"/>
        <v>1</v>
      </c>
      <c r="AB645">
        <f t="shared" si="190"/>
        <v>1</v>
      </c>
      <c r="AC645">
        <f t="shared" si="191"/>
        <v>1</v>
      </c>
      <c r="AD645">
        <f t="shared" si="192"/>
        <v>0</v>
      </c>
      <c r="AE645">
        <f t="shared" si="193"/>
        <v>0</v>
      </c>
      <c r="AF645">
        <f t="shared" si="194"/>
        <v>1</v>
      </c>
      <c r="AG645">
        <f t="shared" si="195"/>
        <v>0</v>
      </c>
      <c r="AH645">
        <f t="shared" si="196"/>
        <v>0</v>
      </c>
      <c r="AI645">
        <f t="shared" si="197"/>
        <v>0</v>
      </c>
    </row>
    <row r="646" spans="1:35" x14ac:dyDescent="0.2">
      <c r="A646">
        <v>203</v>
      </c>
      <c r="B646" t="s">
        <v>1398</v>
      </c>
      <c r="C646">
        <v>8</v>
      </c>
      <c r="D646" t="s">
        <v>1959</v>
      </c>
      <c r="E646" t="s">
        <v>21</v>
      </c>
      <c r="F646" t="s">
        <v>39</v>
      </c>
      <c r="G646" t="s">
        <v>18</v>
      </c>
      <c r="H646" t="s">
        <v>21</v>
      </c>
      <c r="I646">
        <v>2</v>
      </c>
      <c r="J646">
        <v>1</v>
      </c>
      <c r="K646" t="s">
        <v>1960</v>
      </c>
      <c r="L646" t="s">
        <v>514</v>
      </c>
      <c r="M646" t="s">
        <v>154</v>
      </c>
      <c r="N646" t="s">
        <v>215</v>
      </c>
      <c r="O646" t="s">
        <v>1961</v>
      </c>
      <c r="P646" t="s">
        <v>1962</v>
      </c>
      <c r="Q646">
        <f t="shared" si="180"/>
        <v>1</v>
      </c>
      <c r="R646">
        <f t="shared" si="181"/>
        <v>5</v>
      </c>
      <c r="S646">
        <f t="shared" si="182"/>
        <v>4</v>
      </c>
      <c r="T646">
        <f t="shared" si="183"/>
        <v>1</v>
      </c>
      <c r="U646">
        <v>250</v>
      </c>
      <c r="V646">
        <f t="shared" si="184"/>
        <v>1</v>
      </c>
      <c r="W646">
        <f t="shared" si="185"/>
        <v>1</v>
      </c>
      <c r="X646">
        <f t="shared" si="186"/>
        <v>0</v>
      </c>
      <c r="Y646">
        <f t="shared" si="187"/>
        <v>0</v>
      </c>
      <c r="Z646">
        <f t="shared" si="188"/>
        <v>1</v>
      </c>
      <c r="AA646">
        <f t="shared" si="189"/>
        <v>1</v>
      </c>
      <c r="AB646">
        <f t="shared" si="190"/>
        <v>0</v>
      </c>
      <c r="AC646">
        <f t="shared" si="191"/>
        <v>1</v>
      </c>
      <c r="AD646">
        <f t="shared" si="192"/>
        <v>0</v>
      </c>
      <c r="AE646">
        <f t="shared" si="193"/>
        <v>0</v>
      </c>
      <c r="AF646">
        <f t="shared" si="194"/>
        <v>1</v>
      </c>
      <c r="AG646">
        <f t="shared" si="195"/>
        <v>0</v>
      </c>
      <c r="AH646">
        <f t="shared" si="196"/>
        <v>0</v>
      </c>
      <c r="AI646">
        <f t="shared" si="197"/>
        <v>0</v>
      </c>
    </row>
    <row r="647" spans="1:35" x14ac:dyDescent="0.2">
      <c r="A647">
        <v>204</v>
      </c>
      <c r="B647" t="s">
        <v>1398</v>
      </c>
      <c r="C647">
        <v>5</v>
      </c>
      <c r="D647" t="s">
        <v>1963</v>
      </c>
      <c r="E647" t="s">
        <v>21</v>
      </c>
      <c r="F647" t="s">
        <v>39</v>
      </c>
      <c r="G647" t="s">
        <v>39</v>
      </c>
      <c r="H647" t="s">
        <v>21</v>
      </c>
      <c r="I647">
        <v>4</v>
      </c>
      <c r="J647">
        <v>4</v>
      </c>
      <c r="K647">
        <v>60000</v>
      </c>
      <c r="L647" t="s">
        <v>41</v>
      </c>
      <c r="M647" t="s">
        <v>23</v>
      </c>
      <c r="N647" t="s">
        <v>84</v>
      </c>
      <c r="O647" t="s">
        <v>1964</v>
      </c>
      <c r="P647" t="s">
        <v>1965</v>
      </c>
      <c r="Q647">
        <f t="shared" si="180"/>
        <v>1</v>
      </c>
      <c r="R647">
        <f t="shared" si="181"/>
        <v>5</v>
      </c>
      <c r="S647">
        <f t="shared" si="182"/>
        <v>5</v>
      </c>
      <c r="T647">
        <f t="shared" si="183"/>
        <v>1</v>
      </c>
      <c r="U647">
        <v>60000</v>
      </c>
      <c r="V647">
        <f t="shared" si="184"/>
        <v>0</v>
      </c>
      <c r="W647">
        <f t="shared" si="185"/>
        <v>0</v>
      </c>
      <c r="X647">
        <f t="shared" si="186"/>
        <v>0</v>
      </c>
      <c r="Y647">
        <f t="shared" si="187"/>
        <v>0</v>
      </c>
      <c r="Z647">
        <f t="shared" si="188"/>
        <v>1</v>
      </c>
      <c r="AA647">
        <f t="shared" si="189"/>
        <v>1</v>
      </c>
      <c r="AB647">
        <f t="shared" si="190"/>
        <v>0</v>
      </c>
      <c r="AC647">
        <f t="shared" si="191"/>
        <v>0</v>
      </c>
      <c r="AD647">
        <f t="shared" si="192"/>
        <v>0</v>
      </c>
      <c r="AE647">
        <f t="shared" si="193"/>
        <v>0</v>
      </c>
      <c r="AF647">
        <f t="shared" si="194"/>
        <v>0</v>
      </c>
      <c r="AG647">
        <f t="shared" si="195"/>
        <v>1</v>
      </c>
      <c r="AH647">
        <f t="shared" si="196"/>
        <v>0</v>
      </c>
      <c r="AI647">
        <f t="shared" si="197"/>
        <v>0</v>
      </c>
    </row>
    <row r="648" spans="1:35" x14ac:dyDescent="0.2">
      <c r="A648">
        <v>205</v>
      </c>
      <c r="B648" t="s">
        <v>1398</v>
      </c>
      <c r="C648">
        <v>6</v>
      </c>
      <c r="D648" t="s">
        <v>1966</v>
      </c>
      <c r="E648" t="s">
        <v>21</v>
      </c>
      <c r="F648" t="s">
        <v>18</v>
      </c>
      <c r="G648" t="s">
        <v>39</v>
      </c>
      <c r="H648" t="s">
        <v>21</v>
      </c>
      <c r="I648">
        <v>3</v>
      </c>
      <c r="J648">
        <v>1</v>
      </c>
      <c r="K648">
        <v>8000</v>
      </c>
      <c r="L648" t="s">
        <v>562</v>
      </c>
      <c r="M648" t="s">
        <v>99</v>
      </c>
      <c r="N648" t="s">
        <v>84</v>
      </c>
      <c r="O648" t="s">
        <v>1967</v>
      </c>
      <c r="P648" t="s">
        <v>1968</v>
      </c>
      <c r="Q648">
        <f t="shared" si="180"/>
        <v>1</v>
      </c>
      <c r="R648">
        <f t="shared" si="181"/>
        <v>4</v>
      </c>
      <c r="S648">
        <f t="shared" si="182"/>
        <v>5</v>
      </c>
      <c r="T648">
        <f t="shared" si="183"/>
        <v>1</v>
      </c>
      <c r="U648">
        <v>8000</v>
      </c>
      <c r="V648">
        <f t="shared" si="184"/>
        <v>0</v>
      </c>
      <c r="W648">
        <f t="shared" si="185"/>
        <v>1</v>
      </c>
      <c r="X648">
        <f t="shared" si="186"/>
        <v>1</v>
      </c>
      <c r="Y648">
        <f t="shared" si="187"/>
        <v>0</v>
      </c>
      <c r="Z648">
        <f t="shared" si="188"/>
        <v>1</v>
      </c>
      <c r="AA648">
        <f t="shared" si="189"/>
        <v>1</v>
      </c>
      <c r="AB648">
        <f t="shared" si="190"/>
        <v>0</v>
      </c>
      <c r="AC648">
        <f t="shared" si="191"/>
        <v>0</v>
      </c>
      <c r="AD648">
        <f t="shared" si="192"/>
        <v>0</v>
      </c>
      <c r="AE648">
        <f t="shared" si="193"/>
        <v>1</v>
      </c>
      <c r="AF648">
        <f t="shared" si="194"/>
        <v>0</v>
      </c>
      <c r="AG648">
        <f t="shared" si="195"/>
        <v>1</v>
      </c>
      <c r="AH648">
        <f t="shared" si="196"/>
        <v>0</v>
      </c>
      <c r="AI648">
        <f t="shared" si="197"/>
        <v>0</v>
      </c>
    </row>
    <row r="649" spans="1:35" x14ac:dyDescent="0.2">
      <c r="A649">
        <v>206</v>
      </c>
      <c r="B649" t="s">
        <v>1398</v>
      </c>
      <c r="C649">
        <v>5</v>
      </c>
      <c r="D649" t="s">
        <v>1969</v>
      </c>
      <c r="E649" t="s">
        <v>21</v>
      </c>
      <c r="F649" t="s">
        <v>19</v>
      </c>
      <c r="G649" t="s">
        <v>19</v>
      </c>
      <c r="H649" t="s">
        <v>21</v>
      </c>
      <c r="I649">
        <v>3</v>
      </c>
      <c r="J649">
        <v>4</v>
      </c>
      <c r="K649">
        <v>100000</v>
      </c>
      <c r="L649" t="s">
        <v>562</v>
      </c>
      <c r="M649" t="s">
        <v>154</v>
      </c>
      <c r="N649" t="s">
        <v>43</v>
      </c>
      <c r="O649" t="s">
        <v>1970</v>
      </c>
      <c r="P649" t="s">
        <v>1971</v>
      </c>
      <c r="Q649">
        <f t="shared" si="180"/>
        <v>1</v>
      </c>
      <c r="R649">
        <f t="shared" si="181"/>
        <v>3</v>
      </c>
      <c r="S649">
        <f t="shared" si="182"/>
        <v>3</v>
      </c>
      <c r="T649">
        <f t="shared" si="183"/>
        <v>1</v>
      </c>
      <c r="U649">
        <v>100000</v>
      </c>
      <c r="V649">
        <f t="shared" si="184"/>
        <v>0</v>
      </c>
      <c r="W649">
        <f t="shared" si="185"/>
        <v>1</v>
      </c>
      <c r="X649">
        <f t="shared" si="186"/>
        <v>1</v>
      </c>
      <c r="Y649">
        <f t="shared" si="187"/>
        <v>0</v>
      </c>
      <c r="Z649">
        <f t="shared" si="188"/>
        <v>1</v>
      </c>
      <c r="AA649">
        <f t="shared" si="189"/>
        <v>1</v>
      </c>
      <c r="AB649">
        <f t="shared" si="190"/>
        <v>0</v>
      </c>
      <c r="AC649">
        <f t="shared" si="191"/>
        <v>1</v>
      </c>
      <c r="AD649">
        <f t="shared" si="192"/>
        <v>0</v>
      </c>
      <c r="AE649">
        <f t="shared" si="193"/>
        <v>0</v>
      </c>
      <c r="AF649">
        <f t="shared" si="194"/>
        <v>1</v>
      </c>
      <c r="AG649">
        <f t="shared" si="195"/>
        <v>1</v>
      </c>
      <c r="AH649">
        <f t="shared" si="196"/>
        <v>0</v>
      </c>
      <c r="AI649">
        <f t="shared" si="197"/>
        <v>0</v>
      </c>
    </row>
    <row r="650" spans="1:35" x14ac:dyDescent="0.2">
      <c r="A650">
        <v>207</v>
      </c>
      <c r="B650" t="s">
        <v>1398</v>
      </c>
      <c r="C650">
        <v>8</v>
      </c>
      <c r="D650" t="s">
        <v>1972</v>
      </c>
      <c r="E650" t="s">
        <v>19</v>
      </c>
      <c r="F650" t="s">
        <v>18</v>
      </c>
      <c r="G650" t="s">
        <v>18</v>
      </c>
      <c r="H650" t="s">
        <v>21</v>
      </c>
      <c r="I650">
        <v>1</v>
      </c>
      <c r="J650">
        <v>1</v>
      </c>
      <c r="K650" s="1">
        <v>100</v>
      </c>
      <c r="L650" t="s">
        <v>194</v>
      </c>
      <c r="M650" t="s">
        <v>99</v>
      </c>
      <c r="N650" t="s">
        <v>215</v>
      </c>
      <c r="O650" t="s">
        <v>1973</v>
      </c>
      <c r="P650" t="s">
        <v>1974</v>
      </c>
      <c r="Q650">
        <f t="shared" si="180"/>
        <v>3</v>
      </c>
      <c r="R650">
        <f t="shared" si="181"/>
        <v>4</v>
      </c>
      <c r="S650">
        <f t="shared" si="182"/>
        <v>4</v>
      </c>
      <c r="T650">
        <f t="shared" si="183"/>
        <v>1</v>
      </c>
      <c r="U650">
        <v>100</v>
      </c>
      <c r="V650">
        <f t="shared" si="184"/>
        <v>0</v>
      </c>
      <c r="W650">
        <f t="shared" si="185"/>
        <v>0</v>
      </c>
      <c r="X650">
        <f t="shared" si="186"/>
        <v>0</v>
      </c>
      <c r="Y650">
        <f t="shared" si="187"/>
        <v>1</v>
      </c>
      <c r="Z650">
        <f t="shared" si="188"/>
        <v>1</v>
      </c>
      <c r="AA650">
        <f t="shared" si="189"/>
        <v>1</v>
      </c>
      <c r="AB650">
        <f t="shared" si="190"/>
        <v>0</v>
      </c>
      <c r="AC650">
        <f t="shared" si="191"/>
        <v>0</v>
      </c>
      <c r="AD650">
        <f t="shared" si="192"/>
        <v>0</v>
      </c>
      <c r="AE650">
        <f t="shared" si="193"/>
        <v>1</v>
      </c>
      <c r="AF650">
        <f t="shared" si="194"/>
        <v>1</v>
      </c>
      <c r="AG650">
        <f t="shared" si="195"/>
        <v>0</v>
      </c>
      <c r="AH650">
        <f t="shared" si="196"/>
        <v>0</v>
      </c>
      <c r="AI650">
        <f t="shared" si="197"/>
        <v>0</v>
      </c>
    </row>
    <row r="651" spans="1:35" x14ac:dyDescent="0.2">
      <c r="A651">
        <v>208</v>
      </c>
      <c r="B651" t="s">
        <v>1398</v>
      </c>
      <c r="C651">
        <v>2</v>
      </c>
      <c r="D651" t="s">
        <v>1975</v>
      </c>
      <c r="E651" t="s">
        <v>20</v>
      </c>
      <c r="F651" t="s">
        <v>39</v>
      </c>
      <c r="G651" t="s">
        <v>39</v>
      </c>
      <c r="H651" t="s">
        <v>21</v>
      </c>
      <c r="I651">
        <v>2</v>
      </c>
      <c r="J651">
        <v>1</v>
      </c>
      <c r="K651">
        <v>55</v>
      </c>
      <c r="L651" t="s">
        <v>601</v>
      </c>
      <c r="M651" t="s">
        <v>48</v>
      </c>
      <c r="N651" t="s">
        <v>43</v>
      </c>
      <c r="O651" t="s">
        <v>1976</v>
      </c>
      <c r="P651" t="s">
        <v>1977</v>
      </c>
      <c r="Q651">
        <f t="shared" si="180"/>
        <v>2</v>
      </c>
      <c r="R651">
        <f t="shared" si="181"/>
        <v>5</v>
      </c>
      <c r="S651">
        <f t="shared" si="182"/>
        <v>5</v>
      </c>
      <c r="T651">
        <f t="shared" si="183"/>
        <v>1</v>
      </c>
      <c r="U651">
        <v>55</v>
      </c>
      <c r="V651">
        <f t="shared" si="184"/>
        <v>0</v>
      </c>
      <c r="W651">
        <f t="shared" si="185"/>
        <v>1</v>
      </c>
      <c r="X651">
        <f t="shared" si="186"/>
        <v>0</v>
      </c>
      <c r="Y651">
        <f t="shared" si="187"/>
        <v>1</v>
      </c>
      <c r="Z651">
        <f t="shared" si="188"/>
        <v>1</v>
      </c>
      <c r="AA651">
        <f t="shared" si="189"/>
        <v>1</v>
      </c>
      <c r="AB651">
        <f t="shared" si="190"/>
        <v>1</v>
      </c>
      <c r="AC651">
        <f t="shared" si="191"/>
        <v>1</v>
      </c>
      <c r="AD651">
        <f t="shared" si="192"/>
        <v>0</v>
      </c>
      <c r="AE651">
        <f t="shared" si="193"/>
        <v>0</v>
      </c>
      <c r="AF651">
        <f t="shared" si="194"/>
        <v>1</v>
      </c>
      <c r="AG651">
        <f t="shared" si="195"/>
        <v>1</v>
      </c>
      <c r="AH651">
        <f t="shared" si="196"/>
        <v>0</v>
      </c>
      <c r="AI651">
        <f t="shared" si="197"/>
        <v>0</v>
      </c>
    </row>
    <row r="652" spans="1:35" x14ac:dyDescent="0.2">
      <c r="A652">
        <v>209</v>
      </c>
      <c r="B652" t="s">
        <v>1398</v>
      </c>
      <c r="C652">
        <v>5</v>
      </c>
      <c r="D652" t="s">
        <v>1978</v>
      </c>
      <c r="E652" t="s">
        <v>21</v>
      </c>
      <c r="F652" t="s">
        <v>39</v>
      </c>
      <c r="G652" t="s">
        <v>39</v>
      </c>
      <c r="H652" t="s">
        <v>21</v>
      </c>
      <c r="I652">
        <v>1</v>
      </c>
      <c r="J652">
        <v>1</v>
      </c>
      <c r="K652">
        <v>45</v>
      </c>
      <c r="L652" t="s">
        <v>494</v>
      </c>
      <c r="M652" t="s">
        <v>135</v>
      </c>
      <c r="N652" t="s">
        <v>822</v>
      </c>
      <c r="O652" t="s">
        <v>1979</v>
      </c>
      <c r="P652" t="s">
        <v>1980</v>
      </c>
      <c r="Q652">
        <f t="shared" si="180"/>
        <v>1</v>
      </c>
      <c r="R652">
        <f t="shared" si="181"/>
        <v>5</v>
      </c>
      <c r="S652">
        <f t="shared" si="182"/>
        <v>5</v>
      </c>
      <c r="T652">
        <f t="shared" si="183"/>
        <v>1</v>
      </c>
      <c r="U652">
        <v>45</v>
      </c>
      <c r="V652">
        <f t="shared" si="184"/>
        <v>0</v>
      </c>
      <c r="W652">
        <f t="shared" si="185"/>
        <v>1</v>
      </c>
      <c r="X652">
        <f t="shared" si="186"/>
        <v>1</v>
      </c>
      <c r="Y652">
        <f t="shared" si="187"/>
        <v>1</v>
      </c>
      <c r="Z652">
        <f t="shared" si="188"/>
        <v>1</v>
      </c>
      <c r="AA652">
        <f t="shared" si="189"/>
        <v>1</v>
      </c>
      <c r="AB652">
        <f t="shared" si="190"/>
        <v>1</v>
      </c>
      <c r="AC652">
        <f t="shared" si="191"/>
        <v>0</v>
      </c>
      <c r="AD652">
        <f t="shared" si="192"/>
        <v>0</v>
      </c>
      <c r="AE652">
        <f t="shared" si="193"/>
        <v>0</v>
      </c>
      <c r="AF652">
        <f t="shared" si="194"/>
        <v>1</v>
      </c>
      <c r="AG652">
        <f t="shared" si="195"/>
        <v>1</v>
      </c>
      <c r="AH652">
        <f t="shared" si="196"/>
        <v>1</v>
      </c>
      <c r="AI652">
        <f t="shared" si="197"/>
        <v>0</v>
      </c>
    </row>
    <row r="653" spans="1:35" ht="51" x14ac:dyDescent="0.2">
      <c r="A653">
        <v>210</v>
      </c>
      <c r="B653" t="s">
        <v>1398</v>
      </c>
      <c r="C653">
        <v>9</v>
      </c>
      <c r="D653" s="3" t="s">
        <v>1981</v>
      </c>
      <c r="E653" t="s">
        <v>21</v>
      </c>
      <c r="F653" t="s">
        <v>39</v>
      </c>
      <c r="G653" t="s">
        <v>19</v>
      </c>
      <c r="H653" t="s">
        <v>21</v>
      </c>
      <c r="I653">
        <v>2</v>
      </c>
      <c r="J653">
        <v>6</v>
      </c>
      <c r="K653">
        <v>800</v>
      </c>
      <c r="L653" t="s">
        <v>562</v>
      </c>
      <c r="M653" t="s">
        <v>1982</v>
      </c>
      <c r="N653" t="s">
        <v>43</v>
      </c>
      <c r="O653" t="s">
        <v>1983</v>
      </c>
      <c r="P653" t="s">
        <v>1984</v>
      </c>
      <c r="Q653">
        <f t="shared" si="180"/>
        <v>1</v>
      </c>
      <c r="R653">
        <f t="shared" si="181"/>
        <v>5</v>
      </c>
      <c r="S653">
        <f t="shared" si="182"/>
        <v>3</v>
      </c>
      <c r="T653">
        <f t="shared" si="183"/>
        <v>1</v>
      </c>
      <c r="U653">
        <v>800</v>
      </c>
      <c r="V653">
        <f t="shared" si="184"/>
        <v>0</v>
      </c>
      <c r="W653">
        <f t="shared" si="185"/>
        <v>1</v>
      </c>
      <c r="X653">
        <f t="shared" si="186"/>
        <v>1</v>
      </c>
      <c r="Y653">
        <f t="shared" si="187"/>
        <v>0</v>
      </c>
      <c r="Z653">
        <f t="shared" si="188"/>
        <v>1</v>
      </c>
      <c r="AA653">
        <f t="shared" si="189"/>
        <v>1</v>
      </c>
      <c r="AB653">
        <f t="shared" si="190"/>
        <v>1</v>
      </c>
      <c r="AC653">
        <f t="shared" si="191"/>
        <v>0</v>
      </c>
      <c r="AD653">
        <f t="shared" si="192"/>
        <v>1</v>
      </c>
      <c r="AE653">
        <f t="shared" si="193"/>
        <v>1</v>
      </c>
      <c r="AF653">
        <f t="shared" si="194"/>
        <v>1</v>
      </c>
      <c r="AG653">
        <f t="shared" si="195"/>
        <v>1</v>
      </c>
      <c r="AH653">
        <f t="shared" si="196"/>
        <v>0</v>
      </c>
      <c r="AI653">
        <f t="shared" si="197"/>
        <v>0</v>
      </c>
    </row>
    <row r="654" spans="1:35" x14ac:dyDescent="0.2">
      <c r="A654">
        <v>211</v>
      </c>
      <c r="B654" t="s">
        <v>1398</v>
      </c>
      <c r="C654">
        <v>10</v>
      </c>
      <c r="D654" t="s">
        <v>1985</v>
      </c>
      <c r="E654" t="s">
        <v>21</v>
      </c>
      <c r="F654" t="s">
        <v>39</v>
      </c>
      <c r="G654" t="s">
        <v>39</v>
      </c>
      <c r="H654" t="s">
        <v>21</v>
      </c>
      <c r="I654">
        <v>3</v>
      </c>
      <c r="J654">
        <v>4</v>
      </c>
      <c r="K654" s="2">
        <v>10000000</v>
      </c>
      <c r="L654" t="s">
        <v>601</v>
      </c>
      <c r="M654" t="s">
        <v>23</v>
      </c>
      <c r="N654" t="s">
        <v>215</v>
      </c>
      <c r="O654" t="s">
        <v>1986</v>
      </c>
      <c r="P654" t="s">
        <v>1987</v>
      </c>
      <c r="Q654">
        <f t="shared" si="180"/>
        <v>1</v>
      </c>
      <c r="R654">
        <f t="shared" si="181"/>
        <v>5</v>
      </c>
      <c r="S654">
        <f t="shared" si="182"/>
        <v>5</v>
      </c>
      <c r="T654">
        <f t="shared" si="183"/>
        <v>1</v>
      </c>
      <c r="U654">
        <v>10000000</v>
      </c>
      <c r="V654">
        <f t="shared" si="184"/>
        <v>0</v>
      </c>
      <c r="W654">
        <f t="shared" si="185"/>
        <v>1</v>
      </c>
      <c r="X654">
        <f t="shared" si="186"/>
        <v>0</v>
      </c>
      <c r="Y654">
        <f t="shared" si="187"/>
        <v>1</v>
      </c>
      <c r="Z654">
        <f t="shared" si="188"/>
        <v>1</v>
      </c>
      <c r="AA654">
        <f t="shared" si="189"/>
        <v>1</v>
      </c>
      <c r="AB654">
        <f t="shared" si="190"/>
        <v>0</v>
      </c>
      <c r="AC654">
        <f t="shared" si="191"/>
        <v>0</v>
      </c>
      <c r="AD654">
        <f t="shared" si="192"/>
        <v>0</v>
      </c>
      <c r="AE654">
        <f t="shared" si="193"/>
        <v>0</v>
      </c>
      <c r="AF654">
        <f t="shared" si="194"/>
        <v>1</v>
      </c>
      <c r="AG654">
        <f t="shared" si="195"/>
        <v>0</v>
      </c>
      <c r="AH654">
        <f t="shared" si="196"/>
        <v>0</v>
      </c>
      <c r="AI654">
        <f t="shared" si="197"/>
        <v>0</v>
      </c>
    </row>
    <row r="655" spans="1:35" x14ac:dyDescent="0.2">
      <c r="A655">
        <v>212</v>
      </c>
      <c r="B655" t="s">
        <v>1398</v>
      </c>
      <c r="C655">
        <v>7</v>
      </c>
      <c r="D655" t="s">
        <v>1988</v>
      </c>
      <c r="E655" t="s">
        <v>21</v>
      </c>
      <c r="F655" t="s">
        <v>39</v>
      </c>
      <c r="G655" t="s">
        <v>39</v>
      </c>
      <c r="H655" t="s">
        <v>21</v>
      </c>
      <c r="I655">
        <v>3</v>
      </c>
      <c r="J655">
        <v>2</v>
      </c>
      <c r="K655" t="s">
        <v>1989</v>
      </c>
      <c r="L655" t="s">
        <v>194</v>
      </c>
      <c r="M655" t="s">
        <v>154</v>
      </c>
      <c r="N655" t="s">
        <v>43</v>
      </c>
      <c r="O655" t="s">
        <v>1990</v>
      </c>
      <c r="P655" t="s">
        <v>1991</v>
      </c>
      <c r="Q655">
        <f t="shared" si="180"/>
        <v>1</v>
      </c>
      <c r="R655">
        <f t="shared" si="181"/>
        <v>5</v>
      </c>
      <c r="S655">
        <f t="shared" si="182"/>
        <v>5</v>
      </c>
      <c r="T655">
        <f t="shared" si="183"/>
        <v>1</v>
      </c>
      <c r="U655">
        <v>200</v>
      </c>
      <c r="V655">
        <f t="shared" si="184"/>
        <v>0</v>
      </c>
      <c r="W655">
        <f t="shared" si="185"/>
        <v>0</v>
      </c>
      <c r="X655">
        <f t="shared" si="186"/>
        <v>0</v>
      </c>
      <c r="Y655">
        <f t="shared" si="187"/>
        <v>1</v>
      </c>
      <c r="Z655">
        <f t="shared" si="188"/>
        <v>1</v>
      </c>
      <c r="AA655">
        <f t="shared" si="189"/>
        <v>1</v>
      </c>
      <c r="AB655">
        <f t="shared" si="190"/>
        <v>0</v>
      </c>
      <c r="AC655">
        <f t="shared" si="191"/>
        <v>1</v>
      </c>
      <c r="AD655">
        <f t="shared" si="192"/>
        <v>0</v>
      </c>
      <c r="AE655">
        <f t="shared" si="193"/>
        <v>0</v>
      </c>
      <c r="AF655">
        <f t="shared" si="194"/>
        <v>1</v>
      </c>
      <c r="AG655">
        <f t="shared" si="195"/>
        <v>1</v>
      </c>
      <c r="AH655">
        <f t="shared" si="196"/>
        <v>0</v>
      </c>
      <c r="AI655">
        <f t="shared" si="197"/>
        <v>0</v>
      </c>
    </row>
    <row r="656" spans="1:35" x14ac:dyDescent="0.2">
      <c r="A656">
        <v>213</v>
      </c>
      <c r="B656" t="s">
        <v>1398</v>
      </c>
      <c r="C656">
        <v>7</v>
      </c>
      <c r="D656" t="s">
        <v>1992</v>
      </c>
      <c r="E656" t="s">
        <v>21</v>
      </c>
      <c r="F656" t="s">
        <v>18</v>
      </c>
      <c r="G656" t="s">
        <v>39</v>
      </c>
      <c r="H656" t="s">
        <v>21</v>
      </c>
      <c r="I656">
        <v>2</v>
      </c>
      <c r="J656">
        <v>1</v>
      </c>
      <c r="K656">
        <v>250</v>
      </c>
      <c r="L656" t="s">
        <v>562</v>
      </c>
      <c r="M656" t="s">
        <v>48</v>
      </c>
      <c r="N656" t="s">
        <v>215</v>
      </c>
      <c r="O656" t="s">
        <v>1993</v>
      </c>
      <c r="P656" t="s">
        <v>1994</v>
      </c>
      <c r="Q656">
        <f t="shared" si="180"/>
        <v>1</v>
      </c>
      <c r="R656">
        <f t="shared" si="181"/>
        <v>4</v>
      </c>
      <c r="S656">
        <f t="shared" si="182"/>
        <v>5</v>
      </c>
      <c r="T656">
        <f t="shared" si="183"/>
        <v>1</v>
      </c>
      <c r="U656">
        <v>250</v>
      </c>
      <c r="V656">
        <f t="shared" si="184"/>
        <v>0</v>
      </c>
      <c r="W656">
        <f t="shared" si="185"/>
        <v>1</v>
      </c>
      <c r="X656">
        <f t="shared" si="186"/>
        <v>1</v>
      </c>
      <c r="Y656">
        <f t="shared" si="187"/>
        <v>0</v>
      </c>
      <c r="Z656">
        <f t="shared" si="188"/>
        <v>1</v>
      </c>
      <c r="AA656">
        <f t="shared" si="189"/>
        <v>1</v>
      </c>
      <c r="AB656">
        <f t="shared" si="190"/>
        <v>1</v>
      </c>
      <c r="AC656">
        <f t="shared" si="191"/>
        <v>1</v>
      </c>
      <c r="AD656">
        <f t="shared" si="192"/>
        <v>0</v>
      </c>
      <c r="AE656">
        <f t="shared" si="193"/>
        <v>0</v>
      </c>
      <c r="AF656">
        <f t="shared" si="194"/>
        <v>1</v>
      </c>
      <c r="AG656">
        <f t="shared" si="195"/>
        <v>0</v>
      </c>
      <c r="AH656">
        <f t="shared" si="196"/>
        <v>0</v>
      </c>
      <c r="AI656">
        <f t="shared" si="197"/>
        <v>0</v>
      </c>
    </row>
    <row r="657" spans="1:35" x14ac:dyDescent="0.2">
      <c r="A657">
        <v>214</v>
      </c>
      <c r="B657" t="s">
        <v>1398</v>
      </c>
      <c r="C657">
        <v>7</v>
      </c>
      <c r="D657" t="s">
        <v>1995</v>
      </c>
      <c r="E657" t="s">
        <v>18</v>
      </c>
      <c r="F657" t="s">
        <v>18</v>
      </c>
      <c r="G657" t="s">
        <v>18</v>
      </c>
      <c r="H657" t="s">
        <v>20</v>
      </c>
      <c r="I657">
        <v>4</v>
      </c>
      <c r="J657">
        <v>3</v>
      </c>
      <c r="K657" t="s">
        <v>1996</v>
      </c>
      <c r="L657" t="s">
        <v>98</v>
      </c>
      <c r="M657" t="s">
        <v>23</v>
      </c>
      <c r="N657" t="s">
        <v>84</v>
      </c>
      <c r="O657" t="s">
        <v>1419</v>
      </c>
      <c r="P657" t="s">
        <v>1997</v>
      </c>
      <c r="Q657">
        <f t="shared" si="180"/>
        <v>4</v>
      </c>
      <c r="R657">
        <f t="shared" si="181"/>
        <v>4</v>
      </c>
      <c r="S657">
        <f t="shared" si="182"/>
        <v>4</v>
      </c>
      <c r="T657">
        <f t="shared" si="183"/>
        <v>2</v>
      </c>
      <c r="U657">
        <v>120000</v>
      </c>
      <c r="V657">
        <f t="shared" si="184"/>
        <v>0</v>
      </c>
      <c r="W657">
        <f t="shared" si="185"/>
        <v>1</v>
      </c>
      <c r="X657">
        <f t="shared" si="186"/>
        <v>0</v>
      </c>
      <c r="Y657">
        <f t="shared" si="187"/>
        <v>0</v>
      </c>
      <c r="Z657">
        <f t="shared" si="188"/>
        <v>0</v>
      </c>
      <c r="AA657">
        <f t="shared" si="189"/>
        <v>1</v>
      </c>
      <c r="AB657">
        <f t="shared" si="190"/>
        <v>0</v>
      </c>
      <c r="AC657">
        <f t="shared" si="191"/>
        <v>0</v>
      </c>
      <c r="AD657">
        <f t="shared" si="192"/>
        <v>0</v>
      </c>
      <c r="AE657">
        <f t="shared" si="193"/>
        <v>0</v>
      </c>
      <c r="AF657">
        <f t="shared" si="194"/>
        <v>0</v>
      </c>
      <c r="AG657">
        <f t="shared" si="195"/>
        <v>1</v>
      </c>
      <c r="AH657">
        <f t="shared" si="196"/>
        <v>0</v>
      </c>
      <c r="AI657">
        <f t="shared" si="197"/>
        <v>0</v>
      </c>
    </row>
    <row r="658" spans="1:35" x14ac:dyDescent="0.2">
      <c r="A658">
        <v>215</v>
      </c>
      <c r="B658" t="s">
        <v>1398</v>
      </c>
      <c r="C658">
        <v>4</v>
      </c>
      <c r="D658" t="s">
        <v>1998</v>
      </c>
      <c r="E658" t="s">
        <v>21</v>
      </c>
      <c r="F658" t="s">
        <v>39</v>
      </c>
      <c r="G658" t="s">
        <v>39</v>
      </c>
      <c r="H658" t="s">
        <v>21</v>
      </c>
      <c r="I658">
        <v>2</v>
      </c>
      <c r="J658">
        <v>2</v>
      </c>
      <c r="K658">
        <v>300</v>
      </c>
      <c r="L658" t="s">
        <v>230</v>
      </c>
      <c r="M658" t="s">
        <v>468</v>
      </c>
      <c r="N658" t="s">
        <v>215</v>
      </c>
      <c r="O658" t="s">
        <v>1999</v>
      </c>
      <c r="P658" t="s">
        <v>2000</v>
      </c>
      <c r="Q658">
        <f t="shared" si="180"/>
        <v>1</v>
      </c>
      <c r="R658">
        <f t="shared" si="181"/>
        <v>5</v>
      </c>
      <c r="S658">
        <f t="shared" si="182"/>
        <v>5</v>
      </c>
      <c r="T658">
        <f t="shared" si="183"/>
        <v>1</v>
      </c>
      <c r="U658">
        <v>300</v>
      </c>
      <c r="V658">
        <f t="shared" si="184"/>
        <v>1</v>
      </c>
      <c r="W658">
        <f t="shared" si="185"/>
        <v>1</v>
      </c>
      <c r="X658">
        <f t="shared" si="186"/>
        <v>1</v>
      </c>
      <c r="Y658">
        <f t="shared" si="187"/>
        <v>1</v>
      </c>
      <c r="Z658">
        <f t="shared" si="188"/>
        <v>1</v>
      </c>
      <c r="AA658">
        <f t="shared" si="189"/>
        <v>1</v>
      </c>
      <c r="AB658">
        <f t="shared" si="190"/>
        <v>1</v>
      </c>
      <c r="AC658">
        <f t="shared" si="191"/>
        <v>1</v>
      </c>
      <c r="AD658">
        <f t="shared" si="192"/>
        <v>1</v>
      </c>
      <c r="AE658">
        <f t="shared" si="193"/>
        <v>1</v>
      </c>
      <c r="AF658">
        <f t="shared" si="194"/>
        <v>1</v>
      </c>
      <c r="AG658">
        <f t="shared" si="195"/>
        <v>0</v>
      </c>
      <c r="AH658">
        <f t="shared" si="196"/>
        <v>0</v>
      </c>
      <c r="AI658">
        <f t="shared" si="197"/>
        <v>0</v>
      </c>
    </row>
    <row r="659" spans="1:35" x14ac:dyDescent="0.2">
      <c r="A659">
        <v>216</v>
      </c>
      <c r="B659" t="s">
        <v>1398</v>
      </c>
      <c r="C659">
        <v>9</v>
      </c>
      <c r="D659" t="s">
        <v>2001</v>
      </c>
      <c r="E659" t="s">
        <v>21</v>
      </c>
      <c r="F659" t="s">
        <v>39</v>
      </c>
      <c r="G659" t="s">
        <v>39</v>
      </c>
      <c r="H659" t="s">
        <v>21</v>
      </c>
      <c r="I659">
        <v>3</v>
      </c>
      <c r="J659">
        <v>2</v>
      </c>
      <c r="K659">
        <v>50</v>
      </c>
      <c r="L659" t="s">
        <v>79</v>
      </c>
      <c r="M659" t="s">
        <v>48</v>
      </c>
      <c r="N659" t="s">
        <v>215</v>
      </c>
      <c r="O659" t="s">
        <v>1419</v>
      </c>
      <c r="P659" t="s">
        <v>2002</v>
      </c>
      <c r="Q659">
        <f t="shared" si="180"/>
        <v>1</v>
      </c>
      <c r="R659">
        <f t="shared" si="181"/>
        <v>5</v>
      </c>
      <c r="S659">
        <f t="shared" si="182"/>
        <v>5</v>
      </c>
      <c r="T659">
        <f t="shared" si="183"/>
        <v>1</v>
      </c>
      <c r="U659">
        <v>50</v>
      </c>
      <c r="V659">
        <f t="shared" si="184"/>
        <v>0</v>
      </c>
      <c r="W659">
        <f t="shared" si="185"/>
        <v>1</v>
      </c>
      <c r="X659">
        <f t="shared" si="186"/>
        <v>0</v>
      </c>
      <c r="Y659">
        <f t="shared" si="187"/>
        <v>0</v>
      </c>
      <c r="Z659">
        <f t="shared" si="188"/>
        <v>1</v>
      </c>
      <c r="AA659">
        <f t="shared" si="189"/>
        <v>1</v>
      </c>
      <c r="AB659">
        <f t="shared" si="190"/>
        <v>1</v>
      </c>
      <c r="AC659">
        <f t="shared" si="191"/>
        <v>1</v>
      </c>
      <c r="AD659">
        <f t="shared" si="192"/>
        <v>0</v>
      </c>
      <c r="AE659">
        <f t="shared" si="193"/>
        <v>0</v>
      </c>
      <c r="AF659">
        <f t="shared" si="194"/>
        <v>1</v>
      </c>
      <c r="AG659">
        <f t="shared" si="195"/>
        <v>0</v>
      </c>
      <c r="AH659">
        <f t="shared" si="196"/>
        <v>0</v>
      </c>
      <c r="AI659">
        <f t="shared" si="197"/>
        <v>0</v>
      </c>
    </row>
    <row r="660" spans="1:35" x14ac:dyDescent="0.2">
      <c r="A660">
        <v>217</v>
      </c>
      <c r="B660" t="s">
        <v>1398</v>
      </c>
      <c r="C660">
        <v>6</v>
      </c>
      <c r="D660" t="s">
        <v>2003</v>
      </c>
      <c r="E660" t="s">
        <v>20</v>
      </c>
      <c r="F660" t="s">
        <v>18</v>
      </c>
      <c r="G660" t="s">
        <v>39</v>
      </c>
      <c r="H660" t="s">
        <v>20</v>
      </c>
      <c r="I660">
        <v>3</v>
      </c>
      <c r="J660">
        <v>1</v>
      </c>
      <c r="K660">
        <v>50</v>
      </c>
      <c r="L660" t="s">
        <v>443</v>
      </c>
      <c r="M660" t="s">
        <v>704</v>
      </c>
      <c r="N660" t="s">
        <v>43</v>
      </c>
      <c r="O660" t="s">
        <v>1426</v>
      </c>
      <c r="P660" t="s">
        <v>2004</v>
      </c>
      <c r="Q660">
        <f t="shared" si="180"/>
        <v>2</v>
      </c>
      <c r="R660">
        <f t="shared" si="181"/>
        <v>4</v>
      </c>
      <c r="S660">
        <f t="shared" si="182"/>
        <v>5</v>
      </c>
      <c r="T660">
        <f t="shared" si="183"/>
        <v>2</v>
      </c>
      <c r="U660">
        <v>50</v>
      </c>
      <c r="V660">
        <f t="shared" si="184"/>
        <v>1</v>
      </c>
      <c r="W660">
        <f t="shared" si="185"/>
        <v>0</v>
      </c>
      <c r="X660">
        <f t="shared" si="186"/>
        <v>0</v>
      </c>
      <c r="Y660">
        <f t="shared" si="187"/>
        <v>1</v>
      </c>
      <c r="Z660">
        <f t="shared" si="188"/>
        <v>1</v>
      </c>
      <c r="AA660">
        <f t="shared" si="189"/>
        <v>0</v>
      </c>
      <c r="AB660">
        <f t="shared" si="190"/>
        <v>0</v>
      </c>
      <c r="AC660">
        <f t="shared" si="191"/>
        <v>1</v>
      </c>
      <c r="AD660">
        <f t="shared" si="192"/>
        <v>1</v>
      </c>
      <c r="AE660">
        <f t="shared" si="193"/>
        <v>0</v>
      </c>
      <c r="AF660">
        <f t="shared" si="194"/>
        <v>1</v>
      </c>
      <c r="AG660">
        <f t="shared" si="195"/>
        <v>1</v>
      </c>
      <c r="AH660">
        <f t="shared" si="196"/>
        <v>0</v>
      </c>
      <c r="AI660">
        <f t="shared" si="197"/>
        <v>0</v>
      </c>
    </row>
    <row r="661" spans="1:35" x14ac:dyDescent="0.2">
      <c r="A661">
        <v>218</v>
      </c>
      <c r="B661" t="s">
        <v>1398</v>
      </c>
      <c r="C661">
        <v>5</v>
      </c>
      <c r="D661" t="s">
        <v>2005</v>
      </c>
      <c r="E661" t="s">
        <v>21</v>
      </c>
      <c r="F661" t="s">
        <v>39</v>
      </c>
      <c r="G661" t="s">
        <v>18</v>
      </c>
      <c r="H661" t="s">
        <v>21</v>
      </c>
      <c r="I661">
        <v>1</v>
      </c>
      <c r="J661">
        <v>1</v>
      </c>
      <c r="K661">
        <v>2000</v>
      </c>
      <c r="L661" t="s">
        <v>494</v>
      </c>
      <c r="M661" t="s">
        <v>280</v>
      </c>
      <c r="N661" t="s">
        <v>43</v>
      </c>
      <c r="O661" t="s">
        <v>2006</v>
      </c>
      <c r="P661" t="s">
        <v>2007</v>
      </c>
      <c r="Q661">
        <f t="shared" si="180"/>
        <v>1</v>
      </c>
      <c r="R661">
        <f t="shared" si="181"/>
        <v>5</v>
      </c>
      <c r="S661">
        <f t="shared" si="182"/>
        <v>4</v>
      </c>
      <c r="T661">
        <f t="shared" si="183"/>
        <v>1</v>
      </c>
      <c r="U661">
        <v>2000</v>
      </c>
      <c r="V661">
        <f t="shared" si="184"/>
        <v>0</v>
      </c>
      <c r="W661">
        <f t="shared" si="185"/>
        <v>1</v>
      </c>
      <c r="X661">
        <f t="shared" si="186"/>
        <v>1</v>
      </c>
      <c r="Y661">
        <f t="shared" si="187"/>
        <v>1</v>
      </c>
      <c r="Z661">
        <f t="shared" si="188"/>
        <v>1</v>
      </c>
      <c r="AA661">
        <f t="shared" si="189"/>
        <v>0</v>
      </c>
      <c r="AB661">
        <f t="shared" si="190"/>
        <v>1</v>
      </c>
      <c r="AC661">
        <f t="shared" si="191"/>
        <v>1</v>
      </c>
      <c r="AD661">
        <f t="shared" si="192"/>
        <v>1</v>
      </c>
      <c r="AE661">
        <f t="shared" si="193"/>
        <v>0</v>
      </c>
      <c r="AF661">
        <f t="shared" si="194"/>
        <v>1</v>
      </c>
      <c r="AG661">
        <f t="shared" si="195"/>
        <v>1</v>
      </c>
      <c r="AH661">
        <f t="shared" si="196"/>
        <v>0</v>
      </c>
      <c r="AI661">
        <f t="shared" si="197"/>
        <v>0</v>
      </c>
    </row>
    <row r="662" spans="1:35" x14ac:dyDescent="0.2">
      <c r="A662">
        <v>219</v>
      </c>
      <c r="B662" t="s">
        <v>1398</v>
      </c>
      <c r="C662">
        <v>6</v>
      </c>
      <c r="D662" t="s">
        <v>2008</v>
      </c>
      <c r="E662" t="s">
        <v>21</v>
      </c>
      <c r="F662" t="s">
        <v>39</v>
      </c>
      <c r="G662" t="s">
        <v>39</v>
      </c>
      <c r="H662" t="s">
        <v>21</v>
      </c>
      <c r="I662">
        <v>5</v>
      </c>
      <c r="J662">
        <v>2</v>
      </c>
      <c r="K662">
        <v>7500000</v>
      </c>
      <c r="L662" t="s">
        <v>70</v>
      </c>
      <c r="M662" t="s">
        <v>48</v>
      </c>
      <c r="N662" t="s">
        <v>215</v>
      </c>
      <c r="O662" t="s">
        <v>2009</v>
      </c>
      <c r="P662" t="s">
        <v>2010</v>
      </c>
      <c r="Q662">
        <f t="shared" si="180"/>
        <v>1</v>
      </c>
      <c r="R662">
        <f t="shared" si="181"/>
        <v>5</v>
      </c>
      <c r="S662">
        <f t="shared" si="182"/>
        <v>5</v>
      </c>
      <c r="T662">
        <f t="shared" si="183"/>
        <v>1</v>
      </c>
      <c r="U662">
        <v>7500000</v>
      </c>
      <c r="V662">
        <f t="shared" si="184"/>
        <v>0</v>
      </c>
      <c r="W662">
        <f t="shared" si="185"/>
        <v>0</v>
      </c>
      <c r="X662">
        <f t="shared" si="186"/>
        <v>0</v>
      </c>
      <c r="Y662">
        <f t="shared" si="187"/>
        <v>1</v>
      </c>
      <c r="Z662">
        <f t="shared" si="188"/>
        <v>0</v>
      </c>
      <c r="AA662">
        <f t="shared" si="189"/>
        <v>1</v>
      </c>
      <c r="AB662">
        <f t="shared" si="190"/>
        <v>1</v>
      </c>
      <c r="AC662">
        <f t="shared" si="191"/>
        <v>1</v>
      </c>
      <c r="AD662">
        <f t="shared" si="192"/>
        <v>0</v>
      </c>
      <c r="AE662">
        <f t="shared" si="193"/>
        <v>0</v>
      </c>
      <c r="AF662">
        <f t="shared" si="194"/>
        <v>1</v>
      </c>
      <c r="AG662">
        <f t="shared" si="195"/>
        <v>0</v>
      </c>
      <c r="AH662">
        <f t="shared" si="196"/>
        <v>0</v>
      </c>
      <c r="AI662">
        <f t="shared" si="197"/>
        <v>0</v>
      </c>
    </row>
    <row r="663" spans="1:35" x14ac:dyDescent="0.2">
      <c r="A663">
        <v>220</v>
      </c>
      <c r="B663" t="s">
        <v>1398</v>
      </c>
      <c r="C663">
        <v>9</v>
      </c>
      <c r="D663" t="s">
        <v>2011</v>
      </c>
      <c r="E663" t="s">
        <v>21</v>
      </c>
      <c r="F663" t="s">
        <v>39</v>
      </c>
      <c r="G663" t="s">
        <v>39</v>
      </c>
      <c r="H663" t="s">
        <v>21</v>
      </c>
      <c r="I663">
        <v>2</v>
      </c>
      <c r="J663">
        <v>4</v>
      </c>
      <c r="K663">
        <v>20000</v>
      </c>
      <c r="L663" t="s">
        <v>601</v>
      </c>
      <c r="M663" t="s">
        <v>161</v>
      </c>
      <c r="N663" t="s">
        <v>215</v>
      </c>
      <c r="O663" t="s">
        <v>2012</v>
      </c>
      <c r="P663" t="s">
        <v>2013</v>
      </c>
      <c r="Q663">
        <f t="shared" si="180"/>
        <v>1</v>
      </c>
      <c r="R663">
        <f t="shared" si="181"/>
        <v>5</v>
      </c>
      <c r="S663">
        <f t="shared" si="182"/>
        <v>5</v>
      </c>
      <c r="T663">
        <f t="shared" si="183"/>
        <v>1</v>
      </c>
      <c r="U663">
        <v>20000</v>
      </c>
      <c r="V663">
        <f t="shared" si="184"/>
        <v>0</v>
      </c>
      <c r="W663">
        <f t="shared" si="185"/>
        <v>1</v>
      </c>
      <c r="X663">
        <f t="shared" si="186"/>
        <v>0</v>
      </c>
      <c r="Y663">
        <f t="shared" si="187"/>
        <v>1</v>
      </c>
      <c r="Z663">
        <f t="shared" si="188"/>
        <v>1</v>
      </c>
      <c r="AA663">
        <f t="shared" si="189"/>
        <v>1</v>
      </c>
      <c r="AB663">
        <f t="shared" si="190"/>
        <v>1</v>
      </c>
      <c r="AC663">
        <f t="shared" si="191"/>
        <v>1</v>
      </c>
      <c r="AD663">
        <f t="shared" si="192"/>
        <v>1</v>
      </c>
      <c r="AE663">
        <f t="shared" si="193"/>
        <v>0</v>
      </c>
      <c r="AF663">
        <f t="shared" si="194"/>
        <v>1</v>
      </c>
      <c r="AG663">
        <f t="shared" si="195"/>
        <v>0</v>
      </c>
      <c r="AH663">
        <f t="shared" si="196"/>
        <v>0</v>
      </c>
      <c r="AI663">
        <f t="shared" si="197"/>
        <v>0</v>
      </c>
    </row>
    <row r="664" spans="1:35" x14ac:dyDescent="0.2">
      <c r="A664">
        <v>221</v>
      </c>
      <c r="B664" t="s">
        <v>1398</v>
      </c>
      <c r="C664">
        <v>5</v>
      </c>
      <c r="D664" t="s">
        <v>2014</v>
      </c>
      <c r="E664" t="s">
        <v>21</v>
      </c>
      <c r="F664" t="s">
        <v>39</v>
      </c>
      <c r="G664" t="s">
        <v>39</v>
      </c>
      <c r="H664" t="s">
        <v>21</v>
      </c>
      <c r="I664">
        <v>2</v>
      </c>
      <c r="J664">
        <v>1</v>
      </c>
      <c r="K664">
        <v>3000</v>
      </c>
      <c r="L664" t="s">
        <v>443</v>
      </c>
      <c r="M664" t="s">
        <v>1098</v>
      </c>
      <c r="N664" t="s">
        <v>43</v>
      </c>
      <c r="O664" t="s">
        <v>2015</v>
      </c>
      <c r="P664" t="s">
        <v>2016</v>
      </c>
      <c r="Q664">
        <f t="shared" si="180"/>
        <v>1</v>
      </c>
      <c r="R664">
        <f t="shared" si="181"/>
        <v>5</v>
      </c>
      <c r="S664">
        <f t="shared" si="182"/>
        <v>5</v>
      </c>
      <c r="T664">
        <f t="shared" si="183"/>
        <v>1</v>
      </c>
      <c r="U664">
        <v>3000</v>
      </c>
      <c r="V664">
        <f t="shared" si="184"/>
        <v>1</v>
      </c>
      <c r="W664">
        <f t="shared" si="185"/>
        <v>0</v>
      </c>
      <c r="X664">
        <f t="shared" si="186"/>
        <v>0</v>
      </c>
      <c r="Y664">
        <f t="shared" si="187"/>
        <v>1</v>
      </c>
      <c r="Z664">
        <f t="shared" si="188"/>
        <v>1</v>
      </c>
      <c r="AA664">
        <f t="shared" si="189"/>
        <v>1</v>
      </c>
      <c r="AB664">
        <f t="shared" si="190"/>
        <v>1</v>
      </c>
      <c r="AC664">
        <f t="shared" si="191"/>
        <v>1</v>
      </c>
      <c r="AD664">
        <f t="shared" si="192"/>
        <v>0</v>
      </c>
      <c r="AE664">
        <f t="shared" si="193"/>
        <v>1</v>
      </c>
      <c r="AF664">
        <f t="shared" si="194"/>
        <v>1</v>
      </c>
      <c r="AG664">
        <f t="shared" si="195"/>
        <v>1</v>
      </c>
      <c r="AH664">
        <f t="shared" si="196"/>
        <v>0</v>
      </c>
      <c r="AI664">
        <f t="shared" si="197"/>
        <v>0</v>
      </c>
    </row>
    <row r="665" spans="1:35" x14ac:dyDescent="0.2">
      <c r="A665">
        <v>222</v>
      </c>
      <c r="B665" t="s">
        <v>16</v>
      </c>
      <c r="Q665" t="str">
        <f t="shared" si="180"/>
        <v/>
      </c>
      <c r="R665" t="str">
        <f t="shared" si="181"/>
        <v/>
      </c>
      <c r="S665" t="str">
        <f t="shared" si="182"/>
        <v/>
      </c>
      <c r="T665" t="str">
        <f t="shared" si="183"/>
        <v/>
      </c>
      <c r="V665">
        <f t="shared" si="184"/>
        <v>0</v>
      </c>
      <c r="W665">
        <f t="shared" si="185"/>
        <v>0</v>
      </c>
      <c r="X665">
        <f t="shared" si="186"/>
        <v>0</v>
      </c>
      <c r="Y665">
        <f t="shared" si="187"/>
        <v>0</v>
      </c>
      <c r="Z665">
        <f t="shared" si="188"/>
        <v>0</v>
      </c>
      <c r="AA665">
        <f t="shared" si="189"/>
        <v>0</v>
      </c>
      <c r="AB665">
        <f t="shared" si="190"/>
        <v>0</v>
      </c>
      <c r="AC665">
        <f t="shared" si="191"/>
        <v>0</v>
      </c>
      <c r="AD665">
        <f t="shared" si="192"/>
        <v>0</v>
      </c>
      <c r="AE665">
        <f t="shared" si="193"/>
        <v>0</v>
      </c>
      <c r="AF665">
        <f t="shared" si="194"/>
        <v>0</v>
      </c>
      <c r="AG665">
        <f t="shared" si="195"/>
        <v>0</v>
      </c>
      <c r="AH665">
        <f t="shared" si="196"/>
        <v>0</v>
      </c>
      <c r="AI665">
        <f t="shared" si="197"/>
        <v>0</v>
      </c>
    </row>
    <row r="666" spans="1:35" x14ac:dyDescent="0.2">
      <c r="A666">
        <v>223</v>
      </c>
      <c r="B666" t="s">
        <v>16</v>
      </c>
      <c r="Q666" t="str">
        <f t="shared" si="180"/>
        <v/>
      </c>
      <c r="R666" t="str">
        <f t="shared" si="181"/>
        <v/>
      </c>
      <c r="S666" t="str">
        <f t="shared" si="182"/>
        <v/>
      </c>
      <c r="T666" t="str">
        <f t="shared" si="183"/>
        <v/>
      </c>
      <c r="V666">
        <f t="shared" si="184"/>
        <v>0</v>
      </c>
      <c r="W666">
        <f t="shared" si="185"/>
        <v>0</v>
      </c>
      <c r="X666">
        <f t="shared" si="186"/>
        <v>0</v>
      </c>
      <c r="Y666">
        <f t="shared" si="187"/>
        <v>0</v>
      </c>
      <c r="Z666">
        <f t="shared" si="188"/>
        <v>0</v>
      </c>
      <c r="AA666">
        <f t="shared" si="189"/>
        <v>0</v>
      </c>
      <c r="AB666">
        <f t="shared" si="190"/>
        <v>0</v>
      </c>
      <c r="AC666">
        <f t="shared" si="191"/>
        <v>0</v>
      </c>
      <c r="AD666">
        <f t="shared" si="192"/>
        <v>0</v>
      </c>
      <c r="AE666">
        <f t="shared" si="193"/>
        <v>0</v>
      </c>
      <c r="AF666">
        <f t="shared" si="194"/>
        <v>0</v>
      </c>
      <c r="AG666">
        <f t="shared" si="195"/>
        <v>0</v>
      </c>
      <c r="AH666">
        <f t="shared" si="196"/>
        <v>0</v>
      </c>
      <c r="AI666">
        <f t="shared" si="197"/>
        <v>0</v>
      </c>
    </row>
    <row r="667" spans="1:35" x14ac:dyDescent="0.2">
      <c r="A667">
        <v>224</v>
      </c>
      <c r="B667" t="s">
        <v>16</v>
      </c>
      <c r="Q667" t="str">
        <f t="shared" si="180"/>
        <v/>
      </c>
      <c r="R667" t="str">
        <f t="shared" si="181"/>
        <v/>
      </c>
      <c r="S667" t="str">
        <f t="shared" si="182"/>
        <v/>
      </c>
      <c r="T667" t="str">
        <f t="shared" si="183"/>
        <v/>
      </c>
      <c r="V667">
        <f t="shared" si="184"/>
        <v>0</v>
      </c>
      <c r="W667">
        <f t="shared" si="185"/>
        <v>0</v>
      </c>
      <c r="X667">
        <f t="shared" si="186"/>
        <v>0</v>
      </c>
      <c r="Y667">
        <f t="shared" si="187"/>
        <v>0</v>
      </c>
      <c r="Z667">
        <f t="shared" si="188"/>
        <v>0</v>
      </c>
      <c r="AA667">
        <f t="shared" si="189"/>
        <v>0</v>
      </c>
      <c r="AB667">
        <f t="shared" si="190"/>
        <v>0</v>
      </c>
      <c r="AC667">
        <f t="shared" si="191"/>
        <v>0</v>
      </c>
      <c r="AD667">
        <f t="shared" si="192"/>
        <v>0</v>
      </c>
      <c r="AE667">
        <f t="shared" si="193"/>
        <v>0</v>
      </c>
      <c r="AF667">
        <f t="shared" si="194"/>
        <v>0</v>
      </c>
      <c r="AG667">
        <f t="shared" si="195"/>
        <v>0</v>
      </c>
      <c r="AH667">
        <f t="shared" si="196"/>
        <v>0</v>
      </c>
      <c r="AI667">
        <f t="shared" si="197"/>
        <v>0</v>
      </c>
    </row>
    <row r="668" spans="1:35" x14ac:dyDescent="0.2">
      <c r="A668">
        <v>225</v>
      </c>
      <c r="B668" t="s">
        <v>16</v>
      </c>
      <c r="C668">
        <v>7</v>
      </c>
      <c r="D668" t="s">
        <v>2017</v>
      </c>
      <c r="E668" t="s">
        <v>19</v>
      </c>
      <c r="F668" t="s">
        <v>18</v>
      </c>
      <c r="G668" t="s">
        <v>20</v>
      </c>
      <c r="H668" t="s">
        <v>21</v>
      </c>
      <c r="I668">
        <v>3</v>
      </c>
      <c r="J668">
        <v>3</v>
      </c>
      <c r="K668">
        <v>5</v>
      </c>
      <c r="L668" t="s">
        <v>53</v>
      </c>
      <c r="M668" t="s">
        <v>23</v>
      </c>
      <c r="N668" t="s">
        <v>24</v>
      </c>
      <c r="Q668">
        <f t="shared" si="180"/>
        <v>3</v>
      </c>
      <c r="R668">
        <f t="shared" si="181"/>
        <v>4</v>
      </c>
      <c r="S668">
        <f t="shared" si="182"/>
        <v>2</v>
      </c>
      <c r="T668">
        <f t="shared" si="183"/>
        <v>1</v>
      </c>
      <c r="U668">
        <v>5</v>
      </c>
      <c r="V668">
        <f t="shared" si="184"/>
        <v>0</v>
      </c>
      <c r="W668">
        <f t="shared" si="185"/>
        <v>0</v>
      </c>
      <c r="X668">
        <f t="shared" si="186"/>
        <v>1</v>
      </c>
      <c r="Y668">
        <f t="shared" si="187"/>
        <v>0</v>
      </c>
      <c r="Z668">
        <f t="shared" si="188"/>
        <v>0</v>
      </c>
      <c r="AA668">
        <f t="shared" si="189"/>
        <v>1</v>
      </c>
      <c r="AB668">
        <f t="shared" si="190"/>
        <v>0</v>
      </c>
      <c r="AC668">
        <f t="shared" si="191"/>
        <v>0</v>
      </c>
      <c r="AD668">
        <f t="shared" si="192"/>
        <v>0</v>
      </c>
      <c r="AE668">
        <f t="shared" si="193"/>
        <v>0</v>
      </c>
      <c r="AF668">
        <f t="shared" si="194"/>
        <v>0</v>
      </c>
      <c r="AG668">
        <f t="shared" si="195"/>
        <v>0</v>
      </c>
      <c r="AH668">
        <f t="shared" si="196"/>
        <v>1</v>
      </c>
      <c r="AI668">
        <f t="shared" si="197"/>
        <v>0</v>
      </c>
    </row>
    <row r="669" spans="1:35" x14ac:dyDescent="0.2">
      <c r="A669">
        <v>226</v>
      </c>
      <c r="B669" t="s">
        <v>16</v>
      </c>
      <c r="Q669" t="str">
        <f t="shared" si="180"/>
        <v/>
      </c>
      <c r="R669" t="str">
        <f t="shared" si="181"/>
        <v/>
      </c>
      <c r="S669" t="str">
        <f t="shared" si="182"/>
        <v/>
      </c>
      <c r="T669" t="str">
        <f t="shared" si="183"/>
        <v/>
      </c>
      <c r="V669">
        <f t="shared" si="184"/>
        <v>0</v>
      </c>
      <c r="W669">
        <f t="shared" si="185"/>
        <v>0</v>
      </c>
      <c r="X669">
        <f t="shared" si="186"/>
        <v>0</v>
      </c>
      <c r="Y669">
        <f t="shared" si="187"/>
        <v>0</v>
      </c>
      <c r="Z669">
        <f t="shared" si="188"/>
        <v>0</v>
      </c>
      <c r="AA669">
        <f t="shared" si="189"/>
        <v>0</v>
      </c>
      <c r="AB669">
        <f t="shared" si="190"/>
        <v>0</v>
      </c>
      <c r="AC669">
        <f t="shared" si="191"/>
        <v>0</v>
      </c>
      <c r="AD669">
        <f t="shared" si="192"/>
        <v>0</v>
      </c>
      <c r="AE669">
        <f t="shared" si="193"/>
        <v>0</v>
      </c>
      <c r="AF669">
        <f t="shared" si="194"/>
        <v>0</v>
      </c>
      <c r="AG669">
        <f t="shared" si="195"/>
        <v>0</v>
      </c>
      <c r="AH669">
        <f t="shared" si="196"/>
        <v>0</v>
      </c>
      <c r="AI669">
        <f t="shared" si="197"/>
        <v>0</v>
      </c>
    </row>
    <row r="670" spans="1:35" x14ac:dyDescent="0.2">
      <c r="A670">
        <v>227</v>
      </c>
      <c r="B670" t="s">
        <v>16</v>
      </c>
      <c r="Q670" t="str">
        <f t="shared" si="180"/>
        <v/>
      </c>
      <c r="R670" t="str">
        <f t="shared" si="181"/>
        <v/>
      </c>
      <c r="S670" t="str">
        <f t="shared" si="182"/>
        <v/>
      </c>
      <c r="T670" t="str">
        <f t="shared" si="183"/>
        <v/>
      </c>
      <c r="V670">
        <f t="shared" si="184"/>
        <v>0</v>
      </c>
      <c r="W670">
        <f t="shared" si="185"/>
        <v>0</v>
      </c>
      <c r="X670">
        <f t="shared" si="186"/>
        <v>0</v>
      </c>
      <c r="Y670">
        <f t="shared" si="187"/>
        <v>0</v>
      </c>
      <c r="Z670">
        <f t="shared" si="188"/>
        <v>0</v>
      </c>
      <c r="AA670">
        <f t="shared" si="189"/>
        <v>0</v>
      </c>
      <c r="AB670">
        <f t="shared" si="190"/>
        <v>0</v>
      </c>
      <c r="AC670">
        <f t="shared" si="191"/>
        <v>0</v>
      </c>
      <c r="AD670">
        <f t="shared" si="192"/>
        <v>0</v>
      </c>
      <c r="AE670">
        <f t="shared" si="193"/>
        <v>0</v>
      </c>
      <c r="AF670">
        <f t="shared" si="194"/>
        <v>0</v>
      </c>
      <c r="AG670">
        <f t="shared" si="195"/>
        <v>0</v>
      </c>
      <c r="AH670">
        <f t="shared" si="196"/>
        <v>0</v>
      </c>
      <c r="AI670">
        <f t="shared" si="197"/>
        <v>0</v>
      </c>
    </row>
    <row r="671" spans="1:35" x14ac:dyDescent="0.2">
      <c r="A671">
        <v>228</v>
      </c>
      <c r="B671" t="s">
        <v>16</v>
      </c>
      <c r="C671">
        <v>10</v>
      </c>
      <c r="D671" t="s">
        <v>2018</v>
      </c>
      <c r="E671" t="s">
        <v>39</v>
      </c>
      <c r="F671" t="s">
        <v>20</v>
      </c>
      <c r="G671" t="s">
        <v>20</v>
      </c>
      <c r="H671" t="s">
        <v>18</v>
      </c>
      <c r="I671">
        <v>6</v>
      </c>
      <c r="J671">
        <v>3</v>
      </c>
      <c r="K671">
        <v>25</v>
      </c>
      <c r="L671" t="s">
        <v>53</v>
      </c>
      <c r="M671" t="s">
        <v>23</v>
      </c>
      <c r="N671" t="s">
        <v>84</v>
      </c>
      <c r="O671" t="s">
        <v>2019</v>
      </c>
      <c r="P671" t="s">
        <v>2020</v>
      </c>
      <c r="Q671">
        <f t="shared" si="180"/>
        <v>5</v>
      </c>
      <c r="R671">
        <f t="shared" si="181"/>
        <v>2</v>
      </c>
      <c r="S671">
        <f t="shared" si="182"/>
        <v>2</v>
      </c>
      <c r="T671">
        <f t="shared" si="183"/>
        <v>4</v>
      </c>
      <c r="U671">
        <v>25</v>
      </c>
      <c r="V671">
        <f t="shared" si="184"/>
        <v>0</v>
      </c>
      <c r="W671">
        <f t="shared" si="185"/>
        <v>0</v>
      </c>
      <c r="X671">
        <f t="shared" si="186"/>
        <v>1</v>
      </c>
      <c r="Y671">
        <f t="shared" si="187"/>
        <v>0</v>
      </c>
      <c r="Z671">
        <f t="shared" si="188"/>
        <v>0</v>
      </c>
      <c r="AA671">
        <f t="shared" si="189"/>
        <v>1</v>
      </c>
      <c r="AB671">
        <f t="shared" si="190"/>
        <v>0</v>
      </c>
      <c r="AC671">
        <f t="shared" si="191"/>
        <v>0</v>
      </c>
      <c r="AD671">
        <f t="shared" si="192"/>
        <v>0</v>
      </c>
      <c r="AE671">
        <f t="shared" si="193"/>
        <v>0</v>
      </c>
      <c r="AF671">
        <f t="shared" si="194"/>
        <v>0</v>
      </c>
      <c r="AG671">
        <f t="shared" si="195"/>
        <v>1</v>
      </c>
      <c r="AH671">
        <f t="shared" si="196"/>
        <v>0</v>
      </c>
      <c r="AI671">
        <f t="shared" si="197"/>
        <v>0</v>
      </c>
    </row>
    <row r="672" spans="1:35" x14ac:dyDescent="0.2">
      <c r="A672">
        <v>229</v>
      </c>
      <c r="B672" t="s">
        <v>16</v>
      </c>
      <c r="C672">
        <v>7</v>
      </c>
      <c r="D672" t="s">
        <v>2021</v>
      </c>
      <c r="E672" t="s">
        <v>18</v>
      </c>
      <c r="F672" t="s">
        <v>20</v>
      </c>
      <c r="G672" t="s">
        <v>20</v>
      </c>
      <c r="H672" t="s">
        <v>39</v>
      </c>
      <c r="I672">
        <v>3</v>
      </c>
      <c r="J672">
        <v>3</v>
      </c>
      <c r="K672">
        <v>50</v>
      </c>
      <c r="L672" t="s">
        <v>41</v>
      </c>
      <c r="M672" t="s">
        <v>123</v>
      </c>
      <c r="N672" t="s">
        <v>24</v>
      </c>
      <c r="O672" t="s">
        <v>2022</v>
      </c>
      <c r="P672" t="s">
        <v>2023</v>
      </c>
      <c r="Q672">
        <f t="shared" si="180"/>
        <v>4</v>
      </c>
      <c r="R672">
        <f t="shared" si="181"/>
        <v>2</v>
      </c>
      <c r="S672">
        <f t="shared" si="182"/>
        <v>2</v>
      </c>
      <c r="T672">
        <f t="shared" si="183"/>
        <v>5</v>
      </c>
      <c r="U672">
        <v>50</v>
      </c>
      <c r="V672">
        <f t="shared" si="184"/>
        <v>0</v>
      </c>
      <c r="W672">
        <f t="shared" si="185"/>
        <v>0</v>
      </c>
      <c r="X672">
        <f t="shared" si="186"/>
        <v>0</v>
      </c>
      <c r="Y672">
        <f t="shared" si="187"/>
        <v>0</v>
      </c>
      <c r="Z672">
        <f t="shared" si="188"/>
        <v>1</v>
      </c>
      <c r="AA672">
        <f t="shared" si="189"/>
        <v>0</v>
      </c>
      <c r="AB672">
        <f t="shared" si="190"/>
        <v>1</v>
      </c>
      <c r="AC672">
        <f t="shared" si="191"/>
        <v>1</v>
      </c>
      <c r="AD672">
        <f t="shared" si="192"/>
        <v>0</v>
      </c>
      <c r="AE672">
        <f t="shared" si="193"/>
        <v>0</v>
      </c>
      <c r="AF672">
        <f t="shared" si="194"/>
        <v>0</v>
      </c>
      <c r="AG672">
        <f t="shared" si="195"/>
        <v>0</v>
      </c>
      <c r="AH672">
        <f t="shared" si="196"/>
        <v>1</v>
      </c>
      <c r="AI672">
        <f t="shared" si="197"/>
        <v>0</v>
      </c>
    </row>
    <row r="673" spans="1:35" x14ac:dyDescent="0.2">
      <c r="A673">
        <v>230</v>
      </c>
      <c r="B673" t="s">
        <v>16</v>
      </c>
      <c r="C673">
        <v>6</v>
      </c>
      <c r="D673" t="s">
        <v>2024</v>
      </c>
      <c r="E673" t="s">
        <v>18</v>
      </c>
      <c r="F673" t="s">
        <v>21</v>
      </c>
      <c r="G673" t="s">
        <v>20</v>
      </c>
      <c r="H673" t="s">
        <v>39</v>
      </c>
      <c r="I673">
        <v>3</v>
      </c>
      <c r="J673">
        <v>4</v>
      </c>
      <c r="K673">
        <v>30</v>
      </c>
      <c r="L673" t="s">
        <v>28</v>
      </c>
      <c r="M673" t="s">
        <v>135</v>
      </c>
      <c r="N673" t="s">
        <v>24</v>
      </c>
      <c r="O673" t="s">
        <v>2025</v>
      </c>
      <c r="P673" t="s">
        <v>2026</v>
      </c>
      <c r="Q673">
        <f t="shared" si="180"/>
        <v>4</v>
      </c>
      <c r="R673">
        <f t="shared" si="181"/>
        <v>1</v>
      </c>
      <c r="S673">
        <f t="shared" si="182"/>
        <v>2</v>
      </c>
      <c r="T673">
        <f t="shared" si="183"/>
        <v>5</v>
      </c>
      <c r="U673">
        <v>30</v>
      </c>
      <c r="V673">
        <f t="shared" si="184"/>
        <v>1</v>
      </c>
      <c r="W673">
        <f t="shared" si="185"/>
        <v>1</v>
      </c>
      <c r="X673">
        <f t="shared" si="186"/>
        <v>0</v>
      </c>
      <c r="Y673">
        <f t="shared" si="187"/>
        <v>0</v>
      </c>
      <c r="Z673">
        <f t="shared" si="188"/>
        <v>0</v>
      </c>
      <c r="AA673">
        <f t="shared" si="189"/>
        <v>1</v>
      </c>
      <c r="AB673">
        <f t="shared" si="190"/>
        <v>1</v>
      </c>
      <c r="AC673">
        <f t="shared" si="191"/>
        <v>0</v>
      </c>
      <c r="AD673">
        <f t="shared" si="192"/>
        <v>0</v>
      </c>
      <c r="AE673">
        <f t="shared" si="193"/>
        <v>0</v>
      </c>
      <c r="AF673">
        <f t="shared" si="194"/>
        <v>0</v>
      </c>
      <c r="AG673">
        <f t="shared" si="195"/>
        <v>0</v>
      </c>
      <c r="AH673">
        <f t="shared" si="196"/>
        <v>1</v>
      </c>
      <c r="AI673">
        <f t="shared" si="197"/>
        <v>0</v>
      </c>
    </row>
    <row r="674" spans="1:35" x14ac:dyDescent="0.2">
      <c r="A674">
        <v>231</v>
      </c>
      <c r="B674" t="s">
        <v>16</v>
      </c>
      <c r="C674">
        <v>6</v>
      </c>
      <c r="D674" t="s">
        <v>2027</v>
      </c>
      <c r="E674" t="s">
        <v>39</v>
      </c>
      <c r="F674" t="s">
        <v>19</v>
      </c>
      <c r="G674" t="s">
        <v>20</v>
      </c>
      <c r="H674" t="s">
        <v>18</v>
      </c>
      <c r="I674">
        <v>6</v>
      </c>
      <c r="J674">
        <v>10</v>
      </c>
      <c r="K674" s="1">
        <v>1000</v>
      </c>
      <c r="L674" t="s">
        <v>53</v>
      </c>
      <c r="M674" t="s">
        <v>468</v>
      </c>
      <c r="N674" t="s">
        <v>36</v>
      </c>
      <c r="O674" t="s">
        <v>2028</v>
      </c>
      <c r="P674" t="s">
        <v>2029</v>
      </c>
      <c r="Q674">
        <f t="shared" si="180"/>
        <v>5</v>
      </c>
      <c r="R674">
        <f t="shared" si="181"/>
        <v>3</v>
      </c>
      <c r="S674">
        <f t="shared" si="182"/>
        <v>2</v>
      </c>
      <c r="T674">
        <f t="shared" si="183"/>
        <v>4</v>
      </c>
      <c r="U674">
        <v>1000</v>
      </c>
      <c r="V674">
        <f t="shared" si="184"/>
        <v>0</v>
      </c>
      <c r="W674">
        <f t="shared" si="185"/>
        <v>0</v>
      </c>
      <c r="X674">
        <f t="shared" si="186"/>
        <v>1</v>
      </c>
      <c r="Y674">
        <f t="shared" si="187"/>
        <v>0</v>
      </c>
      <c r="Z674">
        <f t="shared" si="188"/>
        <v>0</v>
      </c>
      <c r="AA674">
        <f t="shared" si="189"/>
        <v>1</v>
      </c>
      <c r="AB674">
        <f t="shared" si="190"/>
        <v>1</v>
      </c>
      <c r="AC674">
        <f t="shared" si="191"/>
        <v>1</v>
      </c>
      <c r="AD674">
        <f t="shared" si="192"/>
        <v>1</v>
      </c>
      <c r="AE674">
        <f t="shared" si="193"/>
        <v>1</v>
      </c>
      <c r="AF674">
        <f t="shared" si="194"/>
        <v>0</v>
      </c>
      <c r="AG674">
        <f t="shared" si="195"/>
        <v>0</v>
      </c>
      <c r="AH674">
        <f t="shared" si="196"/>
        <v>0</v>
      </c>
      <c r="AI674">
        <f t="shared" si="197"/>
        <v>1</v>
      </c>
    </row>
    <row r="675" spans="1:35" x14ac:dyDescent="0.2">
      <c r="A675">
        <v>232</v>
      </c>
      <c r="B675" t="s">
        <v>16</v>
      </c>
      <c r="C675">
        <v>6</v>
      </c>
      <c r="D675" t="s">
        <v>2030</v>
      </c>
      <c r="E675" t="s">
        <v>20</v>
      </c>
      <c r="F675" t="s">
        <v>20</v>
      </c>
      <c r="G675" t="s">
        <v>20</v>
      </c>
      <c r="H675" t="s">
        <v>18</v>
      </c>
      <c r="I675">
        <v>3</v>
      </c>
      <c r="J675">
        <v>4</v>
      </c>
      <c r="K675">
        <v>10</v>
      </c>
      <c r="L675" t="s">
        <v>98</v>
      </c>
      <c r="M675" t="s">
        <v>23</v>
      </c>
      <c r="N675" t="s">
        <v>24</v>
      </c>
      <c r="O675" t="s">
        <v>2031</v>
      </c>
      <c r="P675" t="s">
        <v>2032</v>
      </c>
      <c r="Q675">
        <f t="shared" si="180"/>
        <v>2</v>
      </c>
      <c r="R675">
        <f t="shared" si="181"/>
        <v>2</v>
      </c>
      <c r="S675">
        <f t="shared" si="182"/>
        <v>2</v>
      </c>
      <c r="T675">
        <f t="shared" si="183"/>
        <v>4</v>
      </c>
      <c r="U675">
        <v>10</v>
      </c>
      <c r="V675">
        <f t="shared" si="184"/>
        <v>0</v>
      </c>
      <c r="W675">
        <f t="shared" si="185"/>
        <v>1</v>
      </c>
      <c r="X675">
        <f t="shared" si="186"/>
        <v>0</v>
      </c>
      <c r="Y675">
        <f t="shared" si="187"/>
        <v>0</v>
      </c>
      <c r="Z675">
        <f t="shared" si="188"/>
        <v>0</v>
      </c>
      <c r="AA675">
        <f t="shared" si="189"/>
        <v>1</v>
      </c>
      <c r="AB675">
        <f t="shared" si="190"/>
        <v>0</v>
      </c>
      <c r="AC675">
        <f t="shared" si="191"/>
        <v>0</v>
      </c>
      <c r="AD675">
        <f t="shared" si="192"/>
        <v>0</v>
      </c>
      <c r="AE675">
        <f t="shared" si="193"/>
        <v>0</v>
      </c>
      <c r="AF675">
        <f t="shared" si="194"/>
        <v>0</v>
      </c>
      <c r="AG675">
        <f t="shared" si="195"/>
        <v>0</v>
      </c>
      <c r="AH675">
        <f t="shared" si="196"/>
        <v>1</v>
      </c>
      <c r="AI675">
        <f t="shared" si="197"/>
        <v>0</v>
      </c>
    </row>
    <row r="676" spans="1:35" x14ac:dyDescent="0.2">
      <c r="A676">
        <v>233</v>
      </c>
      <c r="B676" t="s">
        <v>16</v>
      </c>
      <c r="C676">
        <v>7</v>
      </c>
      <c r="D676" t="s">
        <v>2033</v>
      </c>
      <c r="E676" t="s">
        <v>39</v>
      </c>
      <c r="F676" t="s">
        <v>20</v>
      </c>
      <c r="G676" t="s">
        <v>20</v>
      </c>
      <c r="H676" t="s">
        <v>18</v>
      </c>
      <c r="I676">
        <v>4</v>
      </c>
      <c r="J676">
        <v>5</v>
      </c>
      <c r="K676" s="1">
        <v>100</v>
      </c>
      <c r="L676" t="s">
        <v>53</v>
      </c>
      <c r="M676" t="s">
        <v>42</v>
      </c>
      <c r="N676" t="s">
        <v>24</v>
      </c>
      <c r="O676" t="s">
        <v>67</v>
      </c>
      <c r="P676" t="s">
        <v>2034</v>
      </c>
      <c r="Q676">
        <f t="shared" si="180"/>
        <v>5</v>
      </c>
      <c r="R676">
        <f t="shared" si="181"/>
        <v>2</v>
      </c>
      <c r="S676">
        <f t="shared" si="182"/>
        <v>2</v>
      </c>
      <c r="T676">
        <f t="shared" si="183"/>
        <v>4</v>
      </c>
      <c r="U676">
        <v>100</v>
      </c>
      <c r="V676">
        <f t="shared" si="184"/>
        <v>0</v>
      </c>
      <c r="W676">
        <f t="shared" si="185"/>
        <v>0</v>
      </c>
      <c r="X676">
        <f t="shared" si="186"/>
        <v>1</v>
      </c>
      <c r="Y676">
        <f t="shared" si="187"/>
        <v>0</v>
      </c>
      <c r="Z676">
        <f t="shared" si="188"/>
        <v>0</v>
      </c>
      <c r="AA676">
        <f t="shared" si="189"/>
        <v>0</v>
      </c>
      <c r="AB676">
        <f t="shared" si="190"/>
        <v>1</v>
      </c>
      <c r="AC676">
        <f t="shared" si="191"/>
        <v>0</v>
      </c>
      <c r="AD676">
        <f t="shared" si="192"/>
        <v>0</v>
      </c>
      <c r="AE676">
        <f t="shared" si="193"/>
        <v>0</v>
      </c>
      <c r="AF676">
        <f t="shared" si="194"/>
        <v>0</v>
      </c>
      <c r="AG676">
        <f t="shared" si="195"/>
        <v>0</v>
      </c>
      <c r="AH676">
        <f t="shared" si="196"/>
        <v>1</v>
      </c>
      <c r="AI676">
        <f t="shared" si="197"/>
        <v>0</v>
      </c>
    </row>
    <row r="677" spans="1:35" x14ac:dyDescent="0.2">
      <c r="A677">
        <v>234</v>
      </c>
      <c r="B677" t="s">
        <v>16</v>
      </c>
      <c r="C677">
        <v>7</v>
      </c>
      <c r="D677" t="s">
        <v>2035</v>
      </c>
      <c r="E677" t="s">
        <v>39</v>
      </c>
      <c r="F677" t="s">
        <v>21</v>
      </c>
      <c r="G677" t="s">
        <v>20</v>
      </c>
      <c r="H677" t="s">
        <v>39</v>
      </c>
      <c r="I677">
        <v>2</v>
      </c>
      <c r="J677">
        <v>4</v>
      </c>
      <c r="K677">
        <v>1000</v>
      </c>
      <c r="L677" t="s">
        <v>53</v>
      </c>
      <c r="M677" t="s">
        <v>23</v>
      </c>
      <c r="N677" t="s">
        <v>24</v>
      </c>
      <c r="O677" t="s">
        <v>1698</v>
      </c>
      <c r="P677" t="s">
        <v>2036</v>
      </c>
      <c r="Q677">
        <f t="shared" si="180"/>
        <v>5</v>
      </c>
      <c r="R677">
        <f t="shared" si="181"/>
        <v>1</v>
      </c>
      <c r="S677">
        <f t="shared" si="182"/>
        <v>2</v>
      </c>
      <c r="T677">
        <f t="shared" si="183"/>
        <v>5</v>
      </c>
      <c r="U677">
        <v>1000</v>
      </c>
      <c r="V677">
        <f t="shared" si="184"/>
        <v>0</v>
      </c>
      <c r="W677">
        <f t="shared" si="185"/>
        <v>0</v>
      </c>
      <c r="X677">
        <f t="shared" si="186"/>
        <v>1</v>
      </c>
      <c r="Y677">
        <f t="shared" si="187"/>
        <v>0</v>
      </c>
      <c r="Z677">
        <f t="shared" si="188"/>
        <v>0</v>
      </c>
      <c r="AA677">
        <f t="shared" si="189"/>
        <v>1</v>
      </c>
      <c r="AB677">
        <f t="shared" si="190"/>
        <v>0</v>
      </c>
      <c r="AC677">
        <f t="shared" si="191"/>
        <v>0</v>
      </c>
      <c r="AD677">
        <f t="shared" si="192"/>
        <v>0</v>
      </c>
      <c r="AE677">
        <f t="shared" si="193"/>
        <v>0</v>
      </c>
      <c r="AF677">
        <f t="shared" si="194"/>
        <v>0</v>
      </c>
      <c r="AG677">
        <f t="shared" si="195"/>
        <v>0</v>
      </c>
      <c r="AH677">
        <f t="shared" si="196"/>
        <v>1</v>
      </c>
      <c r="AI677">
        <f t="shared" si="197"/>
        <v>0</v>
      </c>
    </row>
    <row r="678" spans="1:35" x14ac:dyDescent="0.2">
      <c r="A678">
        <v>235</v>
      </c>
      <c r="B678" t="s">
        <v>16</v>
      </c>
      <c r="C678">
        <v>7</v>
      </c>
      <c r="D678" t="s">
        <v>2037</v>
      </c>
      <c r="E678" t="s">
        <v>20</v>
      </c>
      <c r="F678" t="s">
        <v>20</v>
      </c>
      <c r="G678" t="s">
        <v>20</v>
      </c>
      <c r="H678" t="s">
        <v>20</v>
      </c>
      <c r="I678">
        <v>4</v>
      </c>
      <c r="J678">
        <v>5</v>
      </c>
      <c r="K678">
        <v>0</v>
      </c>
      <c r="L678" t="s">
        <v>22</v>
      </c>
      <c r="M678" t="s">
        <v>219</v>
      </c>
      <c r="N678" t="s">
        <v>36</v>
      </c>
      <c r="O678" t="s">
        <v>2038</v>
      </c>
      <c r="P678" t="s">
        <v>2039</v>
      </c>
      <c r="Q678">
        <f t="shared" si="180"/>
        <v>2</v>
      </c>
      <c r="R678">
        <f t="shared" si="181"/>
        <v>2</v>
      </c>
      <c r="S678">
        <f t="shared" si="182"/>
        <v>2</v>
      </c>
      <c r="T678">
        <f t="shared" si="183"/>
        <v>2</v>
      </c>
      <c r="U678">
        <v>0</v>
      </c>
      <c r="V678">
        <f t="shared" si="184"/>
        <v>1</v>
      </c>
      <c r="W678">
        <f t="shared" si="185"/>
        <v>0</v>
      </c>
      <c r="X678">
        <f t="shared" si="186"/>
        <v>0</v>
      </c>
      <c r="Y678">
        <f t="shared" si="187"/>
        <v>0</v>
      </c>
      <c r="Z678">
        <f t="shared" si="188"/>
        <v>0</v>
      </c>
      <c r="AA678">
        <f t="shared" si="189"/>
        <v>0</v>
      </c>
      <c r="AB678">
        <f t="shared" si="190"/>
        <v>0</v>
      </c>
      <c r="AC678">
        <f t="shared" si="191"/>
        <v>0</v>
      </c>
      <c r="AD678">
        <f t="shared" si="192"/>
        <v>0</v>
      </c>
      <c r="AE678">
        <f t="shared" si="193"/>
        <v>1</v>
      </c>
      <c r="AF678">
        <f t="shared" si="194"/>
        <v>0</v>
      </c>
      <c r="AG678">
        <f t="shared" si="195"/>
        <v>0</v>
      </c>
      <c r="AH678">
        <f t="shared" si="196"/>
        <v>0</v>
      </c>
      <c r="AI678">
        <f t="shared" si="197"/>
        <v>1</v>
      </c>
    </row>
    <row r="679" spans="1:35" x14ac:dyDescent="0.2">
      <c r="A679">
        <v>236</v>
      </c>
      <c r="B679" t="s">
        <v>16</v>
      </c>
      <c r="C679">
        <v>2</v>
      </c>
      <c r="D679" t="s">
        <v>2040</v>
      </c>
      <c r="E679" t="s">
        <v>20</v>
      </c>
      <c r="F679" t="s">
        <v>21</v>
      </c>
      <c r="G679" t="s">
        <v>21</v>
      </c>
      <c r="H679" t="s">
        <v>18</v>
      </c>
      <c r="I679">
        <v>2</v>
      </c>
      <c r="J679">
        <v>2</v>
      </c>
      <c r="K679" s="1">
        <v>10</v>
      </c>
      <c r="L679" t="s">
        <v>22</v>
      </c>
      <c r="M679" t="s">
        <v>42</v>
      </c>
      <c r="N679" t="s">
        <v>215</v>
      </c>
      <c r="O679" t="s">
        <v>495</v>
      </c>
      <c r="P679" t="s">
        <v>2041</v>
      </c>
      <c r="Q679">
        <f t="shared" si="180"/>
        <v>2</v>
      </c>
      <c r="R679">
        <f t="shared" si="181"/>
        <v>1</v>
      </c>
      <c r="S679">
        <f t="shared" si="182"/>
        <v>1</v>
      </c>
      <c r="T679">
        <f t="shared" si="183"/>
        <v>4</v>
      </c>
      <c r="U679">
        <v>10</v>
      </c>
      <c r="V679">
        <f t="shared" si="184"/>
        <v>1</v>
      </c>
      <c r="W679">
        <f t="shared" si="185"/>
        <v>0</v>
      </c>
      <c r="X679">
        <f t="shared" si="186"/>
        <v>0</v>
      </c>
      <c r="Y679">
        <f t="shared" si="187"/>
        <v>0</v>
      </c>
      <c r="Z679">
        <f t="shared" si="188"/>
        <v>0</v>
      </c>
      <c r="AA679">
        <f t="shared" si="189"/>
        <v>0</v>
      </c>
      <c r="AB679">
        <f t="shared" si="190"/>
        <v>1</v>
      </c>
      <c r="AC679">
        <f t="shared" si="191"/>
        <v>0</v>
      </c>
      <c r="AD679">
        <f t="shared" si="192"/>
        <v>0</v>
      </c>
      <c r="AE679">
        <f t="shared" si="193"/>
        <v>0</v>
      </c>
      <c r="AF679">
        <f t="shared" si="194"/>
        <v>1</v>
      </c>
      <c r="AG679">
        <f t="shared" si="195"/>
        <v>0</v>
      </c>
      <c r="AH679">
        <f t="shared" si="196"/>
        <v>0</v>
      </c>
      <c r="AI679">
        <f t="shared" si="197"/>
        <v>0</v>
      </c>
    </row>
    <row r="680" spans="1:35" x14ac:dyDescent="0.2">
      <c r="A680">
        <v>237</v>
      </c>
      <c r="B680" t="s">
        <v>16</v>
      </c>
      <c r="C680">
        <v>4</v>
      </c>
      <c r="D680" t="s">
        <v>2042</v>
      </c>
      <c r="E680" t="s">
        <v>18</v>
      </c>
      <c r="F680" t="s">
        <v>20</v>
      </c>
      <c r="G680" t="s">
        <v>19</v>
      </c>
      <c r="H680" t="s">
        <v>18</v>
      </c>
      <c r="I680">
        <v>4</v>
      </c>
      <c r="J680">
        <v>5</v>
      </c>
      <c r="K680">
        <v>10</v>
      </c>
      <c r="L680" t="s">
        <v>22</v>
      </c>
      <c r="M680" t="s">
        <v>42</v>
      </c>
      <c r="N680" t="s">
        <v>24</v>
      </c>
      <c r="O680" t="s">
        <v>2043</v>
      </c>
      <c r="P680" t="s">
        <v>2044</v>
      </c>
      <c r="Q680">
        <f t="shared" si="180"/>
        <v>4</v>
      </c>
      <c r="R680">
        <f t="shared" si="181"/>
        <v>2</v>
      </c>
      <c r="S680">
        <f t="shared" si="182"/>
        <v>3</v>
      </c>
      <c r="T680">
        <f t="shared" si="183"/>
        <v>4</v>
      </c>
      <c r="U680">
        <v>10</v>
      </c>
      <c r="V680">
        <f t="shared" si="184"/>
        <v>1</v>
      </c>
      <c r="W680">
        <f t="shared" si="185"/>
        <v>0</v>
      </c>
      <c r="X680">
        <f t="shared" si="186"/>
        <v>0</v>
      </c>
      <c r="Y680">
        <f t="shared" si="187"/>
        <v>0</v>
      </c>
      <c r="Z680">
        <f t="shared" si="188"/>
        <v>0</v>
      </c>
      <c r="AA680">
        <f t="shared" si="189"/>
        <v>0</v>
      </c>
      <c r="AB680">
        <f t="shared" si="190"/>
        <v>1</v>
      </c>
      <c r="AC680">
        <f t="shared" si="191"/>
        <v>0</v>
      </c>
      <c r="AD680">
        <f t="shared" si="192"/>
        <v>0</v>
      </c>
      <c r="AE680">
        <f t="shared" si="193"/>
        <v>0</v>
      </c>
      <c r="AF680">
        <f t="shared" si="194"/>
        <v>0</v>
      </c>
      <c r="AG680">
        <f t="shared" si="195"/>
        <v>0</v>
      </c>
      <c r="AH680">
        <f t="shared" si="196"/>
        <v>1</v>
      </c>
      <c r="AI680">
        <f t="shared" si="197"/>
        <v>0</v>
      </c>
    </row>
    <row r="681" spans="1:35" x14ac:dyDescent="0.2">
      <c r="A681">
        <v>238</v>
      </c>
      <c r="B681" t="s">
        <v>16</v>
      </c>
      <c r="C681">
        <v>7</v>
      </c>
      <c r="D681" t="s">
        <v>2045</v>
      </c>
      <c r="E681" t="s">
        <v>18</v>
      </c>
      <c r="F681" t="s">
        <v>21</v>
      </c>
      <c r="G681" t="s">
        <v>19</v>
      </c>
      <c r="H681" t="s">
        <v>20</v>
      </c>
      <c r="I681">
        <v>2</v>
      </c>
      <c r="J681">
        <v>4</v>
      </c>
      <c r="K681">
        <v>350</v>
      </c>
      <c r="L681" t="s">
        <v>47</v>
      </c>
      <c r="M681" t="s">
        <v>99</v>
      </c>
      <c r="N681" t="s">
        <v>43</v>
      </c>
      <c r="O681" t="s">
        <v>2046</v>
      </c>
      <c r="P681" t="s">
        <v>2047</v>
      </c>
      <c r="Q681">
        <f t="shared" si="180"/>
        <v>4</v>
      </c>
      <c r="R681">
        <f t="shared" si="181"/>
        <v>1</v>
      </c>
      <c r="S681">
        <f t="shared" si="182"/>
        <v>3</v>
      </c>
      <c r="T681">
        <f t="shared" si="183"/>
        <v>2</v>
      </c>
      <c r="U681">
        <v>350</v>
      </c>
      <c r="V681">
        <f t="shared" si="184"/>
        <v>0</v>
      </c>
      <c r="W681">
        <f t="shared" si="185"/>
        <v>0</v>
      </c>
      <c r="X681">
        <f t="shared" si="186"/>
        <v>1</v>
      </c>
      <c r="Y681">
        <f t="shared" si="187"/>
        <v>0</v>
      </c>
      <c r="Z681">
        <f t="shared" si="188"/>
        <v>1</v>
      </c>
      <c r="AA681">
        <f t="shared" si="189"/>
        <v>1</v>
      </c>
      <c r="AB681">
        <f t="shared" si="190"/>
        <v>0</v>
      </c>
      <c r="AC681">
        <f t="shared" si="191"/>
        <v>0</v>
      </c>
      <c r="AD681">
        <f t="shared" si="192"/>
        <v>0</v>
      </c>
      <c r="AE681">
        <f t="shared" si="193"/>
        <v>1</v>
      </c>
      <c r="AF681">
        <f t="shared" si="194"/>
        <v>1</v>
      </c>
      <c r="AG681">
        <f t="shared" si="195"/>
        <v>1</v>
      </c>
      <c r="AH681">
        <f t="shared" si="196"/>
        <v>0</v>
      </c>
      <c r="AI681">
        <f t="shared" si="197"/>
        <v>0</v>
      </c>
    </row>
    <row r="682" spans="1:35" x14ac:dyDescent="0.2">
      <c r="A682">
        <v>239</v>
      </c>
      <c r="B682" t="s">
        <v>16</v>
      </c>
      <c r="C682">
        <v>4</v>
      </c>
      <c r="D682" t="s">
        <v>2048</v>
      </c>
      <c r="E682" t="s">
        <v>18</v>
      </c>
      <c r="F682" t="s">
        <v>19</v>
      </c>
      <c r="G682" t="s">
        <v>18</v>
      </c>
      <c r="H682" t="s">
        <v>19</v>
      </c>
      <c r="I682">
        <v>3</v>
      </c>
      <c r="J682">
        <v>5</v>
      </c>
      <c r="K682">
        <v>10</v>
      </c>
      <c r="L682" t="s">
        <v>53</v>
      </c>
      <c r="M682" t="s">
        <v>23</v>
      </c>
      <c r="N682" t="s">
        <v>215</v>
      </c>
      <c r="O682" t="s">
        <v>2049</v>
      </c>
      <c r="P682" t="s">
        <v>2050</v>
      </c>
      <c r="Q682">
        <f t="shared" si="180"/>
        <v>4</v>
      </c>
      <c r="R682">
        <f t="shared" si="181"/>
        <v>3</v>
      </c>
      <c r="S682">
        <f t="shared" si="182"/>
        <v>4</v>
      </c>
      <c r="T682">
        <f t="shared" si="183"/>
        <v>3</v>
      </c>
      <c r="U682">
        <v>10</v>
      </c>
      <c r="V682">
        <f t="shared" si="184"/>
        <v>0</v>
      </c>
      <c r="W682">
        <f t="shared" si="185"/>
        <v>0</v>
      </c>
      <c r="X682">
        <f t="shared" si="186"/>
        <v>1</v>
      </c>
      <c r="Y682">
        <f t="shared" si="187"/>
        <v>0</v>
      </c>
      <c r="Z682">
        <f t="shared" si="188"/>
        <v>0</v>
      </c>
      <c r="AA682">
        <f t="shared" si="189"/>
        <v>1</v>
      </c>
      <c r="AB682">
        <f t="shared" si="190"/>
        <v>0</v>
      </c>
      <c r="AC682">
        <f t="shared" si="191"/>
        <v>0</v>
      </c>
      <c r="AD682">
        <f t="shared" si="192"/>
        <v>0</v>
      </c>
      <c r="AE682">
        <f t="shared" si="193"/>
        <v>0</v>
      </c>
      <c r="AF682">
        <f t="shared" si="194"/>
        <v>1</v>
      </c>
      <c r="AG682">
        <f t="shared" si="195"/>
        <v>0</v>
      </c>
      <c r="AH682">
        <f t="shared" si="196"/>
        <v>0</v>
      </c>
      <c r="AI682">
        <f t="shared" si="197"/>
        <v>0</v>
      </c>
    </row>
    <row r="683" spans="1:35" x14ac:dyDescent="0.2">
      <c r="A683">
        <v>240</v>
      </c>
      <c r="B683" t="s">
        <v>16</v>
      </c>
      <c r="C683">
        <v>6</v>
      </c>
      <c r="D683" t="s">
        <v>2051</v>
      </c>
      <c r="E683" t="s">
        <v>39</v>
      </c>
      <c r="F683" t="s">
        <v>19</v>
      </c>
      <c r="G683" t="s">
        <v>21</v>
      </c>
      <c r="H683" t="s">
        <v>18</v>
      </c>
      <c r="I683">
        <v>4</v>
      </c>
      <c r="J683">
        <v>3</v>
      </c>
      <c r="K683">
        <v>0</v>
      </c>
      <c r="L683" t="s">
        <v>22</v>
      </c>
      <c r="M683" t="s">
        <v>23</v>
      </c>
      <c r="N683" t="s">
        <v>24</v>
      </c>
      <c r="O683" t="s">
        <v>2052</v>
      </c>
      <c r="P683" t="s">
        <v>2053</v>
      </c>
      <c r="Q683">
        <f t="shared" si="180"/>
        <v>5</v>
      </c>
      <c r="R683">
        <f t="shared" si="181"/>
        <v>3</v>
      </c>
      <c r="S683">
        <f t="shared" si="182"/>
        <v>1</v>
      </c>
      <c r="T683">
        <f t="shared" si="183"/>
        <v>4</v>
      </c>
      <c r="U683">
        <v>0</v>
      </c>
      <c r="V683">
        <f t="shared" si="184"/>
        <v>1</v>
      </c>
      <c r="W683">
        <f t="shared" si="185"/>
        <v>0</v>
      </c>
      <c r="X683">
        <f t="shared" si="186"/>
        <v>0</v>
      </c>
      <c r="Y683">
        <f t="shared" si="187"/>
        <v>0</v>
      </c>
      <c r="Z683">
        <f t="shared" si="188"/>
        <v>0</v>
      </c>
      <c r="AA683">
        <f t="shared" si="189"/>
        <v>1</v>
      </c>
      <c r="AB683">
        <f t="shared" si="190"/>
        <v>0</v>
      </c>
      <c r="AC683">
        <f t="shared" si="191"/>
        <v>0</v>
      </c>
      <c r="AD683">
        <f t="shared" si="192"/>
        <v>0</v>
      </c>
      <c r="AE683">
        <f t="shared" si="193"/>
        <v>0</v>
      </c>
      <c r="AF683">
        <f t="shared" si="194"/>
        <v>0</v>
      </c>
      <c r="AG683">
        <f t="shared" si="195"/>
        <v>0</v>
      </c>
      <c r="AH683">
        <f t="shared" si="196"/>
        <v>1</v>
      </c>
      <c r="AI683">
        <f t="shared" si="197"/>
        <v>0</v>
      </c>
    </row>
    <row r="684" spans="1:35" x14ac:dyDescent="0.2">
      <c r="A684">
        <v>241</v>
      </c>
      <c r="B684" t="s">
        <v>16</v>
      </c>
      <c r="C684">
        <v>7</v>
      </c>
      <c r="D684" t="s">
        <v>2054</v>
      </c>
      <c r="E684" t="s">
        <v>39</v>
      </c>
      <c r="F684" t="s">
        <v>21</v>
      </c>
      <c r="G684" t="s">
        <v>20</v>
      </c>
      <c r="H684" t="s">
        <v>18</v>
      </c>
      <c r="I684">
        <v>4</v>
      </c>
      <c r="J684">
        <v>5</v>
      </c>
      <c r="K684">
        <v>10000</v>
      </c>
      <c r="L684" t="s">
        <v>53</v>
      </c>
      <c r="M684" t="s">
        <v>23</v>
      </c>
      <c r="N684" t="s">
        <v>36</v>
      </c>
      <c r="O684" t="s">
        <v>2055</v>
      </c>
      <c r="P684" t="s">
        <v>2056</v>
      </c>
      <c r="Q684">
        <f t="shared" si="180"/>
        <v>5</v>
      </c>
      <c r="R684">
        <f t="shared" si="181"/>
        <v>1</v>
      </c>
      <c r="S684">
        <f t="shared" si="182"/>
        <v>2</v>
      </c>
      <c r="T684">
        <f t="shared" si="183"/>
        <v>4</v>
      </c>
      <c r="U684">
        <v>10000</v>
      </c>
      <c r="V684">
        <f t="shared" si="184"/>
        <v>0</v>
      </c>
      <c r="W684">
        <f t="shared" si="185"/>
        <v>0</v>
      </c>
      <c r="X684">
        <f t="shared" si="186"/>
        <v>1</v>
      </c>
      <c r="Y684">
        <f t="shared" si="187"/>
        <v>0</v>
      </c>
      <c r="Z684">
        <f t="shared" si="188"/>
        <v>0</v>
      </c>
      <c r="AA684">
        <f t="shared" si="189"/>
        <v>1</v>
      </c>
      <c r="AB684">
        <f t="shared" si="190"/>
        <v>0</v>
      </c>
      <c r="AC684">
        <f t="shared" si="191"/>
        <v>0</v>
      </c>
      <c r="AD684">
        <f t="shared" si="192"/>
        <v>0</v>
      </c>
      <c r="AE684">
        <f t="shared" si="193"/>
        <v>0</v>
      </c>
      <c r="AF684">
        <f t="shared" si="194"/>
        <v>0</v>
      </c>
      <c r="AG684">
        <f t="shared" si="195"/>
        <v>0</v>
      </c>
      <c r="AH684">
        <f t="shared" si="196"/>
        <v>0</v>
      </c>
      <c r="AI684">
        <f t="shared" si="197"/>
        <v>1</v>
      </c>
    </row>
    <row r="685" spans="1:35" x14ac:dyDescent="0.2">
      <c r="A685">
        <v>242</v>
      </c>
      <c r="B685" t="s">
        <v>16</v>
      </c>
      <c r="C685">
        <v>3</v>
      </c>
      <c r="D685" t="s">
        <v>2057</v>
      </c>
      <c r="E685" t="s">
        <v>19</v>
      </c>
      <c r="F685" t="s">
        <v>18</v>
      </c>
      <c r="G685" t="s">
        <v>18</v>
      </c>
      <c r="H685" t="s">
        <v>20</v>
      </c>
      <c r="I685">
        <v>6</v>
      </c>
      <c r="J685">
        <v>7</v>
      </c>
      <c r="K685">
        <v>100</v>
      </c>
      <c r="L685" t="s">
        <v>79</v>
      </c>
      <c r="M685" t="s">
        <v>23</v>
      </c>
      <c r="N685" t="s">
        <v>215</v>
      </c>
      <c r="O685" t="s">
        <v>148</v>
      </c>
      <c r="P685" t="s">
        <v>2058</v>
      </c>
      <c r="Q685">
        <f t="shared" si="180"/>
        <v>3</v>
      </c>
      <c r="R685">
        <f t="shared" si="181"/>
        <v>4</v>
      </c>
      <c r="S685">
        <f t="shared" si="182"/>
        <v>4</v>
      </c>
      <c r="T685">
        <f t="shared" si="183"/>
        <v>2</v>
      </c>
      <c r="U685">
        <v>100</v>
      </c>
      <c r="V685">
        <f t="shared" si="184"/>
        <v>0</v>
      </c>
      <c r="W685">
        <f t="shared" si="185"/>
        <v>1</v>
      </c>
      <c r="X685">
        <f t="shared" si="186"/>
        <v>0</v>
      </c>
      <c r="Y685">
        <f t="shared" si="187"/>
        <v>0</v>
      </c>
      <c r="Z685">
        <f t="shared" si="188"/>
        <v>1</v>
      </c>
      <c r="AA685">
        <f t="shared" si="189"/>
        <v>1</v>
      </c>
      <c r="AB685">
        <f t="shared" si="190"/>
        <v>0</v>
      </c>
      <c r="AC685">
        <f t="shared" si="191"/>
        <v>0</v>
      </c>
      <c r="AD685">
        <f t="shared" si="192"/>
        <v>0</v>
      </c>
      <c r="AE685">
        <f t="shared" si="193"/>
        <v>0</v>
      </c>
      <c r="AF685">
        <f t="shared" si="194"/>
        <v>1</v>
      </c>
      <c r="AG685">
        <f t="shared" si="195"/>
        <v>0</v>
      </c>
      <c r="AH685">
        <f t="shared" si="196"/>
        <v>0</v>
      </c>
      <c r="AI685">
        <f t="shared" si="197"/>
        <v>0</v>
      </c>
    </row>
    <row r="686" spans="1:35" x14ac:dyDescent="0.2">
      <c r="A686">
        <v>243</v>
      </c>
      <c r="B686" t="s">
        <v>16</v>
      </c>
      <c r="C686">
        <v>2</v>
      </c>
      <c r="D686" t="s">
        <v>2059</v>
      </c>
      <c r="E686" t="s">
        <v>19</v>
      </c>
      <c r="F686" t="s">
        <v>20</v>
      </c>
      <c r="G686" t="s">
        <v>20</v>
      </c>
      <c r="H686" t="s">
        <v>19</v>
      </c>
      <c r="I686">
        <v>4</v>
      </c>
      <c r="J686">
        <v>5</v>
      </c>
      <c r="K686">
        <v>0</v>
      </c>
      <c r="L686" t="s">
        <v>53</v>
      </c>
      <c r="M686" t="s">
        <v>23</v>
      </c>
      <c r="N686" t="s">
        <v>24</v>
      </c>
      <c r="O686" t="s">
        <v>2060</v>
      </c>
      <c r="P686" t="s">
        <v>2061</v>
      </c>
      <c r="Q686">
        <f t="shared" si="180"/>
        <v>3</v>
      </c>
      <c r="R686">
        <f t="shared" si="181"/>
        <v>2</v>
      </c>
      <c r="S686">
        <f t="shared" si="182"/>
        <v>2</v>
      </c>
      <c r="T686">
        <f t="shared" si="183"/>
        <v>3</v>
      </c>
      <c r="U686">
        <v>0</v>
      </c>
      <c r="V686">
        <f t="shared" si="184"/>
        <v>0</v>
      </c>
      <c r="W686">
        <f t="shared" si="185"/>
        <v>0</v>
      </c>
      <c r="X686">
        <f t="shared" si="186"/>
        <v>1</v>
      </c>
      <c r="Y686">
        <f t="shared" si="187"/>
        <v>0</v>
      </c>
      <c r="Z686">
        <f t="shared" si="188"/>
        <v>0</v>
      </c>
      <c r="AA686">
        <f t="shared" si="189"/>
        <v>1</v>
      </c>
      <c r="AB686">
        <f t="shared" si="190"/>
        <v>0</v>
      </c>
      <c r="AC686">
        <f t="shared" si="191"/>
        <v>0</v>
      </c>
      <c r="AD686">
        <f t="shared" si="192"/>
        <v>0</v>
      </c>
      <c r="AE686">
        <f t="shared" si="193"/>
        <v>0</v>
      </c>
      <c r="AF686">
        <f t="shared" si="194"/>
        <v>0</v>
      </c>
      <c r="AG686">
        <f t="shared" si="195"/>
        <v>0</v>
      </c>
      <c r="AH686">
        <f t="shared" si="196"/>
        <v>1</v>
      </c>
      <c r="AI686">
        <f t="shared" si="197"/>
        <v>0</v>
      </c>
    </row>
    <row r="687" spans="1:35" x14ac:dyDescent="0.2">
      <c r="A687">
        <v>244</v>
      </c>
      <c r="B687" t="s">
        <v>16</v>
      </c>
      <c r="C687">
        <v>7</v>
      </c>
      <c r="D687" t="s">
        <v>2062</v>
      </c>
      <c r="E687" t="s">
        <v>39</v>
      </c>
      <c r="F687" t="s">
        <v>21</v>
      </c>
      <c r="G687" t="s">
        <v>20</v>
      </c>
      <c r="H687" t="s">
        <v>18</v>
      </c>
      <c r="I687">
        <v>3</v>
      </c>
      <c r="J687">
        <v>2</v>
      </c>
      <c r="K687">
        <v>500</v>
      </c>
      <c r="L687" t="s">
        <v>70</v>
      </c>
      <c r="M687" t="s">
        <v>135</v>
      </c>
      <c r="N687" t="s">
        <v>147</v>
      </c>
      <c r="O687" t="s">
        <v>2063</v>
      </c>
      <c r="P687" t="s">
        <v>2064</v>
      </c>
      <c r="Q687">
        <f t="shared" si="180"/>
        <v>5</v>
      </c>
      <c r="R687">
        <f t="shared" si="181"/>
        <v>1</v>
      </c>
      <c r="S687">
        <f t="shared" si="182"/>
        <v>2</v>
      </c>
      <c r="T687">
        <f t="shared" si="183"/>
        <v>4</v>
      </c>
      <c r="U687">
        <v>500</v>
      </c>
      <c r="V687">
        <f t="shared" si="184"/>
        <v>0</v>
      </c>
      <c r="W687">
        <f t="shared" si="185"/>
        <v>0</v>
      </c>
      <c r="X687">
        <f t="shared" si="186"/>
        <v>0</v>
      </c>
      <c r="Y687">
        <f t="shared" si="187"/>
        <v>1</v>
      </c>
      <c r="Z687">
        <f t="shared" si="188"/>
        <v>0</v>
      </c>
      <c r="AA687">
        <f t="shared" si="189"/>
        <v>1</v>
      </c>
      <c r="AB687">
        <f t="shared" si="190"/>
        <v>1</v>
      </c>
      <c r="AC687">
        <f t="shared" si="191"/>
        <v>0</v>
      </c>
      <c r="AD687">
        <f t="shared" si="192"/>
        <v>0</v>
      </c>
      <c r="AE687">
        <f t="shared" si="193"/>
        <v>0</v>
      </c>
      <c r="AF687">
        <f t="shared" si="194"/>
        <v>0</v>
      </c>
      <c r="AG687">
        <f t="shared" si="195"/>
        <v>0</v>
      </c>
      <c r="AH687">
        <f t="shared" si="196"/>
        <v>1</v>
      </c>
      <c r="AI687">
        <f t="shared" si="197"/>
        <v>1</v>
      </c>
    </row>
    <row r="688" spans="1:35" x14ac:dyDescent="0.2">
      <c r="A688">
        <v>245</v>
      </c>
      <c r="B688" t="s">
        <v>16</v>
      </c>
      <c r="C688">
        <v>6</v>
      </c>
      <c r="D688" t="s">
        <v>2065</v>
      </c>
      <c r="E688" t="s">
        <v>18</v>
      </c>
      <c r="F688" t="s">
        <v>20</v>
      </c>
      <c r="G688" t="s">
        <v>20</v>
      </c>
      <c r="H688" t="s">
        <v>18</v>
      </c>
      <c r="I688">
        <v>6</v>
      </c>
      <c r="J688">
        <v>7</v>
      </c>
      <c r="K688">
        <v>50</v>
      </c>
      <c r="L688" t="s">
        <v>22</v>
      </c>
      <c r="M688" t="s">
        <v>123</v>
      </c>
      <c r="N688" t="s">
        <v>215</v>
      </c>
      <c r="O688" t="s">
        <v>2066</v>
      </c>
      <c r="P688" t="s">
        <v>2067</v>
      </c>
      <c r="Q688">
        <f t="shared" si="180"/>
        <v>4</v>
      </c>
      <c r="R688">
        <f t="shared" si="181"/>
        <v>2</v>
      </c>
      <c r="S688">
        <f t="shared" si="182"/>
        <v>2</v>
      </c>
      <c r="T688">
        <f t="shared" si="183"/>
        <v>4</v>
      </c>
      <c r="U688">
        <v>50</v>
      </c>
      <c r="V688">
        <f t="shared" si="184"/>
        <v>1</v>
      </c>
      <c r="W688">
        <f t="shared" si="185"/>
        <v>0</v>
      </c>
      <c r="X688">
        <f t="shared" si="186"/>
        <v>0</v>
      </c>
      <c r="Y688">
        <f t="shared" si="187"/>
        <v>0</v>
      </c>
      <c r="Z688">
        <f t="shared" si="188"/>
        <v>0</v>
      </c>
      <c r="AA688">
        <f t="shared" si="189"/>
        <v>0</v>
      </c>
      <c r="AB688">
        <f t="shared" si="190"/>
        <v>1</v>
      </c>
      <c r="AC688">
        <f t="shared" si="191"/>
        <v>1</v>
      </c>
      <c r="AD688">
        <f t="shared" si="192"/>
        <v>0</v>
      </c>
      <c r="AE688">
        <f t="shared" si="193"/>
        <v>0</v>
      </c>
      <c r="AF688">
        <f t="shared" si="194"/>
        <v>1</v>
      </c>
      <c r="AG688">
        <f t="shared" si="195"/>
        <v>0</v>
      </c>
      <c r="AH688">
        <f t="shared" si="196"/>
        <v>0</v>
      </c>
      <c r="AI688">
        <f t="shared" si="197"/>
        <v>0</v>
      </c>
    </row>
    <row r="689" spans="1:35" x14ac:dyDescent="0.2">
      <c r="A689">
        <v>246</v>
      </c>
      <c r="B689" t="s">
        <v>16</v>
      </c>
      <c r="C689">
        <v>10</v>
      </c>
      <c r="D689" t="s">
        <v>2068</v>
      </c>
      <c r="E689" t="s">
        <v>39</v>
      </c>
      <c r="F689" t="s">
        <v>18</v>
      </c>
      <c r="G689" t="s">
        <v>39</v>
      </c>
      <c r="H689" t="s">
        <v>18</v>
      </c>
      <c r="I689">
        <v>5</v>
      </c>
      <c r="J689">
        <v>5</v>
      </c>
      <c r="K689">
        <v>35</v>
      </c>
      <c r="L689" t="s">
        <v>41</v>
      </c>
      <c r="M689" t="s">
        <v>135</v>
      </c>
      <c r="N689" t="s">
        <v>84</v>
      </c>
      <c r="O689" t="s">
        <v>141</v>
      </c>
      <c r="P689" t="s">
        <v>2069</v>
      </c>
      <c r="Q689">
        <f t="shared" si="180"/>
        <v>5</v>
      </c>
      <c r="R689">
        <f t="shared" si="181"/>
        <v>4</v>
      </c>
      <c r="S689">
        <f t="shared" si="182"/>
        <v>5</v>
      </c>
      <c r="T689">
        <f t="shared" si="183"/>
        <v>4</v>
      </c>
      <c r="U689">
        <v>35</v>
      </c>
      <c r="V689">
        <f t="shared" si="184"/>
        <v>0</v>
      </c>
      <c r="W689">
        <f t="shared" si="185"/>
        <v>0</v>
      </c>
      <c r="X689">
        <f t="shared" si="186"/>
        <v>0</v>
      </c>
      <c r="Y689">
        <f t="shared" si="187"/>
        <v>0</v>
      </c>
      <c r="Z689">
        <f t="shared" si="188"/>
        <v>1</v>
      </c>
      <c r="AA689">
        <f t="shared" si="189"/>
        <v>1</v>
      </c>
      <c r="AB689">
        <f t="shared" si="190"/>
        <v>1</v>
      </c>
      <c r="AC689">
        <f t="shared" si="191"/>
        <v>0</v>
      </c>
      <c r="AD689">
        <f t="shared" si="192"/>
        <v>0</v>
      </c>
      <c r="AE689">
        <f t="shared" si="193"/>
        <v>0</v>
      </c>
      <c r="AF689">
        <f t="shared" si="194"/>
        <v>0</v>
      </c>
      <c r="AG689">
        <f t="shared" si="195"/>
        <v>1</v>
      </c>
      <c r="AH689">
        <f t="shared" si="196"/>
        <v>0</v>
      </c>
      <c r="AI689">
        <f t="shared" si="197"/>
        <v>0</v>
      </c>
    </row>
    <row r="690" spans="1:35" x14ac:dyDescent="0.2">
      <c r="A690">
        <v>247</v>
      </c>
      <c r="B690" t="s">
        <v>16</v>
      </c>
      <c r="C690">
        <v>2</v>
      </c>
      <c r="D690" t="s">
        <v>2070</v>
      </c>
      <c r="E690" t="s">
        <v>18</v>
      </c>
      <c r="F690" t="s">
        <v>20</v>
      </c>
      <c r="G690" t="s">
        <v>20</v>
      </c>
      <c r="H690" t="s">
        <v>18</v>
      </c>
      <c r="I690">
        <v>5</v>
      </c>
      <c r="J690">
        <v>1</v>
      </c>
      <c r="K690" s="1">
        <v>10</v>
      </c>
      <c r="L690" t="s">
        <v>22</v>
      </c>
      <c r="M690" t="s">
        <v>48</v>
      </c>
      <c r="N690" t="s">
        <v>84</v>
      </c>
      <c r="O690" t="s">
        <v>2071</v>
      </c>
      <c r="P690" t="s">
        <v>2072</v>
      </c>
      <c r="Q690">
        <f t="shared" si="180"/>
        <v>4</v>
      </c>
      <c r="R690">
        <f t="shared" si="181"/>
        <v>2</v>
      </c>
      <c r="S690">
        <f t="shared" si="182"/>
        <v>2</v>
      </c>
      <c r="T690">
        <f t="shared" si="183"/>
        <v>4</v>
      </c>
      <c r="U690">
        <v>10</v>
      </c>
      <c r="V690">
        <f t="shared" si="184"/>
        <v>1</v>
      </c>
      <c r="W690">
        <f t="shared" si="185"/>
        <v>0</v>
      </c>
      <c r="X690">
        <f t="shared" si="186"/>
        <v>0</v>
      </c>
      <c r="Y690">
        <f t="shared" si="187"/>
        <v>0</v>
      </c>
      <c r="Z690">
        <f t="shared" si="188"/>
        <v>0</v>
      </c>
      <c r="AA690">
        <f t="shared" si="189"/>
        <v>1</v>
      </c>
      <c r="AB690">
        <f t="shared" si="190"/>
        <v>1</v>
      </c>
      <c r="AC690">
        <f t="shared" si="191"/>
        <v>1</v>
      </c>
      <c r="AD690">
        <f t="shared" si="192"/>
        <v>0</v>
      </c>
      <c r="AE690">
        <f t="shared" si="193"/>
        <v>0</v>
      </c>
      <c r="AF690">
        <f t="shared" si="194"/>
        <v>0</v>
      </c>
      <c r="AG690">
        <f t="shared" si="195"/>
        <v>1</v>
      </c>
      <c r="AH690">
        <f t="shared" si="196"/>
        <v>0</v>
      </c>
      <c r="AI690">
        <f t="shared" si="197"/>
        <v>0</v>
      </c>
    </row>
    <row r="691" spans="1:35" x14ac:dyDescent="0.2">
      <c r="A691">
        <v>248</v>
      </c>
      <c r="B691" t="s">
        <v>16</v>
      </c>
      <c r="C691">
        <v>3</v>
      </c>
      <c r="D691" t="s">
        <v>2073</v>
      </c>
      <c r="E691" t="s">
        <v>19</v>
      </c>
      <c r="F691" t="s">
        <v>20</v>
      </c>
      <c r="G691" t="s">
        <v>18</v>
      </c>
      <c r="H691" t="s">
        <v>20</v>
      </c>
      <c r="I691">
        <v>5</v>
      </c>
      <c r="J691">
        <v>4</v>
      </c>
      <c r="K691">
        <v>20</v>
      </c>
      <c r="L691" t="s">
        <v>53</v>
      </c>
      <c r="M691" t="s">
        <v>219</v>
      </c>
      <c r="N691" t="s">
        <v>24</v>
      </c>
      <c r="O691" t="s">
        <v>60</v>
      </c>
      <c r="P691" t="s">
        <v>2074</v>
      </c>
      <c r="Q691">
        <f t="shared" si="180"/>
        <v>3</v>
      </c>
      <c r="R691">
        <f t="shared" si="181"/>
        <v>2</v>
      </c>
      <c r="S691">
        <f t="shared" si="182"/>
        <v>4</v>
      </c>
      <c r="T691">
        <f t="shared" si="183"/>
        <v>2</v>
      </c>
      <c r="U691">
        <v>20</v>
      </c>
      <c r="V691">
        <f t="shared" si="184"/>
        <v>0</v>
      </c>
      <c r="W691">
        <f t="shared" si="185"/>
        <v>0</v>
      </c>
      <c r="X691">
        <f t="shared" si="186"/>
        <v>1</v>
      </c>
      <c r="Y691">
        <f t="shared" si="187"/>
        <v>0</v>
      </c>
      <c r="Z691">
        <f t="shared" si="188"/>
        <v>0</v>
      </c>
      <c r="AA691">
        <f t="shared" si="189"/>
        <v>0</v>
      </c>
      <c r="AB691">
        <f t="shared" si="190"/>
        <v>0</v>
      </c>
      <c r="AC691">
        <f t="shared" si="191"/>
        <v>0</v>
      </c>
      <c r="AD691">
        <f t="shared" si="192"/>
        <v>0</v>
      </c>
      <c r="AE691">
        <f t="shared" si="193"/>
        <v>1</v>
      </c>
      <c r="AF691">
        <f t="shared" si="194"/>
        <v>0</v>
      </c>
      <c r="AG691">
        <f t="shared" si="195"/>
        <v>0</v>
      </c>
      <c r="AH691">
        <f t="shared" si="196"/>
        <v>1</v>
      </c>
      <c r="AI691">
        <f t="shared" si="197"/>
        <v>0</v>
      </c>
    </row>
    <row r="692" spans="1:35" x14ac:dyDescent="0.2">
      <c r="A692">
        <v>249</v>
      </c>
      <c r="B692" t="s">
        <v>16</v>
      </c>
      <c r="C692">
        <v>1</v>
      </c>
      <c r="D692" t="s">
        <v>2075</v>
      </c>
      <c r="E692" t="s">
        <v>19</v>
      </c>
      <c r="F692" t="s">
        <v>19</v>
      </c>
      <c r="G692" t="s">
        <v>19</v>
      </c>
      <c r="H692" t="s">
        <v>19</v>
      </c>
      <c r="I692">
        <v>3</v>
      </c>
      <c r="J692">
        <v>2</v>
      </c>
      <c r="K692">
        <v>10</v>
      </c>
      <c r="L692" t="s">
        <v>22</v>
      </c>
      <c r="M692" t="s">
        <v>123</v>
      </c>
      <c r="N692" t="s">
        <v>84</v>
      </c>
      <c r="O692" t="s">
        <v>2076</v>
      </c>
      <c r="P692" t="s">
        <v>2077</v>
      </c>
      <c r="Q692">
        <f t="shared" si="180"/>
        <v>3</v>
      </c>
      <c r="R692">
        <f t="shared" si="181"/>
        <v>3</v>
      </c>
      <c r="S692">
        <f t="shared" si="182"/>
        <v>3</v>
      </c>
      <c r="T692">
        <f t="shared" si="183"/>
        <v>3</v>
      </c>
      <c r="U692">
        <v>10</v>
      </c>
      <c r="V692">
        <f t="shared" si="184"/>
        <v>1</v>
      </c>
      <c r="W692">
        <f t="shared" si="185"/>
        <v>0</v>
      </c>
      <c r="X692">
        <f t="shared" si="186"/>
        <v>0</v>
      </c>
      <c r="Y692">
        <f t="shared" si="187"/>
        <v>0</v>
      </c>
      <c r="Z692">
        <f t="shared" si="188"/>
        <v>0</v>
      </c>
      <c r="AA692">
        <f t="shared" si="189"/>
        <v>0</v>
      </c>
      <c r="AB692">
        <f t="shared" si="190"/>
        <v>1</v>
      </c>
      <c r="AC692">
        <f t="shared" si="191"/>
        <v>1</v>
      </c>
      <c r="AD692">
        <f t="shared" si="192"/>
        <v>0</v>
      </c>
      <c r="AE692">
        <f t="shared" si="193"/>
        <v>0</v>
      </c>
      <c r="AF692">
        <f t="shared" si="194"/>
        <v>0</v>
      </c>
      <c r="AG692">
        <f t="shared" si="195"/>
        <v>1</v>
      </c>
      <c r="AH692">
        <f t="shared" si="196"/>
        <v>0</v>
      </c>
      <c r="AI692">
        <f t="shared" si="197"/>
        <v>0</v>
      </c>
    </row>
    <row r="693" spans="1:35" x14ac:dyDescent="0.2">
      <c r="A693">
        <v>250</v>
      </c>
      <c r="B693" t="s">
        <v>16</v>
      </c>
      <c r="C693">
        <v>4</v>
      </c>
      <c r="D693" t="s">
        <v>2078</v>
      </c>
      <c r="E693" t="s">
        <v>18</v>
      </c>
      <c r="F693" t="s">
        <v>20</v>
      </c>
      <c r="G693" t="s">
        <v>20</v>
      </c>
      <c r="H693" t="s">
        <v>18</v>
      </c>
      <c r="I693">
        <v>3</v>
      </c>
      <c r="J693">
        <v>7</v>
      </c>
      <c r="K693">
        <v>5000</v>
      </c>
      <c r="L693" t="s">
        <v>47</v>
      </c>
      <c r="M693" t="s">
        <v>291</v>
      </c>
      <c r="N693" t="s">
        <v>84</v>
      </c>
      <c r="O693" t="s">
        <v>2079</v>
      </c>
      <c r="P693" t="s">
        <v>2080</v>
      </c>
      <c r="Q693">
        <f t="shared" si="180"/>
        <v>4</v>
      </c>
      <c r="R693">
        <f t="shared" si="181"/>
        <v>2</v>
      </c>
      <c r="S693">
        <f t="shared" si="182"/>
        <v>2</v>
      </c>
      <c r="T693">
        <f t="shared" si="183"/>
        <v>4</v>
      </c>
      <c r="U693">
        <v>5000</v>
      </c>
      <c r="V693">
        <f t="shared" si="184"/>
        <v>0</v>
      </c>
      <c r="W693">
        <f t="shared" si="185"/>
        <v>0</v>
      </c>
      <c r="X693">
        <f t="shared" si="186"/>
        <v>1</v>
      </c>
      <c r="Y693">
        <f t="shared" si="187"/>
        <v>0</v>
      </c>
      <c r="Z693">
        <f t="shared" si="188"/>
        <v>1</v>
      </c>
      <c r="AA693">
        <f t="shared" si="189"/>
        <v>0</v>
      </c>
      <c r="AB693">
        <f t="shared" si="190"/>
        <v>1</v>
      </c>
      <c r="AC693">
        <f t="shared" si="191"/>
        <v>0</v>
      </c>
      <c r="AD693">
        <f t="shared" si="192"/>
        <v>1</v>
      </c>
      <c r="AE693">
        <f t="shared" si="193"/>
        <v>0</v>
      </c>
      <c r="AF693">
        <f t="shared" si="194"/>
        <v>0</v>
      </c>
      <c r="AG693">
        <f t="shared" si="195"/>
        <v>1</v>
      </c>
      <c r="AH693">
        <f t="shared" si="196"/>
        <v>0</v>
      </c>
      <c r="AI693">
        <f t="shared" si="197"/>
        <v>0</v>
      </c>
    </row>
    <row r="694" spans="1:35" x14ac:dyDescent="0.2">
      <c r="A694">
        <v>251</v>
      </c>
      <c r="B694" t="s">
        <v>16</v>
      </c>
      <c r="C694">
        <v>7</v>
      </c>
      <c r="D694" t="s">
        <v>2081</v>
      </c>
      <c r="E694" t="s">
        <v>18</v>
      </c>
      <c r="F694" t="s">
        <v>20</v>
      </c>
      <c r="G694" t="s">
        <v>19</v>
      </c>
      <c r="H694" t="s">
        <v>20</v>
      </c>
      <c r="I694">
        <v>4</v>
      </c>
      <c r="J694">
        <v>5</v>
      </c>
      <c r="K694">
        <v>200</v>
      </c>
      <c r="L694" t="s">
        <v>194</v>
      </c>
      <c r="M694" t="s">
        <v>23</v>
      </c>
      <c r="N694" t="s">
        <v>24</v>
      </c>
      <c r="O694" t="s">
        <v>1729</v>
      </c>
      <c r="P694" t="s">
        <v>2082</v>
      </c>
      <c r="Q694">
        <f t="shared" si="180"/>
        <v>4</v>
      </c>
      <c r="R694">
        <f t="shared" si="181"/>
        <v>2</v>
      </c>
      <c r="S694">
        <f t="shared" si="182"/>
        <v>3</v>
      </c>
      <c r="T694">
        <f t="shared" si="183"/>
        <v>2</v>
      </c>
      <c r="U694">
        <v>200</v>
      </c>
      <c r="V694">
        <f t="shared" si="184"/>
        <v>0</v>
      </c>
      <c r="W694">
        <f t="shared" si="185"/>
        <v>0</v>
      </c>
      <c r="X694">
        <f t="shared" si="186"/>
        <v>0</v>
      </c>
      <c r="Y694">
        <f t="shared" si="187"/>
        <v>1</v>
      </c>
      <c r="Z694">
        <f t="shared" si="188"/>
        <v>1</v>
      </c>
      <c r="AA694">
        <f t="shared" si="189"/>
        <v>1</v>
      </c>
      <c r="AB694">
        <f t="shared" si="190"/>
        <v>0</v>
      </c>
      <c r="AC694">
        <f t="shared" si="191"/>
        <v>0</v>
      </c>
      <c r="AD694">
        <f t="shared" si="192"/>
        <v>0</v>
      </c>
      <c r="AE694">
        <f t="shared" si="193"/>
        <v>0</v>
      </c>
      <c r="AF694">
        <f t="shared" si="194"/>
        <v>0</v>
      </c>
      <c r="AG694">
        <f t="shared" si="195"/>
        <v>0</v>
      </c>
      <c r="AH694">
        <f t="shared" si="196"/>
        <v>1</v>
      </c>
      <c r="AI694">
        <f t="shared" si="197"/>
        <v>0</v>
      </c>
    </row>
    <row r="695" spans="1:35" x14ac:dyDescent="0.2">
      <c r="A695">
        <v>252</v>
      </c>
      <c r="B695" t="s">
        <v>16</v>
      </c>
      <c r="C695">
        <v>2</v>
      </c>
      <c r="D695" t="s">
        <v>2083</v>
      </c>
      <c r="Q695" t="str">
        <f t="shared" si="180"/>
        <v/>
      </c>
      <c r="R695" t="str">
        <f t="shared" si="181"/>
        <v/>
      </c>
      <c r="S695" t="str">
        <f t="shared" si="182"/>
        <v/>
      </c>
      <c r="T695" t="str">
        <f t="shared" si="183"/>
        <v/>
      </c>
      <c r="V695">
        <f t="shared" si="184"/>
        <v>0</v>
      </c>
      <c r="W695">
        <f t="shared" si="185"/>
        <v>0</v>
      </c>
      <c r="X695">
        <f t="shared" si="186"/>
        <v>0</v>
      </c>
      <c r="Y695">
        <f t="shared" si="187"/>
        <v>0</v>
      </c>
      <c r="Z695">
        <f t="shared" si="188"/>
        <v>0</v>
      </c>
      <c r="AA695">
        <f t="shared" si="189"/>
        <v>0</v>
      </c>
      <c r="AB695">
        <f t="shared" si="190"/>
        <v>0</v>
      </c>
      <c r="AC695">
        <f t="shared" si="191"/>
        <v>0</v>
      </c>
      <c r="AD695">
        <f t="shared" si="192"/>
        <v>0</v>
      </c>
      <c r="AE695">
        <f t="shared" si="193"/>
        <v>0</v>
      </c>
      <c r="AF695">
        <f t="shared" si="194"/>
        <v>0</v>
      </c>
      <c r="AG695">
        <f t="shared" si="195"/>
        <v>0</v>
      </c>
      <c r="AH695">
        <f t="shared" si="196"/>
        <v>0</v>
      </c>
      <c r="AI695">
        <f t="shared" si="197"/>
        <v>0</v>
      </c>
    </row>
    <row r="696" spans="1:35" x14ac:dyDescent="0.2">
      <c r="A696">
        <v>253</v>
      </c>
      <c r="B696" t="s">
        <v>16</v>
      </c>
      <c r="Q696" t="str">
        <f t="shared" si="180"/>
        <v/>
      </c>
      <c r="R696" t="str">
        <f t="shared" si="181"/>
        <v/>
      </c>
      <c r="S696" t="str">
        <f t="shared" si="182"/>
        <v/>
      </c>
      <c r="T696" t="str">
        <f t="shared" si="183"/>
        <v/>
      </c>
      <c r="V696">
        <f t="shared" si="184"/>
        <v>0</v>
      </c>
      <c r="W696">
        <f t="shared" si="185"/>
        <v>0</v>
      </c>
      <c r="X696">
        <f t="shared" si="186"/>
        <v>0</v>
      </c>
      <c r="Y696">
        <f t="shared" si="187"/>
        <v>0</v>
      </c>
      <c r="Z696">
        <f t="shared" si="188"/>
        <v>0</v>
      </c>
      <c r="AA696">
        <f t="shared" si="189"/>
        <v>0</v>
      </c>
      <c r="AB696">
        <f t="shared" si="190"/>
        <v>0</v>
      </c>
      <c r="AC696">
        <f t="shared" si="191"/>
        <v>0</v>
      </c>
      <c r="AD696">
        <f t="shared" si="192"/>
        <v>0</v>
      </c>
      <c r="AE696">
        <f t="shared" si="193"/>
        <v>0</v>
      </c>
      <c r="AF696">
        <f t="shared" si="194"/>
        <v>0</v>
      </c>
      <c r="AG696">
        <f t="shared" si="195"/>
        <v>0</v>
      </c>
      <c r="AH696">
        <f t="shared" si="196"/>
        <v>0</v>
      </c>
      <c r="AI696">
        <f t="shared" si="197"/>
        <v>0</v>
      </c>
    </row>
    <row r="697" spans="1:35" x14ac:dyDescent="0.2">
      <c r="A697">
        <v>254</v>
      </c>
      <c r="B697" t="s">
        <v>16</v>
      </c>
      <c r="C697">
        <v>4</v>
      </c>
      <c r="E697" t="s">
        <v>18</v>
      </c>
      <c r="F697" t="s">
        <v>20</v>
      </c>
      <c r="G697" t="s">
        <v>20</v>
      </c>
      <c r="H697" t="s">
        <v>18</v>
      </c>
      <c r="Q697">
        <f t="shared" si="180"/>
        <v>4</v>
      </c>
      <c r="R697">
        <f t="shared" si="181"/>
        <v>2</v>
      </c>
      <c r="S697">
        <f t="shared" si="182"/>
        <v>2</v>
      </c>
      <c r="T697">
        <f t="shared" si="183"/>
        <v>4</v>
      </c>
      <c r="V697">
        <f t="shared" si="184"/>
        <v>0</v>
      </c>
      <c r="W697">
        <f t="shared" si="185"/>
        <v>0</v>
      </c>
      <c r="X697">
        <f t="shared" si="186"/>
        <v>0</v>
      </c>
      <c r="Y697">
        <f t="shared" si="187"/>
        <v>0</v>
      </c>
      <c r="Z697">
        <f t="shared" si="188"/>
        <v>0</v>
      </c>
      <c r="AA697">
        <f t="shared" si="189"/>
        <v>0</v>
      </c>
      <c r="AB697">
        <f t="shared" si="190"/>
        <v>0</v>
      </c>
      <c r="AC697">
        <f t="shared" si="191"/>
        <v>0</v>
      </c>
      <c r="AD697">
        <f t="shared" si="192"/>
        <v>0</v>
      </c>
      <c r="AE697">
        <f t="shared" si="193"/>
        <v>0</v>
      </c>
      <c r="AF697">
        <f t="shared" si="194"/>
        <v>0</v>
      </c>
      <c r="AG697">
        <f t="shared" si="195"/>
        <v>0</v>
      </c>
      <c r="AH697">
        <f t="shared" si="196"/>
        <v>0</v>
      </c>
      <c r="AI697">
        <f t="shared" si="197"/>
        <v>0</v>
      </c>
    </row>
    <row r="698" spans="1:35" x14ac:dyDescent="0.2">
      <c r="A698">
        <v>255</v>
      </c>
      <c r="B698" t="s">
        <v>16</v>
      </c>
      <c r="Q698" t="str">
        <f t="shared" si="180"/>
        <v/>
      </c>
      <c r="R698" t="str">
        <f t="shared" si="181"/>
        <v/>
      </c>
      <c r="S698" t="str">
        <f t="shared" si="182"/>
        <v/>
      </c>
      <c r="T698" t="str">
        <f t="shared" si="183"/>
        <v/>
      </c>
      <c r="V698">
        <f t="shared" si="184"/>
        <v>0</v>
      </c>
      <c r="W698">
        <f t="shared" si="185"/>
        <v>0</v>
      </c>
      <c r="X698">
        <f t="shared" si="186"/>
        <v>0</v>
      </c>
      <c r="Y698">
        <f t="shared" si="187"/>
        <v>0</v>
      </c>
      <c r="Z698">
        <f t="shared" si="188"/>
        <v>0</v>
      </c>
      <c r="AA698">
        <f t="shared" si="189"/>
        <v>0</v>
      </c>
      <c r="AB698">
        <f t="shared" si="190"/>
        <v>0</v>
      </c>
      <c r="AC698">
        <f t="shared" si="191"/>
        <v>0</v>
      </c>
      <c r="AD698">
        <f t="shared" si="192"/>
        <v>0</v>
      </c>
      <c r="AE698">
        <f t="shared" si="193"/>
        <v>0</v>
      </c>
      <c r="AF698">
        <f t="shared" si="194"/>
        <v>0</v>
      </c>
      <c r="AG698">
        <f t="shared" si="195"/>
        <v>0</v>
      </c>
      <c r="AH698">
        <f t="shared" si="196"/>
        <v>0</v>
      </c>
      <c r="AI698">
        <f t="shared" si="197"/>
        <v>0</v>
      </c>
    </row>
    <row r="699" spans="1:35" x14ac:dyDescent="0.2">
      <c r="A699">
        <v>256</v>
      </c>
      <c r="B699" t="s">
        <v>16</v>
      </c>
      <c r="Q699" t="str">
        <f t="shared" si="180"/>
        <v/>
      </c>
      <c r="R699" t="str">
        <f t="shared" si="181"/>
        <v/>
      </c>
      <c r="S699" t="str">
        <f t="shared" si="182"/>
        <v/>
      </c>
      <c r="T699" t="str">
        <f t="shared" si="183"/>
        <v/>
      </c>
      <c r="V699">
        <f t="shared" si="184"/>
        <v>0</v>
      </c>
      <c r="W699">
        <f t="shared" si="185"/>
        <v>0</v>
      </c>
      <c r="X699">
        <f t="shared" si="186"/>
        <v>0</v>
      </c>
      <c r="Y699">
        <f t="shared" si="187"/>
        <v>0</v>
      </c>
      <c r="Z699">
        <f t="shared" si="188"/>
        <v>0</v>
      </c>
      <c r="AA699">
        <f t="shared" si="189"/>
        <v>0</v>
      </c>
      <c r="AB699">
        <f t="shared" si="190"/>
        <v>0</v>
      </c>
      <c r="AC699">
        <f t="shared" si="191"/>
        <v>0</v>
      </c>
      <c r="AD699">
        <f t="shared" si="192"/>
        <v>0</v>
      </c>
      <c r="AE699">
        <f t="shared" si="193"/>
        <v>0</v>
      </c>
      <c r="AF699">
        <f t="shared" si="194"/>
        <v>0</v>
      </c>
      <c r="AG699">
        <f t="shared" si="195"/>
        <v>0</v>
      </c>
      <c r="AH699">
        <f t="shared" si="196"/>
        <v>0</v>
      </c>
      <c r="AI699">
        <f t="shared" si="197"/>
        <v>0</v>
      </c>
    </row>
    <row r="700" spans="1:35" x14ac:dyDescent="0.2">
      <c r="A700">
        <v>257</v>
      </c>
      <c r="B700" t="s">
        <v>16</v>
      </c>
      <c r="Q700" t="str">
        <f t="shared" si="180"/>
        <v/>
      </c>
      <c r="R700" t="str">
        <f t="shared" si="181"/>
        <v/>
      </c>
      <c r="S700" t="str">
        <f t="shared" si="182"/>
        <v/>
      </c>
      <c r="T700" t="str">
        <f t="shared" si="183"/>
        <v/>
      </c>
      <c r="V700">
        <f t="shared" si="184"/>
        <v>0</v>
      </c>
      <c r="W700">
        <f t="shared" si="185"/>
        <v>0</v>
      </c>
      <c r="X700">
        <f t="shared" si="186"/>
        <v>0</v>
      </c>
      <c r="Y700">
        <f t="shared" si="187"/>
        <v>0</v>
      </c>
      <c r="Z700">
        <f t="shared" si="188"/>
        <v>0</v>
      </c>
      <c r="AA700">
        <f t="shared" si="189"/>
        <v>0</v>
      </c>
      <c r="AB700">
        <f t="shared" si="190"/>
        <v>0</v>
      </c>
      <c r="AC700">
        <f t="shared" si="191"/>
        <v>0</v>
      </c>
      <c r="AD700">
        <f t="shared" si="192"/>
        <v>0</v>
      </c>
      <c r="AE700">
        <f t="shared" si="193"/>
        <v>0</v>
      </c>
      <c r="AF700">
        <f t="shared" si="194"/>
        <v>0</v>
      </c>
      <c r="AG700">
        <f t="shared" si="195"/>
        <v>0</v>
      </c>
      <c r="AH700">
        <f t="shared" si="196"/>
        <v>0</v>
      </c>
      <c r="AI700">
        <f t="shared" si="197"/>
        <v>0</v>
      </c>
    </row>
    <row r="701" spans="1:35" x14ac:dyDescent="0.2">
      <c r="A701">
        <v>258</v>
      </c>
      <c r="B701" t="s">
        <v>16</v>
      </c>
      <c r="C701">
        <v>2</v>
      </c>
      <c r="Q701" t="str">
        <f t="shared" si="180"/>
        <v/>
      </c>
      <c r="R701" t="str">
        <f t="shared" si="181"/>
        <v/>
      </c>
      <c r="S701" t="str">
        <f t="shared" si="182"/>
        <v/>
      </c>
      <c r="T701" t="str">
        <f t="shared" si="183"/>
        <v/>
      </c>
      <c r="V701">
        <f t="shared" si="184"/>
        <v>0</v>
      </c>
      <c r="W701">
        <f t="shared" si="185"/>
        <v>0</v>
      </c>
      <c r="X701">
        <f t="shared" si="186"/>
        <v>0</v>
      </c>
      <c r="Y701">
        <f t="shared" si="187"/>
        <v>0</v>
      </c>
      <c r="Z701">
        <f t="shared" si="188"/>
        <v>0</v>
      </c>
      <c r="AA701">
        <f t="shared" si="189"/>
        <v>0</v>
      </c>
      <c r="AB701">
        <f t="shared" si="190"/>
        <v>0</v>
      </c>
      <c r="AC701">
        <f t="shared" si="191"/>
        <v>0</v>
      </c>
      <c r="AD701">
        <f t="shared" si="192"/>
        <v>0</v>
      </c>
      <c r="AE701">
        <f t="shared" si="193"/>
        <v>0</v>
      </c>
      <c r="AF701">
        <f t="shared" si="194"/>
        <v>0</v>
      </c>
      <c r="AG701">
        <f t="shared" si="195"/>
        <v>0</v>
      </c>
      <c r="AH701">
        <f t="shared" si="196"/>
        <v>0</v>
      </c>
      <c r="AI701">
        <f t="shared" si="197"/>
        <v>0</v>
      </c>
    </row>
    <row r="702" spans="1:35" x14ac:dyDescent="0.2">
      <c r="A702">
        <v>259</v>
      </c>
      <c r="B702" t="s">
        <v>16</v>
      </c>
      <c r="C702">
        <v>6</v>
      </c>
      <c r="E702" t="s">
        <v>18</v>
      </c>
      <c r="F702" t="s">
        <v>19</v>
      </c>
      <c r="G702" t="s">
        <v>20</v>
      </c>
      <c r="H702" t="s">
        <v>18</v>
      </c>
      <c r="I702">
        <v>7</v>
      </c>
      <c r="J702">
        <v>3</v>
      </c>
      <c r="K702">
        <v>120000</v>
      </c>
      <c r="L702" t="s">
        <v>22</v>
      </c>
      <c r="M702" t="s">
        <v>115</v>
      </c>
      <c r="N702" t="s">
        <v>36</v>
      </c>
      <c r="O702" t="s">
        <v>2084</v>
      </c>
      <c r="Q702">
        <f t="shared" si="180"/>
        <v>4</v>
      </c>
      <c r="R702">
        <f t="shared" si="181"/>
        <v>3</v>
      </c>
      <c r="S702">
        <f t="shared" si="182"/>
        <v>2</v>
      </c>
      <c r="T702">
        <f t="shared" si="183"/>
        <v>4</v>
      </c>
      <c r="U702">
        <v>120000</v>
      </c>
      <c r="V702">
        <f t="shared" si="184"/>
        <v>1</v>
      </c>
      <c r="W702">
        <f t="shared" si="185"/>
        <v>0</v>
      </c>
      <c r="X702">
        <f t="shared" si="186"/>
        <v>0</v>
      </c>
      <c r="Y702">
        <f t="shared" si="187"/>
        <v>0</v>
      </c>
      <c r="Z702">
        <f t="shared" si="188"/>
        <v>0</v>
      </c>
      <c r="AA702">
        <f t="shared" si="189"/>
        <v>0</v>
      </c>
      <c r="AB702">
        <f t="shared" si="190"/>
        <v>0</v>
      </c>
      <c r="AC702">
        <f t="shared" si="191"/>
        <v>1</v>
      </c>
      <c r="AD702">
        <f t="shared" si="192"/>
        <v>0</v>
      </c>
      <c r="AE702">
        <f t="shared" si="193"/>
        <v>0</v>
      </c>
      <c r="AF702">
        <f t="shared" si="194"/>
        <v>0</v>
      </c>
      <c r="AG702">
        <f t="shared" si="195"/>
        <v>0</v>
      </c>
      <c r="AH702">
        <f t="shared" si="196"/>
        <v>0</v>
      </c>
      <c r="AI702">
        <f t="shared" si="197"/>
        <v>1</v>
      </c>
    </row>
    <row r="703" spans="1:35" x14ac:dyDescent="0.2">
      <c r="A703">
        <v>260</v>
      </c>
      <c r="B703" t="s">
        <v>16</v>
      </c>
      <c r="C703">
        <v>4</v>
      </c>
      <c r="D703" t="s">
        <v>2085</v>
      </c>
      <c r="E703" t="s">
        <v>20</v>
      </c>
      <c r="F703" t="s">
        <v>21</v>
      </c>
      <c r="G703" t="s">
        <v>19</v>
      </c>
      <c r="H703" t="s">
        <v>18</v>
      </c>
      <c r="I703">
        <v>7</v>
      </c>
      <c r="J703">
        <v>9</v>
      </c>
      <c r="K703">
        <v>45</v>
      </c>
      <c r="L703" t="s">
        <v>98</v>
      </c>
      <c r="M703" t="s">
        <v>219</v>
      </c>
      <c r="N703" t="s">
        <v>24</v>
      </c>
      <c r="O703" t="s">
        <v>2086</v>
      </c>
      <c r="P703" t="s">
        <v>2087</v>
      </c>
      <c r="Q703">
        <f t="shared" si="180"/>
        <v>2</v>
      </c>
      <c r="R703">
        <f t="shared" si="181"/>
        <v>1</v>
      </c>
      <c r="S703">
        <f t="shared" si="182"/>
        <v>3</v>
      </c>
      <c r="T703">
        <f t="shared" si="183"/>
        <v>4</v>
      </c>
      <c r="U703">
        <v>45</v>
      </c>
      <c r="V703">
        <f t="shared" si="184"/>
        <v>0</v>
      </c>
      <c r="W703">
        <f t="shared" si="185"/>
        <v>1</v>
      </c>
      <c r="X703">
        <f t="shared" si="186"/>
        <v>0</v>
      </c>
      <c r="Y703">
        <f t="shared" si="187"/>
        <v>0</v>
      </c>
      <c r="Z703">
        <f t="shared" si="188"/>
        <v>0</v>
      </c>
      <c r="AA703">
        <f t="shared" si="189"/>
        <v>0</v>
      </c>
      <c r="AB703">
        <f t="shared" si="190"/>
        <v>0</v>
      </c>
      <c r="AC703">
        <f t="shared" si="191"/>
        <v>0</v>
      </c>
      <c r="AD703">
        <f t="shared" si="192"/>
        <v>0</v>
      </c>
      <c r="AE703">
        <f t="shared" si="193"/>
        <v>1</v>
      </c>
      <c r="AF703">
        <f t="shared" si="194"/>
        <v>0</v>
      </c>
      <c r="AG703">
        <f t="shared" si="195"/>
        <v>0</v>
      </c>
      <c r="AH703">
        <f t="shared" si="196"/>
        <v>1</v>
      </c>
      <c r="AI703">
        <f t="shared" si="197"/>
        <v>0</v>
      </c>
    </row>
    <row r="704" spans="1:35" x14ac:dyDescent="0.2">
      <c r="A704">
        <v>261</v>
      </c>
      <c r="B704" t="s">
        <v>16</v>
      </c>
      <c r="Q704" t="str">
        <f t="shared" si="180"/>
        <v/>
      </c>
      <c r="R704" t="str">
        <f t="shared" si="181"/>
        <v/>
      </c>
      <c r="S704" t="str">
        <f t="shared" si="182"/>
        <v/>
      </c>
      <c r="T704" t="str">
        <f t="shared" si="183"/>
        <v/>
      </c>
      <c r="V704">
        <f t="shared" si="184"/>
        <v>0</v>
      </c>
      <c r="W704">
        <f t="shared" si="185"/>
        <v>0</v>
      </c>
      <c r="X704">
        <f t="shared" si="186"/>
        <v>0</v>
      </c>
      <c r="Y704">
        <f t="shared" si="187"/>
        <v>0</v>
      </c>
      <c r="Z704">
        <f t="shared" si="188"/>
        <v>0</v>
      </c>
      <c r="AA704">
        <f t="shared" si="189"/>
        <v>0</v>
      </c>
      <c r="AB704">
        <f t="shared" si="190"/>
        <v>0</v>
      </c>
      <c r="AC704">
        <f t="shared" si="191"/>
        <v>0</v>
      </c>
      <c r="AD704">
        <f t="shared" si="192"/>
        <v>0</v>
      </c>
      <c r="AE704">
        <f t="shared" si="193"/>
        <v>0</v>
      </c>
      <c r="AF704">
        <f t="shared" si="194"/>
        <v>0</v>
      </c>
      <c r="AG704">
        <f t="shared" si="195"/>
        <v>0</v>
      </c>
      <c r="AH704">
        <f t="shared" si="196"/>
        <v>0</v>
      </c>
      <c r="AI704">
        <f t="shared" si="197"/>
        <v>0</v>
      </c>
    </row>
    <row r="705" spans="1:35" x14ac:dyDescent="0.2">
      <c r="A705">
        <v>262</v>
      </c>
      <c r="B705" t="s">
        <v>16</v>
      </c>
      <c r="C705">
        <v>9</v>
      </c>
      <c r="E705" t="s">
        <v>18</v>
      </c>
      <c r="F705" t="s">
        <v>20</v>
      </c>
      <c r="G705" t="s">
        <v>20</v>
      </c>
      <c r="H705" t="s">
        <v>39</v>
      </c>
      <c r="Q705">
        <f t="shared" si="180"/>
        <v>4</v>
      </c>
      <c r="R705">
        <f t="shared" si="181"/>
        <v>2</v>
      </c>
      <c r="S705">
        <f t="shared" si="182"/>
        <v>2</v>
      </c>
      <c r="T705">
        <f t="shared" si="183"/>
        <v>5</v>
      </c>
      <c r="V705">
        <f t="shared" si="184"/>
        <v>0</v>
      </c>
      <c r="W705">
        <f t="shared" si="185"/>
        <v>0</v>
      </c>
      <c r="X705">
        <f t="shared" si="186"/>
        <v>0</v>
      </c>
      <c r="Y705">
        <f t="shared" si="187"/>
        <v>0</v>
      </c>
      <c r="Z705">
        <f t="shared" si="188"/>
        <v>0</v>
      </c>
      <c r="AA705">
        <f t="shared" si="189"/>
        <v>0</v>
      </c>
      <c r="AB705">
        <f t="shared" si="190"/>
        <v>0</v>
      </c>
      <c r="AC705">
        <f t="shared" si="191"/>
        <v>0</v>
      </c>
      <c r="AD705">
        <f t="shared" si="192"/>
        <v>0</v>
      </c>
      <c r="AE705">
        <f t="shared" si="193"/>
        <v>0</v>
      </c>
      <c r="AF705">
        <f t="shared" si="194"/>
        <v>0</v>
      </c>
      <c r="AG705">
        <f t="shared" si="195"/>
        <v>0</v>
      </c>
      <c r="AH705">
        <f t="shared" si="196"/>
        <v>0</v>
      </c>
      <c r="AI705">
        <f t="shared" si="197"/>
        <v>0</v>
      </c>
    </row>
    <row r="706" spans="1:35" x14ac:dyDescent="0.2">
      <c r="A706">
        <v>263</v>
      </c>
      <c r="B706" t="s">
        <v>16</v>
      </c>
      <c r="C706">
        <v>3</v>
      </c>
      <c r="D706" t="s">
        <v>2088</v>
      </c>
      <c r="E706" t="s">
        <v>18</v>
      </c>
      <c r="F706" t="s">
        <v>20</v>
      </c>
      <c r="G706" t="s">
        <v>20</v>
      </c>
      <c r="H706" t="s">
        <v>18</v>
      </c>
      <c r="I706">
        <v>4</v>
      </c>
      <c r="J706">
        <v>6</v>
      </c>
      <c r="K706">
        <v>5</v>
      </c>
      <c r="L706" t="s">
        <v>41</v>
      </c>
      <c r="M706" t="s">
        <v>35</v>
      </c>
      <c r="N706" t="s">
        <v>24</v>
      </c>
      <c r="O706" t="s">
        <v>1000</v>
      </c>
      <c r="P706" t="s">
        <v>2089</v>
      </c>
      <c r="Q706">
        <f t="shared" si="180"/>
        <v>4</v>
      </c>
      <c r="R706">
        <f t="shared" si="181"/>
        <v>2</v>
      </c>
      <c r="S706">
        <f t="shared" si="182"/>
        <v>2</v>
      </c>
      <c r="T706">
        <f t="shared" si="183"/>
        <v>4</v>
      </c>
      <c r="U706">
        <v>5</v>
      </c>
      <c r="V706">
        <f t="shared" si="184"/>
        <v>0</v>
      </c>
      <c r="W706">
        <f t="shared" si="185"/>
        <v>0</v>
      </c>
      <c r="X706">
        <f t="shared" si="186"/>
        <v>0</v>
      </c>
      <c r="Y706">
        <f t="shared" si="187"/>
        <v>0</v>
      </c>
      <c r="Z706">
        <f t="shared" si="188"/>
        <v>1</v>
      </c>
      <c r="AA706">
        <f t="shared" si="189"/>
        <v>0</v>
      </c>
      <c r="AB706">
        <f t="shared" si="190"/>
        <v>0</v>
      </c>
      <c r="AC706">
        <f t="shared" si="191"/>
        <v>0</v>
      </c>
      <c r="AD706">
        <f t="shared" si="192"/>
        <v>1</v>
      </c>
      <c r="AE706">
        <f t="shared" si="193"/>
        <v>0</v>
      </c>
      <c r="AF706">
        <f t="shared" si="194"/>
        <v>0</v>
      </c>
      <c r="AG706">
        <f t="shared" si="195"/>
        <v>0</v>
      </c>
      <c r="AH706">
        <f t="shared" si="196"/>
        <v>1</v>
      </c>
      <c r="AI706">
        <f t="shared" si="197"/>
        <v>0</v>
      </c>
    </row>
    <row r="707" spans="1:35" x14ac:dyDescent="0.2">
      <c r="A707">
        <v>264</v>
      </c>
      <c r="B707" t="s">
        <v>16</v>
      </c>
      <c r="Q707" t="str">
        <f t="shared" ref="Q707:Q770" si="198">IF(E707="", "", LEFT(E707, 1) * 1)</f>
        <v/>
      </c>
      <c r="R707" t="str">
        <f t="shared" ref="R707:R770" si="199">IF(F707="","",VALUE(LEFT(F707,FIND(" ",F707)-1)))</f>
        <v/>
      </c>
      <c r="S707" t="str">
        <f t="shared" ref="S707:S770" si="200">IF(G707="","",VALUE(LEFT(G707,FIND(" ",G707)-1)))</f>
        <v/>
      </c>
      <c r="T707" t="str">
        <f t="shared" ref="T707:T770" si="201">IF(H707="","",VALUE(LEFT(H707,FIND(" ",H707)-1)))</f>
        <v/>
      </c>
      <c r="V707">
        <f t="shared" ref="V707:V770" si="202">IF(L707="",0,IF(ISNUMBER(SEARCH("Bathroom",L707)),1,0))</f>
        <v>0</v>
      </c>
      <c r="W707">
        <f t="shared" ref="W707:W770" si="203">IF(L707="",0,IF(ISNUMBER(SEARCH("Dining room",L707)),1,0))</f>
        <v>0</v>
      </c>
      <c r="X707">
        <f t="shared" ref="X707:X770" si="204">IF(L707="",0,IF(ISNUMBER(SEARCH("Office",L707)),1,0))</f>
        <v>0</v>
      </c>
      <c r="Y707">
        <f t="shared" ref="Y707:Y770" si="205">IF(L707="",0,IF(ISNUMBER(SEARCH("Bedroom",L707)),1,0))</f>
        <v>0</v>
      </c>
      <c r="Z707">
        <f t="shared" ref="Z707:Z770" si="206">IF(L707="",0,IF(ISNUMBER(SEARCH("Living room",L707)),1,0))</f>
        <v>0</v>
      </c>
      <c r="AA707">
        <f t="shared" ref="AA707:AA770" si="207">IF(M707="",0, IF(ISNUMBER(SEARCH("By yourself",M707)), 1, 0))</f>
        <v>0</v>
      </c>
      <c r="AB707">
        <f t="shared" ref="AB707:AB770" si="208">IF(M707="", 0, IF(ISNUMBER(SEARCH("Friends", M707)), 1, 0))</f>
        <v>0</v>
      </c>
      <c r="AC707">
        <f t="shared" ref="AC707:AC770" si="209">IF(M707="",0,IF(ISNUMBER(SEARCH("Family members", M707)), 1, 0))</f>
        <v>0</v>
      </c>
      <c r="AD707">
        <f t="shared" ref="AD707:AD770" si="210">IF(M707="", 0, IF(ISNUMBER(SEARCH("Coworkers/Classmates", M707)), 1, 0))</f>
        <v>0</v>
      </c>
      <c r="AE707">
        <f t="shared" ref="AE707:AE770" si="211">IF(M707="", 0, IF(ISNUMBER(SEARCH("Strangers", M707)), 1, 0))</f>
        <v>0</v>
      </c>
      <c r="AF707">
        <f t="shared" ref="AF707:AF770" si="212">IF(N707="", 0, IF(ISNUMBER(SEARCH("Spring", N707)), 1, 0))</f>
        <v>0</v>
      </c>
      <c r="AG707">
        <f t="shared" ref="AG707:AG770" si="213">IF(N707="", 0, IF(ISNUMBER(SEARCH("Summer", N707)), 1, 0))</f>
        <v>0</v>
      </c>
      <c r="AH707">
        <f t="shared" ref="AH707:AH770" si="214">IF(N707="", 0, IF(ISNUMBER(SEARCH("Fall", N707)), 1, 0))</f>
        <v>0</v>
      </c>
      <c r="AI707">
        <f t="shared" ref="AI707:AI770" si="215">IF(N707="", 0, IF(ISNUMBER(SEARCH("Winter", N707)), 1, 0))</f>
        <v>0</v>
      </c>
    </row>
    <row r="708" spans="1:35" x14ac:dyDescent="0.2">
      <c r="A708">
        <v>265</v>
      </c>
      <c r="B708" t="s">
        <v>16</v>
      </c>
      <c r="O708" t="s">
        <v>590</v>
      </c>
      <c r="Q708" t="str">
        <f t="shared" si="198"/>
        <v/>
      </c>
      <c r="R708" t="str">
        <f t="shared" si="199"/>
        <v/>
      </c>
      <c r="S708" t="str">
        <f t="shared" si="200"/>
        <v/>
      </c>
      <c r="T708" t="str">
        <f t="shared" si="201"/>
        <v/>
      </c>
      <c r="V708">
        <f t="shared" si="202"/>
        <v>0</v>
      </c>
      <c r="W708">
        <f t="shared" si="203"/>
        <v>0</v>
      </c>
      <c r="X708">
        <f t="shared" si="204"/>
        <v>0</v>
      </c>
      <c r="Y708">
        <f t="shared" si="205"/>
        <v>0</v>
      </c>
      <c r="Z708">
        <f t="shared" si="206"/>
        <v>0</v>
      </c>
      <c r="AA708">
        <f t="shared" si="207"/>
        <v>0</v>
      </c>
      <c r="AB708">
        <f t="shared" si="208"/>
        <v>0</v>
      </c>
      <c r="AC708">
        <f t="shared" si="209"/>
        <v>0</v>
      </c>
      <c r="AD708">
        <f t="shared" si="210"/>
        <v>0</v>
      </c>
      <c r="AE708">
        <f t="shared" si="211"/>
        <v>0</v>
      </c>
      <c r="AF708">
        <f t="shared" si="212"/>
        <v>0</v>
      </c>
      <c r="AG708">
        <f t="shared" si="213"/>
        <v>0</v>
      </c>
      <c r="AH708">
        <f t="shared" si="214"/>
        <v>0</v>
      </c>
      <c r="AI708">
        <f t="shared" si="215"/>
        <v>0</v>
      </c>
    </row>
    <row r="709" spans="1:35" x14ac:dyDescent="0.2">
      <c r="A709">
        <v>266</v>
      </c>
      <c r="B709" t="s">
        <v>16</v>
      </c>
      <c r="C709">
        <v>6</v>
      </c>
      <c r="D709" t="s">
        <v>2090</v>
      </c>
      <c r="E709" t="s">
        <v>18</v>
      </c>
      <c r="F709" t="s">
        <v>21</v>
      </c>
      <c r="G709" t="s">
        <v>20</v>
      </c>
      <c r="H709" t="s">
        <v>18</v>
      </c>
      <c r="I709">
        <v>11</v>
      </c>
      <c r="J709">
        <v>7</v>
      </c>
      <c r="K709">
        <v>5</v>
      </c>
      <c r="L709" t="s">
        <v>53</v>
      </c>
      <c r="M709" t="s">
        <v>135</v>
      </c>
      <c r="N709" t="s">
        <v>24</v>
      </c>
      <c r="O709" t="s">
        <v>2091</v>
      </c>
      <c r="P709" t="s">
        <v>2092</v>
      </c>
      <c r="Q709">
        <f t="shared" si="198"/>
        <v>4</v>
      </c>
      <c r="R709">
        <f t="shared" si="199"/>
        <v>1</v>
      </c>
      <c r="S709">
        <f t="shared" si="200"/>
        <v>2</v>
      </c>
      <c r="T709">
        <f t="shared" si="201"/>
        <v>4</v>
      </c>
      <c r="U709">
        <v>5</v>
      </c>
      <c r="V709">
        <f t="shared" si="202"/>
        <v>0</v>
      </c>
      <c r="W709">
        <f t="shared" si="203"/>
        <v>0</v>
      </c>
      <c r="X709">
        <f t="shared" si="204"/>
        <v>1</v>
      </c>
      <c r="Y709">
        <f t="shared" si="205"/>
        <v>0</v>
      </c>
      <c r="Z709">
        <f t="shared" si="206"/>
        <v>0</v>
      </c>
      <c r="AA709">
        <f t="shared" si="207"/>
        <v>1</v>
      </c>
      <c r="AB709">
        <f t="shared" si="208"/>
        <v>1</v>
      </c>
      <c r="AC709">
        <f t="shared" si="209"/>
        <v>0</v>
      </c>
      <c r="AD709">
        <f t="shared" si="210"/>
        <v>0</v>
      </c>
      <c r="AE709">
        <f t="shared" si="211"/>
        <v>0</v>
      </c>
      <c r="AF709">
        <f t="shared" si="212"/>
        <v>0</v>
      </c>
      <c r="AG709">
        <f t="shared" si="213"/>
        <v>0</v>
      </c>
      <c r="AH709">
        <f t="shared" si="214"/>
        <v>1</v>
      </c>
      <c r="AI709">
        <f t="shared" si="215"/>
        <v>0</v>
      </c>
    </row>
    <row r="710" spans="1:35" x14ac:dyDescent="0.2">
      <c r="A710">
        <v>267</v>
      </c>
      <c r="B710" t="s">
        <v>16</v>
      </c>
      <c r="Q710" t="str">
        <f t="shared" si="198"/>
        <v/>
      </c>
      <c r="R710" t="str">
        <f t="shared" si="199"/>
        <v/>
      </c>
      <c r="S710" t="str">
        <f t="shared" si="200"/>
        <v/>
      </c>
      <c r="T710" t="str">
        <f t="shared" si="201"/>
        <v/>
      </c>
      <c r="V710">
        <f t="shared" si="202"/>
        <v>0</v>
      </c>
      <c r="W710">
        <f t="shared" si="203"/>
        <v>0</v>
      </c>
      <c r="X710">
        <f t="shared" si="204"/>
        <v>0</v>
      </c>
      <c r="Y710">
        <f t="shared" si="205"/>
        <v>0</v>
      </c>
      <c r="Z710">
        <f t="shared" si="206"/>
        <v>0</v>
      </c>
      <c r="AA710">
        <f t="shared" si="207"/>
        <v>0</v>
      </c>
      <c r="AB710">
        <f t="shared" si="208"/>
        <v>0</v>
      </c>
      <c r="AC710">
        <f t="shared" si="209"/>
        <v>0</v>
      </c>
      <c r="AD710">
        <f t="shared" si="210"/>
        <v>0</v>
      </c>
      <c r="AE710">
        <f t="shared" si="211"/>
        <v>0</v>
      </c>
      <c r="AF710">
        <f t="shared" si="212"/>
        <v>0</v>
      </c>
      <c r="AG710">
        <f t="shared" si="213"/>
        <v>0</v>
      </c>
      <c r="AH710">
        <f t="shared" si="214"/>
        <v>0</v>
      </c>
      <c r="AI710">
        <f t="shared" si="215"/>
        <v>0</v>
      </c>
    </row>
    <row r="711" spans="1:35" x14ac:dyDescent="0.2">
      <c r="A711">
        <v>268</v>
      </c>
      <c r="B711" t="s">
        <v>16</v>
      </c>
      <c r="Q711" t="str">
        <f t="shared" si="198"/>
        <v/>
      </c>
      <c r="R711" t="str">
        <f t="shared" si="199"/>
        <v/>
      </c>
      <c r="S711" t="str">
        <f t="shared" si="200"/>
        <v/>
      </c>
      <c r="T711" t="str">
        <f t="shared" si="201"/>
        <v/>
      </c>
      <c r="V711">
        <f t="shared" si="202"/>
        <v>0</v>
      </c>
      <c r="W711">
        <f t="shared" si="203"/>
        <v>0</v>
      </c>
      <c r="X711">
        <f t="shared" si="204"/>
        <v>0</v>
      </c>
      <c r="Y711">
        <f t="shared" si="205"/>
        <v>0</v>
      </c>
      <c r="Z711">
        <f t="shared" si="206"/>
        <v>0</v>
      </c>
      <c r="AA711">
        <f t="shared" si="207"/>
        <v>0</v>
      </c>
      <c r="AB711">
        <f t="shared" si="208"/>
        <v>0</v>
      </c>
      <c r="AC711">
        <f t="shared" si="209"/>
        <v>0</v>
      </c>
      <c r="AD711">
        <f t="shared" si="210"/>
        <v>0</v>
      </c>
      <c r="AE711">
        <f t="shared" si="211"/>
        <v>0</v>
      </c>
      <c r="AF711">
        <f t="shared" si="212"/>
        <v>0</v>
      </c>
      <c r="AG711">
        <f t="shared" si="213"/>
        <v>0</v>
      </c>
      <c r="AH711">
        <f t="shared" si="214"/>
        <v>0</v>
      </c>
      <c r="AI711">
        <f t="shared" si="215"/>
        <v>0</v>
      </c>
    </row>
    <row r="712" spans="1:35" x14ac:dyDescent="0.2">
      <c r="A712">
        <v>269</v>
      </c>
      <c r="B712" t="s">
        <v>16</v>
      </c>
      <c r="Q712" t="str">
        <f t="shared" si="198"/>
        <v/>
      </c>
      <c r="R712" t="str">
        <f t="shared" si="199"/>
        <v/>
      </c>
      <c r="S712" t="str">
        <f t="shared" si="200"/>
        <v/>
      </c>
      <c r="T712" t="str">
        <f t="shared" si="201"/>
        <v/>
      </c>
      <c r="V712">
        <f t="shared" si="202"/>
        <v>0</v>
      </c>
      <c r="W712">
        <f t="shared" si="203"/>
        <v>0</v>
      </c>
      <c r="X712">
        <f t="shared" si="204"/>
        <v>0</v>
      </c>
      <c r="Y712">
        <f t="shared" si="205"/>
        <v>0</v>
      </c>
      <c r="Z712">
        <f t="shared" si="206"/>
        <v>0</v>
      </c>
      <c r="AA712">
        <f t="shared" si="207"/>
        <v>0</v>
      </c>
      <c r="AB712">
        <f t="shared" si="208"/>
        <v>0</v>
      </c>
      <c r="AC712">
        <f t="shared" si="209"/>
        <v>0</v>
      </c>
      <c r="AD712">
        <f t="shared" si="210"/>
        <v>0</v>
      </c>
      <c r="AE712">
        <f t="shared" si="211"/>
        <v>0</v>
      </c>
      <c r="AF712">
        <f t="shared" si="212"/>
        <v>0</v>
      </c>
      <c r="AG712">
        <f t="shared" si="213"/>
        <v>0</v>
      </c>
      <c r="AH712">
        <f t="shared" si="214"/>
        <v>0</v>
      </c>
      <c r="AI712">
        <f t="shared" si="215"/>
        <v>0</v>
      </c>
    </row>
    <row r="713" spans="1:35" x14ac:dyDescent="0.2">
      <c r="A713">
        <v>270</v>
      </c>
      <c r="B713" t="s">
        <v>16</v>
      </c>
      <c r="C713">
        <v>7</v>
      </c>
      <c r="D713" t="s">
        <v>2093</v>
      </c>
      <c r="Q713" t="str">
        <f t="shared" si="198"/>
        <v/>
      </c>
      <c r="R713" t="str">
        <f t="shared" si="199"/>
        <v/>
      </c>
      <c r="S713" t="str">
        <f t="shared" si="200"/>
        <v/>
      </c>
      <c r="T713" t="str">
        <f t="shared" si="201"/>
        <v/>
      </c>
      <c r="V713">
        <f t="shared" si="202"/>
        <v>0</v>
      </c>
      <c r="W713">
        <f t="shared" si="203"/>
        <v>0</v>
      </c>
      <c r="X713">
        <f t="shared" si="204"/>
        <v>0</v>
      </c>
      <c r="Y713">
        <f t="shared" si="205"/>
        <v>0</v>
      </c>
      <c r="Z713">
        <f t="shared" si="206"/>
        <v>0</v>
      </c>
      <c r="AA713">
        <f t="shared" si="207"/>
        <v>0</v>
      </c>
      <c r="AB713">
        <f t="shared" si="208"/>
        <v>0</v>
      </c>
      <c r="AC713">
        <f t="shared" si="209"/>
        <v>0</v>
      </c>
      <c r="AD713">
        <f t="shared" si="210"/>
        <v>0</v>
      </c>
      <c r="AE713">
        <f t="shared" si="211"/>
        <v>0</v>
      </c>
      <c r="AF713">
        <f t="shared" si="212"/>
        <v>0</v>
      </c>
      <c r="AG713">
        <f t="shared" si="213"/>
        <v>0</v>
      </c>
      <c r="AH713">
        <f t="shared" si="214"/>
        <v>0</v>
      </c>
      <c r="AI713">
        <f t="shared" si="215"/>
        <v>0</v>
      </c>
    </row>
    <row r="714" spans="1:35" x14ac:dyDescent="0.2">
      <c r="A714">
        <v>271</v>
      </c>
      <c r="B714" t="s">
        <v>16</v>
      </c>
      <c r="C714">
        <v>7</v>
      </c>
      <c r="D714" t="s">
        <v>2094</v>
      </c>
      <c r="E714" t="s">
        <v>18</v>
      </c>
      <c r="F714" t="s">
        <v>20</v>
      </c>
      <c r="G714" t="s">
        <v>20</v>
      </c>
      <c r="H714" t="s">
        <v>18</v>
      </c>
      <c r="I714">
        <v>2</v>
      </c>
      <c r="J714">
        <v>4</v>
      </c>
      <c r="K714" s="1">
        <v>50</v>
      </c>
      <c r="M714" t="s">
        <v>958</v>
      </c>
      <c r="N714" t="s">
        <v>782</v>
      </c>
      <c r="O714" t="s">
        <v>2095</v>
      </c>
      <c r="P714" t="s">
        <v>2096</v>
      </c>
      <c r="Q714">
        <f t="shared" si="198"/>
        <v>4</v>
      </c>
      <c r="R714">
        <f t="shared" si="199"/>
        <v>2</v>
      </c>
      <c r="S714">
        <f t="shared" si="200"/>
        <v>2</v>
      </c>
      <c r="T714">
        <f t="shared" si="201"/>
        <v>4</v>
      </c>
      <c r="U714">
        <v>50</v>
      </c>
      <c r="V714">
        <f t="shared" si="202"/>
        <v>0</v>
      </c>
      <c r="W714">
        <f t="shared" si="203"/>
        <v>0</v>
      </c>
      <c r="X714">
        <f t="shared" si="204"/>
        <v>0</v>
      </c>
      <c r="Y714">
        <f t="shared" si="205"/>
        <v>0</v>
      </c>
      <c r="Z714">
        <f t="shared" si="206"/>
        <v>0</v>
      </c>
      <c r="AA714">
        <f t="shared" si="207"/>
        <v>1</v>
      </c>
      <c r="AB714">
        <f t="shared" si="208"/>
        <v>0</v>
      </c>
      <c r="AC714">
        <f t="shared" si="209"/>
        <v>1</v>
      </c>
      <c r="AD714">
        <f t="shared" si="210"/>
        <v>0</v>
      </c>
      <c r="AE714">
        <f t="shared" si="211"/>
        <v>1</v>
      </c>
      <c r="AF714">
        <f t="shared" si="212"/>
        <v>0</v>
      </c>
      <c r="AG714">
        <f t="shared" si="213"/>
        <v>1</v>
      </c>
      <c r="AH714">
        <f t="shared" si="214"/>
        <v>1</v>
      </c>
      <c r="AI714">
        <f t="shared" si="215"/>
        <v>1</v>
      </c>
    </row>
    <row r="715" spans="1:35" x14ac:dyDescent="0.2">
      <c r="A715">
        <v>272</v>
      </c>
      <c r="B715" t="s">
        <v>16</v>
      </c>
      <c r="C715">
        <v>5</v>
      </c>
      <c r="D715" t="s">
        <v>2097</v>
      </c>
      <c r="E715" t="s">
        <v>18</v>
      </c>
      <c r="F715" t="s">
        <v>20</v>
      </c>
      <c r="G715" t="s">
        <v>20</v>
      </c>
      <c r="H715" t="s">
        <v>18</v>
      </c>
      <c r="I715">
        <v>3</v>
      </c>
      <c r="J715">
        <v>6</v>
      </c>
      <c r="K715">
        <v>25</v>
      </c>
      <c r="L715" t="s">
        <v>47</v>
      </c>
      <c r="M715" t="s">
        <v>48</v>
      </c>
      <c r="N715" t="s">
        <v>84</v>
      </c>
      <c r="O715" t="s">
        <v>2098</v>
      </c>
      <c r="P715" t="s">
        <v>2099</v>
      </c>
      <c r="Q715">
        <f t="shared" si="198"/>
        <v>4</v>
      </c>
      <c r="R715">
        <f t="shared" si="199"/>
        <v>2</v>
      </c>
      <c r="S715">
        <f t="shared" si="200"/>
        <v>2</v>
      </c>
      <c r="T715">
        <f t="shared" si="201"/>
        <v>4</v>
      </c>
      <c r="U715">
        <v>25</v>
      </c>
      <c r="V715">
        <f t="shared" si="202"/>
        <v>0</v>
      </c>
      <c r="W715">
        <f t="shared" si="203"/>
        <v>0</v>
      </c>
      <c r="X715">
        <f t="shared" si="204"/>
        <v>1</v>
      </c>
      <c r="Y715">
        <f t="shared" si="205"/>
        <v>0</v>
      </c>
      <c r="Z715">
        <f t="shared" si="206"/>
        <v>1</v>
      </c>
      <c r="AA715">
        <f t="shared" si="207"/>
        <v>1</v>
      </c>
      <c r="AB715">
        <f t="shared" si="208"/>
        <v>1</v>
      </c>
      <c r="AC715">
        <f t="shared" si="209"/>
        <v>1</v>
      </c>
      <c r="AD715">
        <f t="shared" si="210"/>
        <v>0</v>
      </c>
      <c r="AE715">
        <f t="shared" si="211"/>
        <v>0</v>
      </c>
      <c r="AF715">
        <f t="shared" si="212"/>
        <v>0</v>
      </c>
      <c r="AG715">
        <f t="shared" si="213"/>
        <v>1</v>
      </c>
      <c r="AH715">
        <f t="shared" si="214"/>
        <v>0</v>
      </c>
      <c r="AI715">
        <f t="shared" si="215"/>
        <v>0</v>
      </c>
    </row>
    <row r="716" spans="1:35" x14ac:dyDescent="0.2">
      <c r="A716">
        <v>273</v>
      </c>
      <c r="B716" t="s">
        <v>16</v>
      </c>
      <c r="C716">
        <v>5</v>
      </c>
      <c r="D716" t="s">
        <v>2100</v>
      </c>
      <c r="E716" t="s">
        <v>19</v>
      </c>
      <c r="F716" t="s">
        <v>39</v>
      </c>
      <c r="G716" t="s">
        <v>19</v>
      </c>
      <c r="H716" t="s">
        <v>18</v>
      </c>
      <c r="I716">
        <v>5</v>
      </c>
      <c r="J716">
        <v>6</v>
      </c>
      <c r="K716" s="5">
        <v>24</v>
      </c>
      <c r="L716" t="s">
        <v>562</v>
      </c>
      <c r="M716" t="s">
        <v>268</v>
      </c>
      <c r="N716" t="s">
        <v>24</v>
      </c>
      <c r="O716" t="s">
        <v>2101</v>
      </c>
      <c r="P716" t="s">
        <v>2102</v>
      </c>
      <c r="Q716">
        <f t="shared" si="198"/>
        <v>3</v>
      </c>
      <c r="R716">
        <f t="shared" si="199"/>
        <v>5</v>
      </c>
      <c r="S716">
        <f t="shared" si="200"/>
        <v>3</v>
      </c>
      <c r="T716">
        <f t="shared" si="201"/>
        <v>4</v>
      </c>
      <c r="U716">
        <v>24</v>
      </c>
      <c r="V716">
        <f t="shared" si="202"/>
        <v>0</v>
      </c>
      <c r="W716">
        <f t="shared" si="203"/>
        <v>1</v>
      </c>
      <c r="X716">
        <f t="shared" si="204"/>
        <v>1</v>
      </c>
      <c r="Y716">
        <f t="shared" si="205"/>
        <v>0</v>
      </c>
      <c r="Z716">
        <f t="shared" si="206"/>
        <v>1</v>
      </c>
      <c r="AA716">
        <f t="shared" si="207"/>
        <v>1</v>
      </c>
      <c r="AB716">
        <f t="shared" si="208"/>
        <v>1</v>
      </c>
      <c r="AC716">
        <f t="shared" si="209"/>
        <v>0</v>
      </c>
      <c r="AD716">
        <f t="shared" si="210"/>
        <v>1</v>
      </c>
      <c r="AE716">
        <f t="shared" si="211"/>
        <v>0</v>
      </c>
      <c r="AF716">
        <f t="shared" si="212"/>
        <v>0</v>
      </c>
      <c r="AG716">
        <f t="shared" si="213"/>
        <v>0</v>
      </c>
      <c r="AH716">
        <f t="shared" si="214"/>
        <v>1</v>
      </c>
      <c r="AI716">
        <f t="shared" si="215"/>
        <v>0</v>
      </c>
    </row>
    <row r="717" spans="1:35" x14ac:dyDescent="0.2">
      <c r="A717">
        <v>274</v>
      </c>
      <c r="B717" t="s">
        <v>16</v>
      </c>
      <c r="C717">
        <v>3</v>
      </c>
      <c r="D717" t="s">
        <v>2103</v>
      </c>
      <c r="E717" t="s">
        <v>19</v>
      </c>
      <c r="F717" t="s">
        <v>20</v>
      </c>
      <c r="G717" t="s">
        <v>21</v>
      </c>
      <c r="H717" t="s">
        <v>19</v>
      </c>
      <c r="I717">
        <v>1</v>
      </c>
      <c r="J717">
        <v>5</v>
      </c>
      <c r="K717" t="s">
        <v>2104</v>
      </c>
      <c r="L717" t="s">
        <v>98</v>
      </c>
      <c r="M717" t="s">
        <v>115</v>
      </c>
      <c r="N717" t="s">
        <v>24</v>
      </c>
      <c r="O717" t="s">
        <v>504</v>
      </c>
      <c r="P717" t="s">
        <v>2105</v>
      </c>
      <c r="Q717">
        <f t="shared" si="198"/>
        <v>3</v>
      </c>
      <c r="R717">
        <f t="shared" si="199"/>
        <v>2</v>
      </c>
      <c r="S717">
        <f t="shared" si="200"/>
        <v>1</v>
      </c>
      <c r="T717">
        <f t="shared" si="201"/>
        <v>3</v>
      </c>
      <c r="V717">
        <f t="shared" si="202"/>
        <v>0</v>
      </c>
      <c r="W717">
        <f t="shared" si="203"/>
        <v>1</v>
      </c>
      <c r="X717">
        <f t="shared" si="204"/>
        <v>0</v>
      </c>
      <c r="Y717">
        <f t="shared" si="205"/>
        <v>0</v>
      </c>
      <c r="Z717">
        <f t="shared" si="206"/>
        <v>0</v>
      </c>
      <c r="AA717">
        <f t="shared" si="207"/>
        <v>0</v>
      </c>
      <c r="AB717">
        <f t="shared" si="208"/>
        <v>0</v>
      </c>
      <c r="AC717">
        <f t="shared" si="209"/>
        <v>1</v>
      </c>
      <c r="AD717">
        <f t="shared" si="210"/>
        <v>0</v>
      </c>
      <c r="AE717">
        <f t="shared" si="211"/>
        <v>0</v>
      </c>
      <c r="AF717">
        <f t="shared" si="212"/>
        <v>0</v>
      </c>
      <c r="AG717">
        <f t="shared" si="213"/>
        <v>0</v>
      </c>
      <c r="AH717">
        <f t="shared" si="214"/>
        <v>1</v>
      </c>
      <c r="AI717">
        <f t="shared" si="215"/>
        <v>0</v>
      </c>
    </row>
    <row r="718" spans="1:35" x14ac:dyDescent="0.2">
      <c r="A718">
        <v>275</v>
      </c>
      <c r="B718" t="s">
        <v>16</v>
      </c>
      <c r="C718">
        <v>7</v>
      </c>
      <c r="D718" t="s">
        <v>2106</v>
      </c>
      <c r="E718" t="s">
        <v>39</v>
      </c>
      <c r="F718" t="s">
        <v>21</v>
      </c>
      <c r="G718" t="s">
        <v>19</v>
      </c>
      <c r="H718" t="s">
        <v>39</v>
      </c>
      <c r="I718">
        <v>2</v>
      </c>
      <c r="J718">
        <v>6</v>
      </c>
      <c r="K718" s="1">
        <v>150</v>
      </c>
      <c r="L718" t="s">
        <v>714</v>
      </c>
      <c r="M718" t="s">
        <v>48</v>
      </c>
      <c r="N718" t="s">
        <v>24</v>
      </c>
      <c r="O718" t="s">
        <v>2107</v>
      </c>
      <c r="P718" t="s">
        <v>2108</v>
      </c>
      <c r="Q718">
        <f t="shared" si="198"/>
        <v>5</v>
      </c>
      <c r="R718">
        <f t="shared" si="199"/>
        <v>1</v>
      </c>
      <c r="S718">
        <f t="shared" si="200"/>
        <v>3</v>
      </c>
      <c r="T718">
        <f t="shared" si="201"/>
        <v>5</v>
      </c>
      <c r="U718">
        <v>150</v>
      </c>
      <c r="V718">
        <f t="shared" si="202"/>
        <v>0</v>
      </c>
      <c r="W718">
        <f t="shared" si="203"/>
        <v>0</v>
      </c>
      <c r="X718">
        <f t="shared" si="204"/>
        <v>1</v>
      </c>
      <c r="Y718">
        <f t="shared" si="205"/>
        <v>1</v>
      </c>
      <c r="Z718">
        <f t="shared" si="206"/>
        <v>1</v>
      </c>
      <c r="AA718">
        <f t="shared" si="207"/>
        <v>1</v>
      </c>
      <c r="AB718">
        <f t="shared" si="208"/>
        <v>1</v>
      </c>
      <c r="AC718">
        <f t="shared" si="209"/>
        <v>1</v>
      </c>
      <c r="AD718">
        <f t="shared" si="210"/>
        <v>0</v>
      </c>
      <c r="AE718">
        <f t="shared" si="211"/>
        <v>0</v>
      </c>
      <c r="AF718">
        <f t="shared" si="212"/>
        <v>0</v>
      </c>
      <c r="AG718">
        <f t="shared" si="213"/>
        <v>0</v>
      </c>
      <c r="AH718">
        <f t="shared" si="214"/>
        <v>1</v>
      </c>
      <c r="AI718">
        <f t="shared" si="215"/>
        <v>0</v>
      </c>
    </row>
    <row r="719" spans="1:35" x14ac:dyDescent="0.2">
      <c r="A719">
        <v>276</v>
      </c>
      <c r="B719" t="s">
        <v>16</v>
      </c>
      <c r="C719">
        <v>8</v>
      </c>
      <c r="D719" t="s">
        <v>2109</v>
      </c>
      <c r="E719" t="s">
        <v>18</v>
      </c>
      <c r="F719" t="s">
        <v>20</v>
      </c>
      <c r="G719" t="s">
        <v>20</v>
      </c>
      <c r="H719" t="s">
        <v>18</v>
      </c>
      <c r="I719">
        <v>3</v>
      </c>
      <c r="J719">
        <v>4</v>
      </c>
      <c r="K719">
        <v>100</v>
      </c>
      <c r="L719" t="s">
        <v>53</v>
      </c>
      <c r="M719" t="s">
        <v>23</v>
      </c>
      <c r="N719" t="s">
        <v>36</v>
      </c>
      <c r="O719" t="s">
        <v>2110</v>
      </c>
      <c r="P719" t="s">
        <v>2111</v>
      </c>
      <c r="Q719">
        <f t="shared" si="198"/>
        <v>4</v>
      </c>
      <c r="R719">
        <f t="shared" si="199"/>
        <v>2</v>
      </c>
      <c r="S719">
        <f t="shared" si="200"/>
        <v>2</v>
      </c>
      <c r="T719">
        <f t="shared" si="201"/>
        <v>4</v>
      </c>
      <c r="U719">
        <v>100</v>
      </c>
      <c r="V719">
        <f t="shared" si="202"/>
        <v>0</v>
      </c>
      <c r="W719">
        <f t="shared" si="203"/>
        <v>0</v>
      </c>
      <c r="X719">
        <f t="shared" si="204"/>
        <v>1</v>
      </c>
      <c r="Y719">
        <f t="shared" si="205"/>
        <v>0</v>
      </c>
      <c r="Z719">
        <f t="shared" si="206"/>
        <v>0</v>
      </c>
      <c r="AA719">
        <f t="shared" si="207"/>
        <v>1</v>
      </c>
      <c r="AB719">
        <f t="shared" si="208"/>
        <v>0</v>
      </c>
      <c r="AC719">
        <f t="shared" si="209"/>
        <v>0</v>
      </c>
      <c r="AD719">
        <f t="shared" si="210"/>
        <v>0</v>
      </c>
      <c r="AE719">
        <f t="shared" si="211"/>
        <v>0</v>
      </c>
      <c r="AF719">
        <f t="shared" si="212"/>
        <v>0</v>
      </c>
      <c r="AG719">
        <f t="shared" si="213"/>
        <v>0</v>
      </c>
      <c r="AH719">
        <f t="shared" si="214"/>
        <v>0</v>
      </c>
      <c r="AI719">
        <f t="shared" si="215"/>
        <v>1</v>
      </c>
    </row>
    <row r="720" spans="1:35" x14ac:dyDescent="0.2">
      <c r="A720">
        <v>277</v>
      </c>
      <c r="B720" t="s">
        <v>16</v>
      </c>
      <c r="C720">
        <v>6</v>
      </c>
      <c r="D720" t="s">
        <v>2112</v>
      </c>
      <c r="E720" t="s">
        <v>18</v>
      </c>
      <c r="F720" t="s">
        <v>20</v>
      </c>
      <c r="G720" t="s">
        <v>19</v>
      </c>
      <c r="H720" t="s">
        <v>18</v>
      </c>
      <c r="I720">
        <v>3</v>
      </c>
      <c r="J720">
        <v>5</v>
      </c>
      <c r="K720">
        <v>50</v>
      </c>
      <c r="L720" t="s">
        <v>22</v>
      </c>
      <c r="M720" t="s">
        <v>23</v>
      </c>
      <c r="N720" t="s">
        <v>215</v>
      </c>
      <c r="O720" t="s">
        <v>2113</v>
      </c>
      <c r="P720" t="s">
        <v>2114</v>
      </c>
      <c r="Q720">
        <f t="shared" si="198"/>
        <v>4</v>
      </c>
      <c r="R720">
        <f t="shared" si="199"/>
        <v>2</v>
      </c>
      <c r="S720">
        <f t="shared" si="200"/>
        <v>3</v>
      </c>
      <c r="T720">
        <f t="shared" si="201"/>
        <v>4</v>
      </c>
      <c r="U720">
        <v>50</v>
      </c>
      <c r="V720">
        <f t="shared" si="202"/>
        <v>1</v>
      </c>
      <c r="W720">
        <f t="shared" si="203"/>
        <v>0</v>
      </c>
      <c r="X720">
        <f t="shared" si="204"/>
        <v>0</v>
      </c>
      <c r="Y720">
        <f t="shared" si="205"/>
        <v>0</v>
      </c>
      <c r="Z720">
        <f t="shared" si="206"/>
        <v>0</v>
      </c>
      <c r="AA720">
        <f t="shared" si="207"/>
        <v>1</v>
      </c>
      <c r="AB720">
        <f t="shared" si="208"/>
        <v>0</v>
      </c>
      <c r="AC720">
        <f t="shared" si="209"/>
        <v>0</v>
      </c>
      <c r="AD720">
        <f t="shared" si="210"/>
        <v>0</v>
      </c>
      <c r="AE720">
        <f t="shared" si="211"/>
        <v>0</v>
      </c>
      <c r="AF720">
        <f t="shared" si="212"/>
        <v>1</v>
      </c>
      <c r="AG720">
        <f t="shared" si="213"/>
        <v>0</v>
      </c>
      <c r="AH720">
        <f t="shared" si="214"/>
        <v>0</v>
      </c>
      <c r="AI720">
        <f t="shared" si="215"/>
        <v>0</v>
      </c>
    </row>
    <row r="721" spans="1:35" x14ac:dyDescent="0.2">
      <c r="A721">
        <v>278</v>
      </c>
      <c r="B721" t="s">
        <v>16</v>
      </c>
      <c r="C721">
        <v>7</v>
      </c>
      <c r="D721" t="s">
        <v>2115</v>
      </c>
      <c r="E721" t="s">
        <v>18</v>
      </c>
      <c r="F721" t="s">
        <v>20</v>
      </c>
      <c r="G721" t="s">
        <v>20</v>
      </c>
      <c r="H721" t="s">
        <v>18</v>
      </c>
      <c r="I721">
        <v>4</v>
      </c>
      <c r="J721">
        <v>4</v>
      </c>
      <c r="K721">
        <v>100</v>
      </c>
      <c r="L721" t="s">
        <v>47</v>
      </c>
      <c r="M721" t="s">
        <v>23</v>
      </c>
      <c r="N721" t="s">
        <v>24</v>
      </c>
      <c r="O721" t="s">
        <v>2116</v>
      </c>
      <c r="P721" t="s">
        <v>2117</v>
      </c>
      <c r="Q721">
        <f t="shared" si="198"/>
        <v>4</v>
      </c>
      <c r="R721">
        <f t="shared" si="199"/>
        <v>2</v>
      </c>
      <c r="S721">
        <f t="shared" si="200"/>
        <v>2</v>
      </c>
      <c r="T721">
        <f t="shared" si="201"/>
        <v>4</v>
      </c>
      <c r="U721">
        <v>100</v>
      </c>
      <c r="V721">
        <f t="shared" si="202"/>
        <v>0</v>
      </c>
      <c r="W721">
        <f t="shared" si="203"/>
        <v>0</v>
      </c>
      <c r="X721">
        <f t="shared" si="204"/>
        <v>1</v>
      </c>
      <c r="Y721">
        <f t="shared" si="205"/>
        <v>0</v>
      </c>
      <c r="Z721">
        <f t="shared" si="206"/>
        <v>1</v>
      </c>
      <c r="AA721">
        <f t="shared" si="207"/>
        <v>1</v>
      </c>
      <c r="AB721">
        <f t="shared" si="208"/>
        <v>0</v>
      </c>
      <c r="AC721">
        <f t="shared" si="209"/>
        <v>0</v>
      </c>
      <c r="AD721">
        <f t="shared" si="210"/>
        <v>0</v>
      </c>
      <c r="AE721">
        <f t="shared" si="211"/>
        <v>0</v>
      </c>
      <c r="AF721">
        <f t="shared" si="212"/>
        <v>0</v>
      </c>
      <c r="AG721">
        <f t="shared" si="213"/>
        <v>0</v>
      </c>
      <c r="AH721">
        <f t="shared" si="214"/>
        <v>1</v>
      </c>
      <c r="AI721">
        <f t="shared" si="215"/>
        <v>0</v>
      </c>
    </row>
    <row r="722" spans="1:35" x14ac:dyDescent="0.2">
      <c r="A722">
        <v>279</v>
      </c>
      <c r="B722" t="s">
        <v>16</v>
      </c>
      <c r="C722">
        <v>7</v>
      </c>
      <c r="D722" t="s">
        <v>2118</v>
      </c>
      <c r="E722" t="s">
        <v>39</v>
      </c>
      <c r="F722" t="s">
        <v>20</v>
      </c>
      <c r="G722" t="s">
        <v>18</v>
      </c>
      <c r="H722" t="s">
        <v>39</v>
      </c>
      <c r="I722">
        <v>8</v>
      </c>
      <c r="J722">
        <v>6</v>
      </c>
      <c r="K722" t="s">
        <v>2119</v>
      </c>
      <c r="L722" t="s">
        <v>128</v>
      </c>
      <c r="M722" t="s">
        <v>35</v>
      </c>
      <c r="N722" t="s">
        <v>24</v>
      </c>
      <c r="O722" t="s">
        <v>2120</v>
      </c>
      <c r="P722" t="s">
        <v>2121</v>
      </c>
      <c r="Q722">
        <f t="shared" si="198"/>
        <v>5</v>
      </c>
      <c r="R722">
        <f t="shared" si="199"/>
        <v>2</v>
      </c>
      <c r="S722">
        <f t="shared" si="200"/>
        <v>4</v>
      </c>
      <c r="T722">
        <f t="shared" si="201"/>
        <v>5</v>
      </c>
      <c r="U722">
        <v>100000</v>
      </c>
      <c r="V722">
        <f t="shared" si="202"/>
        <v>1</v>
      </c>
      <c r="W722">
        <f t="shared" si="203"/>
        <v>0</v>
      </c>
      <c r="X722">
        <f t="shared" si="204"/>
        <v>1</v>
      </c>
      <c r="Y722">
        <f t="shared" si="205"/>
        <v>0</v>
      </c>
      <c r="Z722">
        <f t="shared" si="206"/>
        <v>0</v>
      </c>
      <c r="AA722">
        <f t="shared" si="207"/>
        <v>0</v>
      </c>
      <c r="AB722">
        <f t="shared" si="208"/>
        <v>0</v>
      </c>
      <c r="AC722">
        <f t="shared" si="209"/>
        <v>0</v>
      </c>
      <c r="AD722">
        <f t="shared" si="210"/>
        <v>1</v>
      </c>
      <c r="AE722">
        <f t="shared" si="211"/>
        <v>0</v>
      </c>
      <c r="AF722">
        <f t="shared" si="212"/>
        <v>0</v>
      </c>
      <c r="AG722">
        <f t="shared" si="213"/>
        <v>0</v>
      </c>
      <c r="AH722">
        <f t="shared" si="214"/>
        <v>1</v>
      </c>
      <c r="AI722">
        <f t="shared" si="215"/>
        <v>0</v>
      </c>
    </row>
    <row r="723" spans="1:35" x14ac:dyDescent="0.2">
      <c r="A723">
        <v>280</v>
      </c>
      <c r="B723" t="s">
        <v>16</v>
      </c>
      <c r="C723">
        <v>2</v>
      </c>
      <c r="D723" t="s">
        <v>2122</v>
      </c>
      <c r="E723" t="s">
        <v>19</v>
      </c>
      <c r="F723" t="s">
        <v>19</v>
      </c>
      <c r="G723" t="s">
        <v>18</v>
      </c>
      <c r="H723" t="s">
        <v>19</v>
      </c>
      <c r="I723">
        <v>3</v>
      </c>
      <c r="J723">
        <v>4</v>
      </c>
      <c r="K723" t="s">
        <v>2123</v>
      </c>
      <c r="L723" t="s">
        <v>22</v>
      </c>
      <c r="M723" t="s">
        <v>23</v>
      </c>
      <c r="N723" t="s">
        <v>84</v>
      </c>
      <c r="O723" t="s">
        <v>2124</v>
      </c>
      <c r="P723" t="s">
        <v>2125</v>
      </c>
      <c r="Q723">
        <f t="shared" si="198"/>
        <v>3</v>
      </c>
      <c r="R723">
        <f t="shared" si="199"/>
        <v>3</v>
      </c>
      <c r="S723">
        <f t="shared" si="200"/>
        <v>4</v>
      </c>
      <c r="T723">
        <f t="shared" si="201"/>
        <v>3</v>
      </c>
      <c r="U723">
        <v>1000</v>
      </c>
      <c r="V723">
        <f t="shared" si="202"/>
        <v>1</v>
      </c>
      <c r="W723">
        <f t="shared" si="203"/>
        <v>0</v>
      </c>
      <c r="X723">
        <f t="shared" si="204"/>
        <v>0</v>
      </c>
      <c r="Y723">
        <f t="shared" si="205"/>
        <v>0</v>
      </c>
      <c r="Z723">
        <f t="shared" si="206"/>
        <v>0</v>
      </c>
      <c r="AA723">
        <f t="shared" si="207"/>
        <v>1</v>
      </c>
      <c r="AB723">
        <f t="shared" si="208"/>
        <v>0</v>
      </c>
      <c r="AC723">
        <f t="shared" si="209"/>
        <v>0</v>
      </c>
      <c r="AD723">
        <f t="shared" si="210"/>
        <v>0</v>
      </c>
      <c r="AE723">
        <f t="shared" si="211"/>
        <v>0</v>
      </c>
      <c r="AF723">
        <f t="shared" si="212"/>
        <v>0</v>
      </c>
      <c r="AG723">
        <f t="shared" si="213"/>
        <v>1</v>
      </c>
      <c r="AH723">
        <f t="shared" si="214"/>
        <v>0</v>
      </c>
      <c r="AI723">
        <f t="shared" si="215"/>
        <v>0</v>
      </c>
    </row>
    <row r="724" spans="1:35" x14ac:dyDescent="0.2">
      <c r="A724">
        <v>281</v>
      </c>
      <c r="B724" t="s">
        <v>16</v>
      </c>
      <c r="C724">
        <v>7</v>
      </c>
      <c r="D724" t="s">
        <v>2126</v>
      </c>
      <c r="E724" t="s">
        <v>18</v>
      </c>
      <c r="F724" t="s">
        <v>18</v>
      </c>
      <c r="G724" t="s">
        <v>20</v>
      </c>
      <c r="H724" t="s">
        <v>18</v>
      </c>
      <c r="I724">
        <v>3</v>
      </c>
      <c r="J724">
        <v>5</v>
      </c>
      <c r="K724">
        <v>70</v>
      </c>
      <c r="L724" t="s">
        <v>98</v>
      </c>
      <c r="M724" t="s">
        <v>42</v>
      </c>
      <c r="N724" t="s">
        <v>24</v>
      </c>
      <c r="O724" t="s">
        <v>2127</v>
      </c>
      <c r="P724" t="s">
        <v>2128</v>
      </c>
      <c r="Q724">
        <f t="shared" si="198"/>
        <v>4</v>
      </c>
      <c r="R724">
        <f t="shared" si="199"/>
        <v>4</v>
      </c>
      <c r="S724">
        <f t="shared" si="200"/>
        <v>2</v>
      </c>
      <c r="T724">
        <f t="shared" si="201"/>
        <v>4</v>
      </c>
      <c r="U724">
        <v>70</v>
      </c>
      <c r="V724">
        <f t="shared" si="202"/>
        <v>0</v>
      </c>
      <c r="W724">
        <f t="shared" si="203"/>
        <v>1</v>
      </c>
      <c r="X724">
        <f t="shared" si="204"/>
        <v>0</v>
      </c>
      <c r="Y724">
        <f t="shared" si="205"/>
        <v>0</v>
      </c>
      <c r="Z724">
        <f t="shared" si="206"/>
        <v>0</v>
      </c>
      <c r="AA724">
        <f t="shared" si="207"/>
        <v>0</v>
      </c>
      <c r="AB724">
        <f t="shared" si="208"/>
        <v>1</v>
      </c>
      <c r="AC724">
        <f t="shared" si="209"/>
        <v>0</v>
      </c>
      <c r="AD724">
        <f t="shared" si="210"/>
        <v>0</v>
      </c>
      <c r="AE724">
        <f t="shared" si="211"/>
        <v>0</v>
      </c>
      <c r="AF724">
        <f t="shared" si="212"/>
        <v>0</v>
      </c>
      <c r="AG724">
        <f t="shared" si="213"/>
        <v>0</v>
      </c>
      <c r="AH724">
        <f t="shared" si="214"/>
        <v>1</v>
      </c>
      <c r="AI724">
        <f t="shared" si="215"/>
        <v>0</v>
      </c>
    </row>
    <row r="725" spans="1:35" x14ac:dyDescent="0.2">
      <c r="A725">
        <v>282</v>
      </c>
      <c r="B725" t="s">
        <v>16</v>
      </c>
      <c r="C725">
        <v>8</v>
      </c>
      <c r="D725" t="s">
        <v>2129</v>
      </c>
      <c r="E725" t="s">
        <v>39</v>
      </c>
      <c r="F725" t="s">
        <v>20</v>
      </c>
      <c r="G725" t="s">
        <v>19</v>
      </c>
      <c r="H725" t="s">
        <v>18</v>
      </c>
      <c r="I725">
        <v>9</v>
      </c>
      <c r="J725">
        <v>6</v>
      </c>
      <c r="K725">
        <v>25</v>
      </c>
      <c r="L725" t="s">
        <v>47</v>
      </c>
      <c r="M725" t="s">
        <v>80</v>
      </c>
      <c r="N725" t="s">
        <v>24</v>
      </c>
      <c r="O725" t="s">
        <v>2130</v>
      </c>
      <c r="P725" t="s">
        <v>2131</v>
      </c>
      <c r="Q725">
        <f t="shared" si="198"/>
        <v>5</v>
      </c>
      <c r="R725">
        <f t="shared" si="199"/>
        <v>2</v>
      </c>
      <c r="S725">
        <f t="shared" si="200"/>
        <v>3</v>
      </c>
      <c r="T725">
        <f t="shared" si="201"/>
        <v>4</v>
      </c>
      <c r="U725">
        <v>25</v>
      </c>
      <c r="V725">
        <f t="shared" si="202"/>
        <v>0</v>
      </c>
      <c r="W725">
        <f t="shared" si="203"/>
        <v>0</v>
      </c>
      <c r="X725">
        <f t="shared" si="204"/>
        <v>1</v>
      </c>
      <c r="Y725">
        <f t="shared" si="205"/>
        <v>0</v>
      </c>
      <c r="Z725">
        <f t="shared" si="206"/>
        <v>1</v>
      </c>
      <c r="AA725">
        <f t="shared" si="207"/>
        <v>1</v>
      </c>
      <c r="AB725">
        <f t="shared" si="208"/>
        <v>1</v>
      </c>
      <c r="AC725">
        <f t="shared" si="209"/>
        <v>0</v>
      </c>
      <c r="AD725">
        <f t="shared" si="210"/>
        <v>0</v>
      </c>
      <c r="AE725">
        <f t="shared" si="211"/>
        <v>1</v>
      </c>
      <c r="AF725">
        <f t="shared" si="212"/>
        <v>0</v>
      </c>
      <c r="AG725">
        <f t="shared" si="213"/>
        <v>0</v>
      </c>
      <c r="AH725">
        <f t="shared" si="214"/>
        <v>1</v>
      </c>
      <c r="AI725">
        <f t="shared" si="215"/>
        <v>0</v>
      </c>
    </row>
    <row r="726" spans="1:35" x14ac:dyDescent="0.2">
      <c r="A726">
        <v>283</v>
      </c>
      <c r="B726" t="s">
        <v>16</v>
      </c>
      <c r="C726">
        <v>7</v>
      </c>
      <c r="D726" t="s">
        <v>2132</v>
      </c>
      <c r="E726" t="s">
        <v>18</v>
      </c>
      <c r="F726" t="s">
        <v>20</v>
      </c>
      <c r="G726" t="s">
        <v>19</v>
      </c>
      <c r="H726" t="s">
        <v>19</v>
      </c>
      <c r="I726">
        <v>2</v>
      </c>
      <c r="J726">
        <v>2</v>
      </c>
      <c r="K726" t="s">
        <v>2133</v>
      </c>
      <c r="L726" t="s">
        <v>70</v>
      </c>
      <c r="M726" t="s">
        <v>135</v>
      </c>
      <c r="N726" t="s">
        <v>24</v>
      </c>
      <c r="O726" t="s">
        <v>2134</v>
      </c>
      <c r="P726" t="s">
        <v>2135</v>
      </c>
      <c r="Q726">
        <f t="shared" si="198"/>
        <v>4</v>
      </c>
      <c r="R726">
        <f t="shared" si="199"/>
        <v>2</v>
      </c>
      <c r="S726">
        <f t="shared" si="200"/>
        <v>3</v>
      </c>
      <c r="T726">
        <f t="shared" si="201"/>
        <v>3</v>
      </c>
      <c r="U726">
        <v>1000</v>
      </c>
      <c r="V726">
        <f t="shared" si="202"/>
        <v>0</v>
      </c>
      <c r="W726">
        <f t="shared" si="203"/>
        <v>0</v>
      </c>
      <c r="X726">
        <f t="shared" si="204"/>
        <v>0</v>
      </c>
      <c r="Y726">
        <f t="shared" si="205"/>
        <v>1</v>
      </c>
      <c r="Z726">
        <f t="shared" si="206"/>
        <v>0</v>
      </c>
      <c r="AA726">
        <f t="shared" si="207"/>
        <v>1</v>
      </c>
      <c r="AB726">
        <f t="shared" si="208"/>
        <v>1</v>
      </c>
      <c r="AC726">
        <f t="shared" si="209"/>
        <v>0</v>
      </c>
      <c r="AD726">
        <f t="shared" si="210"/>
        <v>0</v>
      </c>
      <c r="AE726">
        <f t="shared" si="211"/>
        <v>0</v>
      </c>
      <c r="AF726">
        <f t="shared" si="212"/>
        <v>0</v>
      </c>
      <c r="AG726">
        <f t="shared" si="213"/>
        <v>0</v>
      </c>
      <c r="AH726">
        <f t="shared" si="214"/>
        <v>1</v>
      </c>
      <c r="AI726">
        <f t="shared" si="215"/>
        <v>0</v>
      </c>
    </row>
    <row r="727" spans="1:35" x14ac:dyDescent="0.2">
      <c r="A727">
        <v>284</v>
      </c>
      <c r="B727" t="s">
        <v>16</v>
      </c>
      <c r="C727">
        <v>7</v>
      </c>
      <c r="D727" t="s">
        <v>2136</v>
      </c>
      <c r="E727" t="s">
        <v>19</v>
      </c>
      <c r="F727" t="s">
        <v>20</v>
      </c>
      <c r="G727" t="s">
        <v>20</v>
      </c>
      <c r="H727" t="s">
        <v>18</v>
      </c>
      <c r="I727">
        <v>5</v>
      </c>
      <c r="J727">
        <v>6</v>
      </c>
      <c r="K727">
        <v>15</v>
      </c>
      <c r="L727" t="s">
        <v>128</v>
      </c>
      <c r="M727" t="s">
        <v>42</v>
      </c>
      <c r="N727" t="s">
        <v>147</v>
      </c>
      <c r="O727" t="s">
        <v>141</v>
      </c>
      <c r="P727" t="s">
        <v>2137</v>
      </c>
      <c r="Q727">
        <f t="shared" si="198"/>
        <v>3</v>
      </c>
      <c r="R727">
        <f t="shared" si="199"/>
        <v>2</v>
      </c>
      <c r="S727">
        <f t="shared" si="200"/>
        <v>2</v>
      </c>
      <c r="T727">
        <f t="shared" si="201"/>
        <v>4</v>
      </c>
      <c r="U727">
        <v>15</v>
      </c>
      <c r="V727">
        <f t="shared" si="202"/>
        <v>1</v>
      </c>
      <c r="W727">
        <f t="shared" si="203"/>
        <v>0</v>
      </c>
      <c r="X727">
        <f t="shared" si="204"/>
        <v>1</v>
      </c>
      <c r="Y727">
        <f t="shared" si="205"/>
        <v>0</v>
      </c>
      <c r="Z727">
        <f t="shared" si="206"/>
        <v>0</v>
      </c>
      <c r="AA727">
        <f t="shared" si="207"/>
        <v>0</v>
      </c>
      <c r="AB727">
        <f t="shared" si="208"/>
        <v>1</v>
      </c>
      <c r="AC727">
        <f t="shared" si="209"/>
        <v>0</v>
      </c>
      <c r="AD727">
        <f t="shared" si="210"/>
        <v>0</v>
      </c>
      <c r="AE727">
        <f t="shared" si="211"/>
        <v>0</v>
      </c>
      <c r="AF727">
        <f t="shared" si="212"/>
        <v>0</v>
      </c>
      <c r="AG727">
        <f t="shared" si="213"/>
        <v>0</v>
      </c>
      <c r="AH727">
        <f t="shared" si="214"/>
        <v>1</v>
      </c>
      <c r="AI727">
        <f t="shared" si="215"/>
        <v>1</v>
      </c>
    </row>
    <row r="728" spans="1:35" x14ac:dyDescent="0.2">
      <c r="A728">
        <v>285</v>
      </c>
      <c r="B728" t="s">
        <v>16</v>
      </c>
      <c r="C728">
        <v>8</v>
      </c>
      <c r="D728" t="s">
        <v>2138</v>
      </c>
      <c r="E728" t="s">
        <v>18</v>
      </c>
      <c r="F728" t="s">
        <v>20</v>
      </c>
      <c r="G728" t="s">
        <v>20</v>
      </c>
      <c r="H728" t="s">
        <v>18</v>
      </c>
      <c r="I728">
        <v>4</v>
      </c>
      <c r="J728">
        <v>4</v>
      </c>
      <c r="K728">
        <v>1000</v>
      </c>
      <c r="L728" t="s">
        <v>53</v>
      </c>
      <c r="M728" t="s">
        <v>35</v>
      </c>
      <c r="N728" t="s">
        <v>24</v>
      </c>
      <c r="O728" t="s">
        <v>2139</v>
      </c>
      <c r="P728" t="s">
        <v>2140</v>
      </c>
      <c r="Q728">
        <f t="shared" si="198"/>
        <v>4</v>
      </c>
      <c r="R728">
        <f t="shared" si="199"/>
        <v>2</v>
      </c>
      <c r="S728">
        <f t="shared" si="200"/>
        <v>2</v>
      </c>
      <c r="T728">
        <f t="shared" si="201"/>
        <v>4</v>
      </c>
      <c r="U728">
        <v>1000</v>
      </c>
      <c r="V728">
        <f t="shared" si="202"/>
        <v>0</v>
      </c>
      <c r="W728">
        <f t="shared" si="203"/>
        <v>0</v>
      </c>
      <c r="X728">
        <f t="shared" si="204"/>
        <v>1</v>
      </c>
      <c r="Y728">
        <f t="shared" si="205"/>
        <v>0</v>
      </c>
      <c r="Z728">
        <f t="shared" si="206"/>
        <v>0</v>
      </c>
      <c r="AA728">
        <f t="shared" si="207"/>
        <v>0</v>
      </c>
      <c r="AB728">
        <f t="shared" si="208"/>
        <v>0</v>
      </c>
      <c r="AC728">
        <f t="shared" si="209"/>
        <v>0</v>
      </c>
      <c r="AD728">
        <f t="shared" si="210"/>
        <v>1</v>
      </c>
      <c r="AE728">
        <f t="shared" si="211"/>
        <v>0</v>
      </c>
      <c r="AF728">
        <f t="shared" si="212"/>
        <v>0</v>
      </c>
      <c r="AG728">
        <f t="shared" si="213"/>
        <v>0</v>
      </c>
      <c r="AH728">
        <f t="shared" si="214"/>
        <v>1</v>
      </c>
      <c r="AI728">
        <f t="shared" si="215"/>
        <v>0</v>
      </c>
    </row>
    <row r="729" spans="1:35" x14ac:dyDescent="0.2">
      <c r="A729">
        <v>286</v>
      </c>
      <c r="B729" t="s">
        <v>16</v>
      </c>
      <c r="C729">
        <v>5</v>
      </c>
      <c r="D729" t="s">
        <v>2141</v>
      </c>
      <c r="E729" t="s">
        <v>18</v>
      </c>
      <c r="F729" t="s">
        <v>19</v>
      </c>
      <c r="G729" t="s">
        <v>19</v>
      </c>
      <c r="H729" t="s">
        <v>18</v>
      </c>
      <c r="I729">
        <v>5</v>
      </c>
      <c r="J729">
        <v>4</v>
      </c>
      <c r="K729" s="1">
        <v>25</v>
      </c>
      <c r="L729" t="s">
        <v>22</v>
      </c>
      <c r="M729" t="s">
        <v>115</v>
      </c>
      <c r="N729" t="s">
        <v>49</v>
      </c>
      <c r="O729" t="s">
        <v>2142</v>
      </c>
      <c r="P729" t="s">
        <v>2143</v>
      </c>
      <c r="Q729">
        <f t="shared" si="198"/>
        <v>4</v>
      </c>
      <c r="R729">
        <f t="shared" si="199"/>
        <v>3</v>
      </c>
      <c r="S729">
        <f t="shared" si="200"/>
        <v>3</v>
      </c>
      <c r="T729">
        <f t="shared" si="201"/>
        <v>4</v>
      </c>
      <c r="U729">
        <v>25</v>
      </c>
      <c r="V729">
        <f t="shared" si="202"/>
        <v>1</v>
      </c>
      <c r="W729">
        <f t="shared" si="203"/>
        <v>0</v>
      </c>
      <c r="X729">
        <f t="shared" si="204"/>
        <v>0</v>
      </c>
      <c r="Y729">
        <f t="shared" si="205"/>
        <v>0</v>
      </c>
      <c r="Z729">
        <f t="shared" si="206"/>
        <v>0</v>
      </c>
      <c r="AA729">
        <f t="shared" si="207"/>
        <v>0</v>
      </c>
      <c r="AB729">
        <f t="shared" si="208"/>
        <v>0</v>
      </c>
      <c r="AC729">
        <f t="shared" si="209"/>
        <v>1</v>
      </c>
      <c r="AD729">
        <f t="shared" si="210"/>
        <v>0</v>
      </c>
      <c r="AE729">
        <f t="shared" si="211"/>
        <v>0</v>
      </c>
      <c r="AF729">
        <f t="shared" si="212"/>
        <v>0</v>
      </c>
      <c r="AG729">
        <f t="shared" si="213"/>
        <v>1</v>
      </c>
      <c r="AH729">
        <f t="shared" si="214"/>
        <v>1</v>
      </c>
      <c r="AI729">
        <f t="shared" si="215"/>
        <v>0</v>
      </c>
    </row>
    <row r="730" spans="1:35" x14ac:dyDescent="0.2">
      <c r="A730">
        <v>287</v>
      </c>
      <c r="B730" t="s">
        <v>16</v>
      </c>
      <c r="C730">
        <v>8</v>
      </c>
      <c r="D730" t="s">
        <v>2144</v>
      </c>
      <c r="E730" t="s">
        <v>18</v>
      </c>
      <c r="F730" t="s">
        <v>20</v>
      </c>
      <c r="G730" t="s">
        <v>20</v>
      </c>
      <c r="H730" t="s">
        <v>39</v>
      </c>
      <c r="I730">
        <v>6</v>
      </c>
      <c r="J730">
        <v>4</v>
      </c>
      <c r="K730">
        <v>15</v>
      </c>
      <c r="L730" t="s">
        <v>22</v>
      </c>
      <c r="M730" t="s">
        <v>268</v>
      </c>
      <c r="N730" t="s">
        <v>24</v>
      </c>
      <c r="O730" t="s">
        <v>402</v>
      </c>
      <c r="P730" t="s">
        <v>2145</v>
      </c>
      <c r="Q730">
        <f t="shared" si="198"/>
        <v>4</v>
      </c>
      <c r="R730">
        <f t="shared" si="199"/>
        <v>2</v>
      </c>
      <c r="S730">
        <f t="shared" si="200"/>
        <v>2</v>
      </c>
      <c r="T730">
        <f t="shared" si="201"/>
        <v>5</v>
      </c>
      <c r="U730">
        <v>15</v>
      </c>
      <c r="V730">
        <f t="shared" si="202"/>
        <v>1</v>
      </c>
      <c r="W730">
        <f t="shared" si="203"/>
        <v>0</v>
      </c>
      <c r="X730">
        <f t="shared" si="204"/>
        <v>0</v>
      </c>
      <c r="Y730">
        <f t="shared" si="205"/>
        <v>0</v>
      </c>
      <c r="Z730">
        <f t="shared" si="206"/>
        <v>0</v>
      </c>
      <c r="AA730">
        <f t="shared" si="207"/>
        <v>1</v>
      </c>
      <c r="AB730">
        <f t="shared" si="208"/>
        <v>1</v>
      </c>
      <c r="AC730">
        <f t="shared" si="209"/>
        <v>0</v>
      </c>
      <c r="AD730">
        <f t="shared" si="210"/>
        <v>1</v>
      </c>
      <c r="AE730">
        <f t="shared" si="211"/>
        <v>0</v>
      </c>
      <c r="AF730">
        <f t="shared" si="212"/>
        <v>0</v>
      </c>
      <c r="AG730">
        <f t="shared" si="213"/>
        <v>0</v>
      </c>
      <c r="AH730">
        <f t="shared" si="214"/>
        <v>1</v>
      </c>
      <c r="AI730">
        <f t="shared" si="215"/>
        <v>0</v>
      </c>
    </row>
    <row r="731" spans="1:35" x14ac:dyDescent="0.2">
      <c r="A731">
        <v>288</v>
      </c>
      <c r="B731" t="s">
        <v>16</v>
      </c>
      <c r="C731">
        <v>8</v>
      </c>
      <c r="D731" t="s">
        <v>2146</v>
      </c>
      <c r="E731" t="s">
        <v>18</v>
      </c>
      <c r="F731" t="s">
        <v>21</v>
      </c>
      <c r="G731" t="s">
        <v>19</v>
      </c>
      <c r="H731" t="s">
        <v>18</v>
      </c>
      <c r="I731">
        <v>3</v>
      </c>
      <c r="J731">
        <v>7</v>
      </c>
      <c r="K731">
        <v>5</v>
      </c>
      <c r="L731" t="s">
        <v>41</v>
      </c>
      <c r="M731" t="s">
        <v>23</v>
      </c>
      <c r="N731" t="s">
        <v>24</v>
      </c>
      <c r="O731" t="s">
        <v>409</v>
      </c>
      <c r="P731" t="s">
        <v>2147</v>
      </c>
      <c r="Q731">
        <f t="shared" si="198"/>
        <v>4</v>
      </c>
      <c r="R731">
        <f t="shared" si="199"/>
        <v>1</v>
      </c>
      <c r="S731">
        <f t="shared" si="200"/>
        <v>3</v>
      </c>
      <c r="T731">
        <f t="shared" si="201"/>
        <v>4</v>
      </c>
      <c r="U731">
        <v>5</v>
      </c>
      <c r="V731">
        <f t="shared" si="202"/>
        <v>0</v>
      </c>
      <c r="W731">
        <f t="shared" si="203"/>
        <v>0</v>
      </c>
      <c r="X731">
        <f t="shared" si="204"/>
        <v>0</v>
      </c>
      <c r="Y731">
        <f t="shared" si="205"/>
        <v>0</v>
      </c>
      <c r="Z731">
        <f t="shared" si="206"/>
        <v>1</v>
      </c>
      <c r="AA731">
        <f t="shared" si="207"/>
        <v>1</v>
      </c>
      <c r="AB731">
        <f t="shared" si="208"/>
        <v>0</v>
      </c>
      <c r="AC731">
        <f t="shared" si="209"/>
        <v>0</v>
      </c>
      <c r="AD731">
        <f t="shared" si="210"/>
        <v>0</v>
      </c>
      <c r="AE731">
        <f t="shared" si="211"/>
        <v>0</v>
      </c>
      <c r="AF731">
        <f t="shared" si="212"/>
        <v>0</v>
      </c>
      <c r="AG731">
        <f t="shared" si="213"/>
        <v>0</v>
      </c>
      <c r="AH731">
        <f t="shared" si="214"/>
        <v>1</v>
      </c>
      <c r="AI731">
        <f t="shared" si="215"/>
        <v>0</v>
      </c>
    </row>
    <row r="732" spans="1:35" x14ac:dyDescent="0.2">
      <c r="A732">
        <v>289</v>
      </c>
      <c r="B732" t="s">
        <v>16</v>
      </c>
      <c r="C732">
        <v>10</v>
      </c>
      <c r="D732" t="s">
        <v>2148</v>
      </c>
      <c r="E732" t="s">
        <v>21</v>
      </c>
      <c r="F732" t="s">
        <v>39</v>
      </c>
      <c r="G732" t="s">
        <v>39</v>
      </c>
      <c r="H732" t="s">
        <v>21</v>
      </c>
      <c r="I732">
        <v>4</v>
      </c>
      <c r="J732">
        <v>5</v>
      </c>
      <c r="K732">
        <v>100000</v>
      </c>
      <c r="L732" t="s">
        <v>41</v>
      </c>
      <c r="M732" t="s">
        <v>23</v>
      </c>
      <c r="N732" t="s">
        <v>651</v>
      </c>
      <c r="O732" t="s">
        <v>2149</v>
      </c>
      <c r="P732" t="s">
        <v>2150</v>
      </c>
      <c r="Q732">
        <f t="shared" si="198"/>
        <v>1</v>
      </c>
      <c r="R732">
        <f t="shared" si="199"/>
        <v>5</v>
      </c>
      <c r="S732">
        <f t="shared" si="200"/>
        <v>5</v>
      </c>
      <c r="T732">
        <f t="shared" si="201"/>
        <v>1</v>
      </c>
      <c r="U732">
        <v>100000</v>
      </c>
      <c r="V732">
        <f t="shared" si="202"/>
        <v>0</v>
      </c>
      <c r="W732">
        <f t="shared" si="203"/>
        <v>0</v>
      </c>
      <c r="X732">
        <f t="shared" si="204"/>
        <v>0</v>
      </c>
      <c r="Y732">
        <f t="shared" si="205"/>
        <v>0</v>
      </c>
      <c r="Z732">
        <f t="shared" si="206"/>
        <v>1</v>
      </c>
      <c r="AA732">
        <f t="shared" si="207"/>
        <v>1</v>
      </c>
      <c r="AB732">
        <f t="shared" si="208"/>
        <v>0</v>
      </c>
      <c r="AC732">
        <f t="shared" si="209"/>
        <v>0</v>
      </c>
      <c r="AD732">
        <f t="shared" si="210"/>
        <v>0</v>
      </c>
      <c r="AE732">
        <f t="shared" si="211"/>
        <v>0</v>
      </c>
      <c r="AF732">
        <f t="shared" si="212"/>
        <v>1</v>
      </c>
      <c r="AG732">
        <f t="shared" si="213"/>
        <v>0</v>
      </c>
      <c r="AH732">
        <f t="shared" si="214"/>
        <v>1</v>
      </c>
      <c r="AI732">
        <f t="shared" si="215"/>
        <v>0</v>
      </c>
    </row>
    <row r="733" spans="1:35" x14ac:dyDescent="0.2">
      <c r="A733">
        <v>290</v>
      </c>
      <c r="B733" t="s">
        <v>16</v>
      </c>
      <c r="C733">
        <v>9</v>
      </c>
      <c r="D733" t="s">
        <v>2151</v>
      </c>
      <c r="E733" t="s">
        <v>18</v>
      </c>
      <c r="F733" t="s">
        <v>20</v>
      </c>
      <c r="G733" t="s">
        <v>19</v>
      </c>
      <c r="H733" t="s">
        <v>18</v>
      </c>
      <c r="I733">
        <v>4</v>
      </c>
      <c r="J733">
        <v>7</v>
      </c>
      <c r="K733">
        <v>5000</v>
      </c>
      <c r="L733" t="s">
        <v>98</v>
      </c>
      <c r="M733" t="s">
        <v>23</v>
      </c>
      <c r="N733" t="s">
        <v>84</v>
      </c>
      <c r="O733" t="s">
        <v>2152</v>
      </c>
      <c r="P733" t="s">
        <v>2153</v>
      </c>
      <c r="Q733">
        <f t="shared" si="198"/>
        <v>4</v>
      </c>
      <c r="R733">
        <f t="shared" si="199"/>
        <v>2</v>
      </c>
      <c r="S733">
        <f t="shared" si="200"/>
        <v>3</v>
      </c>
      <c r="T733">
        <f t="shared" si="201"/>
        <v>4</v>
      </c>
      <c r="U733">
        <v>5000</v>
      </c>
      <c r="V733">
        <f t="shared" si="202"/>
        <v>0</v>
      </c>
      <c r="W733">
        <f t="shared" si="203"/>
        <v>1</v>
      </c>
      <c r="X733">
        <f t="shared" si="204"/>
        <v>0</v>
      </c>
      <c r="Y733">
        <f t="shared" si="205"/>
        <v>0</v>
      </c>
      <c r="Z733">
        <f t="shared" si="206"/>
        <v>0</v>
      </c>
      <c r="AA733">
        <f t="shared" si="207"/>
        <v>1</v>
      </c>
      <c r="AB733">
        <f t="shared" si="208"/>
        <v>0</v>
      </c>
      <c r="AC733">
        <f t="shared" si="209"/>
        <v>0</v>
      </c>
      <c r="AD733">
        <f t="shared" si="210"/>
        <v>0</v>
      </c>
      <c r="AE733">
        <f t="shared" si="211"/>
        <v>0</v>
      </c>
      <c r="AF733">
        <f t="shared" si="212"/>
        <v>0</v>
      </c>
      <c r="AG733">
        <f t="shared" si="213"/>
        <v>1</v>
      </c>
      <c r="AH733">
        <f t="shared" si="214"/>
        <v>0</v>
      </c>
      <c r="AI733">
        <f t="shared" si="215"/>
        <v>0</v>
      </c>
    </row>
    <row r="734" spans="1:35" x14ac:dyDescent="0.2">
      <c r="A734">
        <v>291</v>
      </c>
      <c r="B734" t="s">
        <v>16</v>
      </c>
      <c r="C734">
        <v>8</v>
      </c>
      <c r="D734" t="s">
        <v>2154</v>
      </c>
      <c r="E734" t="s">
        <v>18</v>
      </c>
      <c r="F734" t="s">
        <v>20</v>
      </c>
      <c r="G734" t="s">
        <v>20</v>
      </c>
      <c r="H734" t="s">
        <v>18</v>
      </c>
      <c r="I734">
        <v>5</v>
      </c>
      <c r="J734">
        <v>4</v>
      </c>
      <c r="K734">
        <v>100</v>
      </c>
      <c r="L734" t="s">
        <v>75</v>
      </c>
      <c r="M734" t="s">
        <v>23</v>
      </c>
      <c r="N734" t="s">
        <v>36</v>
      </c>
      <c r="O734" t="s">
        <v>2155</v>
      </c>
      <c r="P734" t="s">
        <v>2156</v>
      </c>
      <c r="Q734">
        <f t="shared" si="198"/>
        <v>4</v>
      </c>
      <c r="R734">
        <f t="shared" si="199"/>
        <v>2</v>
      </c>
      <c r="S734">
        <f t="shared" si="200"/>
        <v>2</v>
      </c>
      <c r="T734">
        <f t="shared" si="201"/>
        <v>4</v>
      </c>
      <c r="U734">
        <v>100</v>
      </c>
      <c r="V734">
        <f t="shared" si="202"/>
        <v>0</v>
      </c>
      <c r="W734">
        <f t="shared" si="203"/>
        <v>0</v>
      </c>
      <c r="X734">
        <f t="shared" si="204"/>
        <v>1</v>
      </c>
      <c r="Y734">
        <f t="shared" si="205"/>
        <v>1</v>
      </c>
      <c r="Z734">
        <f t="shared" si="206"/>
        <v>0</v>
      </c>
      <c r="AA734">
        <f t="shared" si="207"/>
        <v>1</v>
      </c>
      <c r="AB734">
        <f t="shared" si="208"/>
        <v>0</v>
      </c>
      <c r="AC734">
        <f t="shared" si="209"/>
        <v>0</v>
      </c>
      <c r="AD734">
        <f t="shared" si="210"/>
        <v>0</v>
      </c>
      <c r="AE734">
        <f t="shared" si="211"/>
        <v>0</v>
      </c>
      <c r="AF734">
        <f t="shared" si="212"/>
        <v>0</v>
      </c>
      <c r="AG734">
        <f t="shared" si="213"/>
        <v>0</v>
      </c>
      <c r="AH734">
        <f t="shared" si="214"/>
        <v>0</v>
      </c>
      <c r="AI734">
        <f t="shared" si="215"/>
        <v>1</v>
      </c>
    </row>
    <row r="735" spans="1:35" x14ac:dyDescent="0.2">
      <c r="A735">
        <v>292</v>
      </c>
      <c r="B735" t="s">
        <v>16</v>
      </c>
      <c r="C735">
        <v>5</v>
      </c>
      <c r="D735" t="s">
        <v>2157</v>
      </c>
      <c r="E735" t="s">
        <v>39</v>
      </c>
      <c r="F735" t="s">
        <v>20</v>
      </c>
      <c r="G735" t="s">
        <v>20</v>
      </c>
      <c r="H735" t="s">
        <v>39</v>
      </c>
      <c r="I735">
        <v>4</v>
      </c>
      <c r="J735">
        <v>5</v>
      </c>
      <c r="K735">
        <v>0</v>
      </c>
      <c r="L735" t="s">
        <v>22</v>
      </c>
      <c r="M735" t="s">
        <v>219</v>
      </c>
      <c r="N735" t="s">
        <v>84</v>
      </c>
      <c r="O735" t="s">
        <v>2158</v>
      </c>
      <c r="P735" t="s">
        <v>2159</v>
      </c>
      <c r="Q735">
        <f t="shared" si="198"/>
        <v>5</v>
      </c>
      <c r="R735">
        <f t="shared" si="199"/>
        <v>2</v>
      </c>
      <c r="S735">
        <f t="shared" si="200"/>
        <v>2</v>
      </c>
      <c r="T735">
        <f t="shared" si="201"/>
        <v>5</v>
      </c>
      <c r="U735">
        <v>0</v>
      </c>
      <c r="V735">
        <f t="shared" si="202"/>
        <v>1</v>
      </c>
      <c r="W735">
        <f t="shared" si="203"/>
        <v>0</v>
      </c>
      <c r="X735">
        <f t="shared" si="204"/>
        <v>0</v>
      </c>
      <c r="Y735">
        <f t="shared" si="205"/>
        <v>0</v>
      </c>
      <c r="Z735">
        <f t="shared" si="206"/>
        <v>0</v>
      </c>
      <c r="AA735">
        <f t="shared" si="207"/>
        <v>0</v>
      </c>
      <c r="AB735">
        <f t="shared" si="208"/>
        <v>0</v>
      </c>
      <c r="AC735">
        <f t="shared" si="209"/>
        <v>0</v>
      </c>
      <c r="AD735">
        <f t="shared" si="210"/>
        <v>0</v>
      </c>
      <c r="AE735">
        <f t="shared" si="211"/>
        <v>1</v>
      </c>
      <c r="AF735">
        <f t="shared" si="212"/>
        <v>0</v>
      </c>
      <c r="AG735">
        <f t="shared" si="213"/>
        <v>1</v>
      </c>
      <c r="AH735">
        <f t="shared" si="214"/>
        <v>0</v>
      </c>
      <c r="AI735">
        <f t="shared" si="215"/>
        <v>0</v>
      </c>
    </row>
    <row r="736" spans="1:35" x14ac:dyDescent="0.2">
      <c r="A736">
        <v>293</v>
      </c>
      <c r="B736" t="s">
        <v>16</v>
      </c>
      <c r="C736">
        <v>8</v>
      </c>
      <c r="D736" t="s">
        <v>2160</v>
      </c>
      <c r="E736" t="s">
        <v>39</v>
      </c>
      <c r="F736" t="s">
        <v>19</v>
      </c>
      <c r="G736" t="s">
        <v>20</v>
      </c>
      <c r="H736" t="s">
        <v>19</v>
      </c>
      <c r="I736">
        <v>3</v>
      </c>
      <c r="J736">
        <v>5</v>
      </c>
      <c r="K736" s="1">
        <v>60</v>
      </c>
      <c r="L736" t="s">
        <v>53</v>
      </c>
      <c r="M736" t="s">
        <v>23</v>
      </c>
      <c r="N736" t="s">
        <v>49</v>
      </c>
      <c r="O736" t="s">
        <v>2161</v>
      </c>
      <c r="P736" t="s">
        <v>2162</v>
      </c>
      <c r="Q736">
        <f t="shared" si="198"/>
        <v>5</v>
      </c>
      <c r="R736">
        <f t="shared" si="199"/>
        <v>3</v>
      </c>
      <c r="S736">
        <f t="shared" si="200"/>
        <v>2</v>
      </c>
      <c r="T736">
        <f t="shared" si="201"/>
        <v>3</v>
      </c>
      <c r="U736">
        <v>60</v>
      </c>
      <c r="V736">
        <f t="shared" si="202"/>
        <v>0</v>
      </c>
      <c r="W736">
        <f t="shared" si="203"/>
        <v>0</v>
      </c>
      <c r="X736">
        <f t="shared" si="204"/>
        <v>1</v>
      </c>
      <c r="Y736">
        <f t="shared" si="205"/>
        <v>0</v>
      </c>
      <c r="Z736">
        <f t="shared" si="206"/>
        <v>0</v>
      </c>
      <c r="AA736">
        <f t="shared" si="207"/>
        <v>1</v>
      </c>
      <c r="AB736">
        <f t="shared" si="208"/>
        <v>0</v>
      </c>
      <c r="AC736">
        <f t="shared" si="209"/>
        <v>0</v>
      </c>
      <c r="AD736">
        <f t="shared" si="210"/>
        <v>0</v>
      </c>
      <c r="AE736">
        <f t="shared" si="211"/>
        <v>0</v>
      </c>
      <c r="AF736">
        <f t="shared" si="212"/>
        <v>0</v>
      </c>
      <c r="AG736">
        <f t="shared" si="213"/>
        <v>1</v>
      </c>
      <c r="AH736">
        <f t="shared" si="214"/>
        <v>1</v>
      </c>
      <c r="AI736">
        <f t="shared" si="215"/>
        <v>0</v>
      </c>
    </row>
    <row r="737" spans="1:35" x14ac:dyDescent="0.2">
      <c r="A737">
        <v>294</v>
      </c>
      <c r="B737" t="s">
        <v>16</v>
      </c>
      <c r="C737">
        <v>7</v>
      </c>
      <c r="D737" t="s">
        <v>2163</v>
      </c>
      <c r="E737" t="s">
        <v>18</v>
      </c>
      <c r="F737" t="s">
        <v>19</v>
      </c>
      <c r="G737" t="s">
        <v>18</v>
      </c>
      <c r="H737" t="s">
        <v>18</v>
      </c>
      <c r="I737">
        <v>4</v>
      </c>
      <c r="J737">
        <v>5</v>
      </c>
      <c r="K737" s="1">
        <v>1000</v>
      </c>
      <c r="L737" t="s">
        <v>98</v>
      </c>
      <c r="M737" t="s">
        <v>99</v>
      </c>
      <c r="N737" t="s">
        <v>84</v>
      </c>
      <c r="O737" t="s">
        <v>2164</v>
      </c>
      <c r="P737" t="s">
        <v>2165</v>
      </c>
      <c r="Q737">
        <f t="shared" si="198"/>
        <v>4</v>
      </c>
      <c r="R737">
        <f t="shared" si="199"/>
        <v>3</v>
      </c>
      <c r="S737">
        <f t="shared" si="200"/>
        <v>4</v>
      </c>
      <c r="T737">
        <f t="shared" si="201"/>
        <v>4</v>
      </c>
      <c r="U737">
        <v>1000</v>
      </c>
      <c r="V737">
        <f t="shared" si="202"/>
        <v>0</v>
      </c>
      <c r="W737">
        <f t="shared" si="203"/>
        <v>1</v>
      </c>
      <c r="X737">
        <f t="shared" si="204"/>
        <v>0</v>
      </c>
      <c r="Y737">
        <f t="shared" si="205"/>
        <v>0</v>
      </c>
      <c r="Z737">
        <f t="shared" si="206"/>
        <v>0</v>
      </c>
      <c r="AA737">
        <f t="shared" si="207"/>
        <v>1</v>
      </c>
      <c r="AB737">
        <f t="shared" si="208"/>
        <v>0</v>
      </c>
      <c r="AC737">
        <f t="shared" si="209"/>
        <v>0</v>
      </c>
      <c r="AD737">
        <f t="shared" si="210"/>
        <v>0</v>
      </c>
      <c r="AE737">
        <f t="shared" si="211"/>
        <v>1</v>
      </c>
      <c r="AF737">
        <f t="shared" si="212"/>
        <v>0</v>
      </c>
      <c r="AG737">
        <f t="shared" si="213"/>
        <v>1</v>
      </c>
      <c r="AH737">
        <f t="shared" si="214"/>
        <v>0</v>
      </c>
      <c r="AI737">
        <f t="shared" si="215"/>
        <v>0</v>
      </c>
    </row>
    <row r="738" spans="1:35" x14ac:dyDescent="0.2">
      <c r="A738">
        <v>295</v>
      </c>
      <c r="B738" t="s">
        <v>16</v>
      </c>
      <c r="C738">
        <v>5</v>
      </c>
      <c r="D738" t="s">
        <v>2166</v>
      </c>
      <c r="E738" t="s">
        <v>18</v>
      </c>
      <c r="F738" t="s">
        <v>21</v>
      </c>
      <c r="G738" t="s">
        <v>20</v>
      </c>
      <c r="H738" t="s">
        <v>18</v>
      </c>
      <c r="I738">
        <v>5</v>
      </c>
      <c r="J738">
        <v>4</v>
      </c>
      <c r="K738" s="1">
        <v>25</v>
      </c>
      <c r="L738" t="s">
        <v>53</v>
      </c>
      <c r="M738" t="s">
        <v>99</v>
      </c>
      <c r="N738" t="s">
        <v>147</v>
      </c>
      <c r="O738" t="s">
        <v>2167</v>
      </c>
      <c r="P738" t="s">
        <v>2168</v>
      </c>
      <c r="Q738">
        <f t="shared" si="198"/>
        <v>4</v>
      </c>
      <c r="R738">
        <f t="shared" si="199"/>
        <v>1</v>
      </c>
      <c r="S738">
        <f t="shared" si="200"/>
        <v>2</v>
      </c>
      <c r="T738">
        <f t="shared" si="201"/>
        <v>4</v>
      </c>
      <c r="U738">
        <v>25</v>
      </c>
      <c r="V738">
        <f t="shared" si="202"/>
        <v>0</v>
      </c>
      <c r="W738">
        <f t="shared" si="203"/>
        <v>0</v>
      </c>
      <c r="X738">
        <f t="shared" si="204"/>
        <v>1</v>
      </c>
      <c r="Y738">
        <f t="shared" si="205"/>
        <v>0</v>
      </c>
      <c r="Z738">
        <f t="shared" si="206"/>
        <v>0</v>
      </c>
      <c r="AA738">
        <f t="shared" si="207"/>
        <v>1</v>
      </c>
      <c r="AB738">
        <f t="shared" si="208"/>
        <v>0</v>
      </c>
      <c r="AC738">
        <f t="shared" si="209"/>
        <v>0</v>
      </c>
      <c r="AD738">
        <f t="shared" si="210"/>
        <v>0</v>
      </c>
      <c r="AE738">
        <f t="shared" si="211"/>
        <v>1</v>
      </c>
      <c r="AF738">
        <f t="shared" si="212"/>
        <v>0</v>
      </c>
      <c r="AG738">
        <f t="shared" si="213"/>
        <v>0</v>
      </c>
      <c r="AH738">
        <f t="shared" si="214"/>
        <v>1</v>
      </c>
      <c r="AI738">
        <f t="shared" si="215"/>
        <v>1</v>
      </c>
    </row>
    <row r="739" spans="1:35" x14ac:dyDescent="0.2">
      <c r="A739">
        <v>296</v>
      </c>
      <c r="B739" t="s">
        <v>16</v>
      </c>
      <c r="C739">
        <v>9</v>
      </c>
      <c r="D739" t="s">
        <v>2169</v>
      </c>
      <c r="E739" t="s">
        <v>39</v>
      </c>
      <c r="F739" t="s">
        <v>21</v>
      </c>
      <c r="G739" t="s">
        <v>19</v>
      </c>
      <c r="H739" t="s">
        <v>18</v>
      </c>
      <c r="I739">
        <v>5</v>
      </c>
      <c r="J739">
        <v>7</v>
      </c>
      <c r="K739" s="1">
        <v>100</v>
      </c>
      <c r="L739" t="s">
        <v>128</v>
      </c>
      <c r="M739" t="s">
        <v>23</v>
      </c>
      <c r="N739" t="s">
        <v>24</v>
      </c>
      <c r="O739" t="s">
        <v>2170</v>
      </c>
      <c r="P739" t="s">
        <v>2171</v>
      </c>
      <c r="Q739">
        <f t="shared" si="198"/>
        <v>5</v>
      </c>
      <c r="R739">
        <f t="shared" si="199"/>
        <v>1</v>
      </c>
      <c r="S739">
        <f t="shared" si="200"/>
        <v>3</v>
      </c>
      <c r="T739">
        <f t="shared" si="201"/>
        <v>4</v>
      </c>
      <c r="U739">
        <v>100</v>
      </c>
      <c r="V739">
        <f t="shared" si="202"/>
        <v>1</v>
      </c>
      <c r="W739">
        <f t="shared" si="203"/>
        <v>0</v>
      </c>
      <c r="X739">
        <f t="shared" si="204"/>
        <v>1</v>
      </c>
      <c r="Y739">
        <f t="shared" si="205"/>
        <v>0</v>
      </c>
      <c r="Z739">
        <f t="shared" si="206"/>
        <v>0</v>
      </c>
      <c r="AA739">
        <f t="shared" si="207"/>
        <v>1</v>
      </c>
      <c r="AB739">
        <f t="shared" si="208"/>
        <v>0</v>
      </c>
      <c r="AC739">
        <f t="shared" si="209"/>
        <v>0</v>
      </c>
      <c r="AD739">
        <f t="shared" si="210"/>
        <v>0</v>
      </c>
      <c r="AE739">
        <f t="shared" si="211"/>
        <v>0</v>
      </c>
      <c r="AF739">
        <f t="shared" si="212"/>
        <v>0</v>
      </c>
      <c r="AG739">
        <f t="shared" si="213"/>
        <v>0</v>
      </c>
      <c r="AH739">
        <f t="shared" si="214"/>
        <v>1</v>
      </c>
      <c r="AI739">
        <f t="shared" si="215"/>
        <v>0</v>
      </c>
    </row>
    <row r="740" spans="1:35" x14ac:dyDescent="0.2">
      <c r="A740">
        <v>297</v>
      </c>
      <c r="B740" t="s">
        <v>16</v>
      </c>
      <c r="C740">
        <v>5</v>
      </c>
      <c r="D740" t="s">
        <v>2172</v>
      </c>
      <c r="E740" t="s">
        <v>18</v>
      </c>
      <c r="F740" t="s">
        <v>20</v>
      </c>
      <c r="G740" t="s">
        <v>20</v>
      </c>
      <c r="H740" t="s">
        <v>18</v>
      </c>
      <c r="I740">
        <v>4</v>
      </c>
      <c r="J740">
        <v>4</v>
      </c>
      <c r="K740">
        <v>50</v>
      </c>
      <c r="L740" t="s">
        <v>22</v>
      </c>
      <c r="M740" t="s">
        <v>135</v>
      </c>
      <c r="N740" t="s">
        <v>36</v>
      </c>
      <c r="O740" t="s">
        <v>2173</v>
      </c>
      <c r="P740" t="s">
        <v>2174</v>
      </c>
      <c r="Q740">
        <f t="shared" si="198"/>
        <v>4</v>
      </c>
      <c r="R740">
        <f t="shared" si="199"/>
        <v>2</v>
      </c>
      <c r="S740">
        <f t="shared" si="200"/>
        <v>2</v>
      </c>
      <c r="T740">
        <f t="shared" si="201"/>
        <v>4</v>
      </c>
      <c r="U740">
        <v>50</v>
      </c>
      <c r="V740">
        <f t="shared" si="202"/>
        <v>1</v>
      </c>
      <c r="W740">
        <f t="shared" si="203"/>
        <v>0</v>
      </c>
      <c r="X740">
        <f t="shared" si="204"/>
        <v>0</v>
      </c>
      <c r="Y740">
        <f t="shared" si="205"/>
        <v>0</v>
      </c>
      <c r="Z740">
        <f t="shared" si="206"/>
        <v>0</v>
      </c>
      <c r="AA740">
        <f t="shared" si="207"/>
        <v>1</v>
      </c>
      <c r="AB740">
        <f t="shared" si="208"/>
        <v>1</v>
      </c>
      <c r="AC740">
        <f t="shared" si="209"/>
        <v>0</v>
      </c>
      <c r="AD740">
        <f t="shared" si="210"/>
        <v>0</v>
      </c>
      <c r="AE740">
        <f t="shared" si="211"/>
        <v>0</v>
      </c>
      <c r="AF740">
        <f t="shared" si="212"/>
        <v>0</v>
      </c>
      <c r="AG740">
        <f t="shared" si="213"/>
        <v>0</v>
      </c>
      <c r="AH740">
        <f t="shared" si="214"/>
        <v>0</v>
      </c>
      <c r="AI740">
        <f t="shared" si="215"/>
        <v>1</v>
      </c>
    </row>
    <row r="741" spans="1:35" ht="51" x14ac:dyDescent="0.2">
      <c r="A741">
        <v>298</v>
      </c>
      <c r="B741" t="s">
        <v>16</v>
      </c>
      <c r="C741">
        <v>8</v>
      </c>
      <c r="D741" s="3" t="s">
        <v>2175</v>
      </c>
      <c r="E741" t="s">
        <v>18</v>
      </c>
      <c r="F741" t="s">
        <v>19</v>
      </c>
      <c r="G741" t="s">
        <v>19</v>
      </c>
      <c r="H741" t="s">
        <v>18</v>
      </c>
      <c r="I741">
        <v>7</v>
      </c>
      <c r="J741">
        <v>9</v>
      </c>
      <c r="K741" t="s">
        <v>2176</v>
      </c>
      <c r="L741" t="s">
        <v>41</v>
      </c>
      <c r="M741" t="s">
        <v>80</v>
      </c>
      <c r="N741" t="s">
        <v>24</v>
      </c>
      <c r="O741" t="s">
        <v>590</v>
      </c>
      <c r="P741" t="s">
        <v>2177</v>
      </c>
      <c r="Q741">
        <f t="shared" si="198"/>
        <v>4</v>
      </c>
      <c r="R741">
        <f t="shared" si="199"/>
        <v>3</v>
      </c>
      <c r="S741">
        <f t="shared" si="200"/>
        <v>3</v>
      </c>
      <c r="T741">
        <f t="shared" si="201"/>
        <v>4</v>
      </c>
      <c r="V741">
        <f t="shared" si="202"/>
        <v>0</v>
      </c>
      <c r="W741">
        <f t="shared" si="203"/>
        <v>0</v>
      </c>
      <c r="X741">
        <f t="shared" si="204"/>
        <v>0</v>
      </c>
      <c r="Y741">
        <f t="shared" si="205"/>
        <v>0</v>
      </c>
      <c r="Z741">
        <f t="shared" si="206"/>
        <v>1</v>
      </c>
      <c r="AA741">
        <f t="shared" si="207"/>
        <v>1</v>
      </c>
      <c r="AB741">
        <f t="shared" si="208"/>
        <v>1</v>
      </c>
      <c r="AC741">
        <f t="shared" si="209"/>
        <v>0</v>
      </c>
      <c r="AD741">
        <f t="shared" si="210"/>
        <v>0</v>
      </c>
      <c r="AE741">
        <f t="shared" si="211"/>
        <v>1</v>
      </c>
      <c r="AF741">
        <f t="shared" si="212"/>
        <v>0</v>
      </c>
      <c r="AG741">
        <f t="shared" si="213"/>
        <v>0</v>
      </c>
      <c r="AH741">
        <f t="shared" si="214"/>
        <v>1</v>
      </c>
      <c r="AI741">
        <f t="shared" si="215"/>
        <v>0</v>
      </c>
    </row>
    <row r="742" spans="1:35" x14ac:dyDescent="0.2">
      <c r="A742">
        <v>299</v>
      </c>
      <c r="B742" t="s">
        <v>16</v>
      </c>
      <c r="C742">
        <v>3</v>
      </c>
      <c r="D742" t="s">
        <v>2178</v>
      </c>
      <c r="E742" t="s">
        <v>19</v>
      </c>
      <c r="F742" t="s">
        <v>19</v>
      </c>
      <c r="G742" t="s">
        <v>20</v>
      </c>
      <c r="H742" t="s">
        <v>18</v>
      </c>
      <c r="I742">
        <v>4</v>
      </c>
      <c r="J742">
        <v>6</v>
      </c>
      <c r="K742" t="s">
        <v>2179</v>
      </c>
      <c r="L742" t="s">
        <v>47</v>
      </c>
      <c r="M742" t="s">
        <v>48</v>
      </c>
      <c r="N742" t="s">
        <v>43</v>
      </c>
      <c r="O742" t="s">
        <v>2180</v>
      </c>
      <c r="P742" t="s">
        <v>2181</v>
      </c>
      <c r="Q742">
        <f t="shared" si="198"/>
        <v>3</v>
      </c>
      <c r="R742">
        <f t="shared" si="199"/>
        <v>3</v>
      </c>
      <c r="S742">
        <f t="shared" si="200"/>
        <v>2</v>
      </c>
      <c r="T742">
        <f t="shared" si="201"/>
        <v>4</v>
      </c>
      <c r="U742">
        <v>50</v>
      </c>
      <c r="V742">
        <f t="shared" si="202"/>
        <v>0</v>
      </c>
      <c r="W742">
        <f t="shared" si="203"/>
        <v>0</v>
      </c>
      <c r="X742">
        <f t="shared" si="204"/>
        <v>1</v>
      </c>
      <c r="Y742">
        <f t="shared" si="205"/>
        <v>0</v>
      </c>
      <c r="Z742">
        <f t="shared" si="206"/>
        <v>1</v>
      </c>
      <c r="AA742">
        <f t="shared" si="207"/>
        <v>1</v>
      </c>
      <c r="AB742">
        <f t="shared" si="208"/>
        <v>1</v>
      </c>
      <c r="AC742">
        <f t="shared" si="209"/>
        <v>1</v>
      </c>
      <c r="AD742">
        <f t="shared" si="210"/>
        <v>0</v>
      </c>
      <c r="AE742">
        <f t="shared" si="211"/>
        <v>0</v>
      </c>
      <c r="AF742">
        <f t="shared" si="212"/>
        <v>1</v>
      </c>
      <c r="AG742">
        <f t="shared" si="213"/>
        <v>1</v>
      </c>
      <c r="AH742">
        <f t="shared" si="214"/>
        <v>0</v>
      </c>
      <c r="AI742">
        <f t="shared" si="215"/>
        <v>0</v>
      </c>
    </row>
    <row r="743" spans="1:35" x14ac:dyDescent="0.2">
      <c r="A743">
        <v>300</v>
      </c>
      <c r="B743" t="s">
        <v>16</v>
      </c>
      <c r="C743">
        <v>7</v>
      </c>
      <c r="D743" t="s">
        <v>2182</v>
      </c>
      <c r="E743" t="s">
        <v>18</v>
      </c>
      <c r="F743" t="s">
        <v>20</v>
      </c>
      <c r="G743" t="s">
        <v>20</v>
      </c>
      <c r="H743" t="s">
        <v>18</v>
      </c>
      <c r="I743">
        <v>3</v>
      </c>
      <c r="J743">
        <v>5</v>
      </c>
      <c r="K743">
        <v>25</v>
      </c>
      <c r="L743" t="s">
        <v>53</v>
      </c>
      <c r="M743" t="s">
        <v>23</v>
      </c>
      <c r="N743" t="s">
        <v>36</v>
      </c>
      <c r="O743" t="s">
        <v>2183</v>
      </c>
      <c r="P743" t="s">
        <v>2184</v>
      </c>
      <c r="Q743">
        <f t="shared" si="198"/>
        <v>4</v>
      </c>
      <c r="R743">
        <f t="shared" si="199"/>
        <v>2</v>
      </c>
      <c r="S743">
        <f t="shared" si="200"/>
        <v>2</v>
      </c>
      <c r="T743">
        <f t="shared" si="201"/>
        <v>4</v>
      </c>
      <c r="U743">
        <v>25</v>
      </c>
      <c r="V743">
        <f t="shared" si="202"/>
        <v>0</v>
      </c>
      <c r="W743">
        <f t="shared" si="203"/>
        <v>0</v>
      </c>
      <c r="X743">
        <f t="shared" si="204"/>
        <v>1</v>
      </c>
      <c r="Y743">
        <f t="shared" si="205"/>
        <v>0</v>
      </c>
      <c r="Z743">
        <f t="shared" si="206"/>
        <v>0</v>
      </c>
      <c r="AA743">
        <f t="shared" si="207"/>
        <v>1</v>
      </c>
      <c r="AB743">
        <f t="shared" si="208"/>
        <v>0</v>
      </c>
      <c r="AC743">
        <f t="shared" si="209"/>
        <v>0</v>
      </c>
      <c r="AD743">
        <f t="shared" si="210"/>
        <v>0</v>
      </c>
      <c r="AE743">
        <f t="shared" si="211"/>
        <v>0</v>
      </c>
      <c r="AF743">
        <f t="shared" si="212"/>
        <v>0</v>
      </c>
      <c r="AG743">
        <f t="shared" si="213"/>
        <v>0</v>
      </c>
      <c r="AH743">
        <f t="shared" si="214"/>
        <v>0</v>
      </c>
      <c r="AI743">
        <f t="shared" si="215"/>
        <v>1</v>
      </c>
    </row>
    <row r="744" spans="1:35" x14ac:dyDescent="0.2">
      <c r="A744">
        <v>301</v>
      </c>
      <c r="B744" t="s">
        <v>16</v>
      </c>
      <c r="C744">
        <v>6</v>
      </c>
      <c r="D744" t="s">
        <v>2185</v>
      </c>
      <c r="E744" t="s">
        <v>18</v>
      </c>
      <c r="F744" t="s">
        <v>19</v>
      </c>
      <c r="G744" t="s">
        <v>19</v>
      </c>
      <c r="H744" t="s">
        <v>18</v>
      </c>
      <c r="I744">
        <v>6</v>
      </c>
      <c r="J744">
        <v>6</v>
      </c>
      <c r="K744">
        <v>1000</v>
      </c>
      <c r="L744" t="s">
        <v>22</v>
      </c>
      <c r="M744" t="s">
        <v>115</v>
      </c>
      <c r="N744" t="s">
        <v>24</v>
      </c>
      <c r="O744" t="s">
        <v>2186</v>
      </c>
      <c r="P744" t="s">
        <v>2187</v>
      </c>
      <c r="Q744">
        <f t="shared" si="198"/>
        <v>4</v>
      </c>
      <c r="R744">
        <f t="shared" si="199"/>
        <v>3</v>
      </c>
      <c r="S744">
        <f t="shared" si="200"/>
        <v>3</v>
      </c>
      <c r="T744">
        <f t="shared" si="201"/>
        <v>4</v>
      </c>
      <c r="U744">
        <v>1000</v>
      </c>
      <c r="V744">
        <f t="shared" si="202"/>
        <v>1</v>
      </c>
      <c r="W744">
        <f t="shared" si="203"/>
        <v>0</v>
      </c>
      <c r="X744">
        <f t="shared" si="204"/>
        <v>0</v>
      </c>
      <c r="Y744">
        <f t="shared" si="205"/>
        <v>0</v>
      </c>
      <c r="Z744">
        <f t="shared" si="206"/>
        <v>0</v>
      </c>
      <c r="AA744">
        <f t="shared" si="207"/>
        <v>0</v>
      </c>
      <c r="AB744">
        <f t="shared" si="208"/>
        <v>0</v>
      </c>
      <c r="AC744">
        <f t="shared" si="209"/>
        <v>1</v>
      </c>
      <c r="AD744">
        <f t="shared" si="210"/>
        <v>0</v>
      </c>
      <c r="AE744">
        <f t="shared" si="211"/>
        <v>0</v>
      </c>
      <c r="AF744">
        <f t="shared" si="212"/>
        <v>0</v>
      </c>
      <c r="AG744">
        <f t="shared" si="213"/>
        <v>0</v>
      </c>
      <c r="AH744">
        <f t="shared" si="214"/>
        <v>1</v>
      </c>
      <c r="AI744">
        <f t="shared" si="215"/>
        <v>0</v>
      </c>
    </row>
    <row r="745" spans="1:35" x14ac:dyDescent="0.2">
      <c r="A745">
        <v>302</v>
      </c>
      <c r="B745" t="s">
        <v>16</v>
      </c>
      <c r="C745">
        <v>9</v>
      </c>
      <c r="D745" t="s">
        <v>2188</v>
      </c>
      <c r="E745" t="s">
        <v>18</v>
      </c>
      <c r="F745" t="s">
        <v>19</v>
      </c>
      <c r="G745" t="s">
        <v>18</v>
      </c>
      <c r="H745" t="s">
        <v>20</v>
      </c>
      <c r="I745">
        <v>6</v>
      </c>
      <c r="J745">
        <v>4</v>
      </c>
      <c r="K745">
        <v>10000000</v>
      </c>
      <c r="L745" t="s">
        <v>47</v>
      </c>
      <c r="M745" t="s">
        <v>135</v>
      </c>
      <c r="N745" t="s">
        <v>24</v>
      </c>
      <c r="O745" t="s">
        <v>60</v>
      </c>
      <c r="P745" t="s">
        <v>2189</v>
      </c>
      <c r="Q745">
        <f t="shared" si="198"/>
        <v>4</v>
      </c>
      <c r="R745">
        <f t="shared" si="199"/>
        <v>3</v>
      </c>
      <c r="S745">
        <f t="shared" si="200"/>
        <v>4</v>
      </c>
      <c r="T745">
        <f t="shared" si="201"/>
        <v>2</v>
      </c>
      <c r="U745">
        <v>10000000</v>
      </c>
      <c r="V745">
        <f t="shared" si="202"/>
        <v>0</v>
      </c>
      <c r="W745">
        <f t="shared" si="203"/>
        <v>0</v>
      </c>
      <c r="X745">
        <f t="shared" si="204"/>
        <v>1</v>
      </c>
      <c r="Y745">
        <f t="shared" si="205"/>
        <v>0</v>
      </c>
      <c r="Z745">
        <f t="shared" si="206"/>
        <v>1</v>
      </c>
      <c r="AA745">
        <f t="shared" si="207"/>
        <v>1</v>
      </c>
      <c r="AB745">
        <f t="shared" si="208"/>
        <v>1</v>
      </c>
      <c r="AC745">
        <f t="shared" si="209"/>
        <v>0</v>
      </c>
      <c r="AD745">
        <f t="shared" si="210"/>
        <v>0</v>
      </c>
      <c r="AE745">
        <f t="shared" si="211"/>
        <v>0</v>
      </c>
      <c r="AF745">
        <f t="shared" si="212"/>
        <v>0</v>
      </c>
      <c r="AG745">
        <f t="shared" si="213"/>
        <v>0</v>
      </c>
      <c r="AH745">
        <f t="shared" si="214"/>
        <v>1</v>
      </c>
      <c r="AI745">
        <f t="shared" si="215"/>
        <v>0</v>
      </c>
    </row>
    <row r="746" spans="1:35" x14ac:dyDescent="0.2">
      <c r="A746">
        <v>303</v>
      </c>
      <c r="B746" t="s">
        <v>16</v>
      </c>
      <c r="C746">
        <v>6</v>
      </c>
      <c r="D746" t="s">
        <v>2190</v>
      </c>
      <c r="E746" t="s">
        <v>19</v>
      </c>
      <c r="F746" t="s">
        <v>19</v>
      </c>
      <c r="G746" t="s">
        <v>20</v>
      </c>
      <c r="H746" t="s">
        <v>18</v>
      </c>
      <c r="I746">
        <v>10</v>
      </c>
      <c r="J746">
        <v>8</v>
      </c>
      <c r="K746" t="s">
        <v>2191</v>
      </c>
      <c r="L746" t="s">
        <v>22</v>
      </c>
      <c r="M746" t="s">
        <v>23</v>
      </c>
      <c r="N746" t="s">
        <v>84</v>
      </c>
      <c r="O746" t="s">
        <v>2192</v>
      </c>
      <c r="P746" t="s">
        <v>2193</v>
      </c>
      <c r="Q746">
        <f t="shared" si="198"/>
        <v>3</v>
      </c>
      <c r="R746">
        <f t="shared" si="199"/>
        <v>3</v>
      </c>
      <c r="S746">
        <f t="shared" si="200"/>
        <v>2</v>
      </c>
      <c r="T746">
        <f t="shared" si="201"/>
        <v>4</v>
      </c>
      <c r="U746">
        <v>10</v>
      </c>
      <c r="V746">
        <f t="shared" si="202"/>
        <v>1</v>
      </c>
      <c r="W746">
        <f t="shared" si="203"/>
        <v>0</v>
      </c>
      <c r="X746">
        <f t="shared" si="204"/>
        <v>0</v>
      </c>
      <c r="Y746">
        <f t="shared" si="205"/>
        <v>0</v>
      </c>
      <c r="Z746">
        <f t="shared" si="206"/>
        <v>0</v>
      </c>
      <c r="AA746">
        <f t="shared" si="207"/>
        <v>1</v>
      </c>
      <c r="AB746">
        <f t="shared" si="208"/>
        <v>0</v>
      </c>
      <c r="AC746">
        <f t="shared" si="209"/>
        <v>0</v>
      </c>
      <c r="AD746">
        <f t="shared" si="210"/>
        <v>0</v>
      </c>
      <c r="AE746">
        <f t="shared" si="211"/>
        <v>0</v>
      </c>
      <c r="AF746">
        <f t="shared" si="212"/>
        <v>0</v>
      </c>
      <c r="AG746">
        <f t="shared" si="213"/>
        <v>1</v>
      </c>
      <c r="AH746">
        <f t="shared" si="214"/>
        <v>0</v>
      </c>
      <c r="AI746">
        <f t="shared" si="215"/>
        <v>0</v>
      </c>
    </row>
    <row r="747" spans="1:35" x14ac:dyDescent="0.2">
      <c r="A747">
        <v>304</v>
      </c>
      <c r="B747" t="s">
        <v>16</v>
      </c>
      <c r="C747">
        <v>4</v>
      </c>
      <c r="D747" t="s">
        <v>2194</v>
      </c>
      <c r="E747" t="s">
        <v>18</v>
      </c>
      <c r="F747" t="s">
        <v>19</v>
      </c>
      <c r="G747" t="s">
        <v>18</v>
      </c>
      <c r="H747" t="s">
        <v>19</v>
      </c>
      <c r="I747">
        <v>4</v>
      </c>
      <c r="J747">
        <v>6</v>
      </c>
      <c r="K747">
        <v>500</v>
      </c>
      <c r="L747" t="s">
        <v>53</v>
      </c>
      <c r="M747" t="s">
        <v>179</v>
      </c>
      <c r="N747" t="s">
        <v>24</v>
      </c>
      <c r="O747" t="s">
        <v>310</v>
      </c>
      <c r="P747" t="s">
        <v>2195</v>
      </c>
      <c r="Q747">
        <f t="shared" si="198"/>
        <v>4</v>
      </c>
      <c r="R747">
        <f t="shared" si="199"/>
        <v>3</v>
      </c>
      <c r="S747">
        <f t="shared" si="200"/>
        <v>4</v>
      </c>
      <c r="T747">
        <f t="shared" si="201"/>
        <v>3</v>
      </c>
      <c r="U747">
        <v>500</v>
      </c>
      <c r="V747">
        <f t="shared" si="202"/>
        <v>0</v>
      </c>
      <c r="W747">
        <f t="shared" si="203"/>
        <v>0</v>
      </c>
      <c r="X747">
        <f t="shared" si="204"/>
        <v>1</v>
      </c>
      <c r="Y747">
        <f t="shared" si="205"/>
        <v>0</v>
      </c>
      <c r="Z747">
        <f t="shared" si="206"/>
        <v>0</v>
      </c>
      <c r="AA747">
        <f t="shared" si="207"/>
        <v>0</v>
      </c>
      <c r="AB747">
        <f t="shared" si="208"/>
        <v>0</v>
      </c>
      <c r="AC747">
        <f t="shared" si="209"/>
        <v>0</v>
      </c>
      <c r="AD747">
        <f t="shared" si="210"/>
        <v>1</v>
      </c>
      <c r="AE747">
        <f t="shared" si="211"/>
        <v>1</v>
      </c>
      <c r="AF747">
        <f t="shared" si="212"/>
        <v>0</v>
      </c>
      <c r="AG747">
        <f t="shared" si="213"/>
        <v>0</v>
      </c>
      <c r="AH747">
        <f t="shared" si="214"/>
        <v>1</v>
      </c>
      <c r="AI747">
        <f t="shared" si="215"/>
        <v>0</v>
      </c>
    </row>
    <row r="748" spans="1:35" x14ac:dyDescent="0.2">
      <c r="A748">
        <v>305</v>
      </c>
      <c r="B748" t="s">
        <v>16</v>
      </c>
      <c r="C748">
        <v>5</v>
      </c>
      <c r="D748" t="s">
        <v>2196</v>
      </c>
      <c r="E748" t="s">
        <v>19</v>
      </c>
      <c r="F748" t="s">
        <v>19</v>
      </c>
      <c r="G748" t="s">
        <v>18</v>
      </c>
      <c r="H748" t="s">
        <v>18</v>
      </c>
      <c r="I748">
        <v>20</v>
      </c>
      <c r="J748">
        <v>12</v>
      </c>
      <c r="K748" t="s">
        <v>2197</v>
      </c>
      <c r="L748" t="s">
        <v>562</v>
      </c>
      <c r="M748" t="s">
        <v>2198</v>
      </c>
      <c r="N748" t="s">
        <v>24</v>
      </c>
      <c r="O748" t="s">
        <v>2199</v>
      </c>
      <c r="P748" t="s">
        <v>2200</v>
      </c>
      <c r="Q748">
        <f t="shared" si="198"/>
        <v>3</v>
      </c>
      <c r="R748">
        <f t="shared" si="199"/>
        <v>3</v>
      </c>
      <c r="S748">
        <f t="shared" si="200"/>
        <v>4</v>
      </c>
      <c r="T748">
        <f t="shared" si="201"/>
        <v>4</v>
      </c>
      <c r="V748">
        <f t="shared" si="202"/>
        <v>0</v>
      </c>
      <c r="W748">
        <f t="shared" si="203"/>
        <v>1</v>
      </c>
      <c r="X748">
        <f t="shared" si="204"/>
        <v>1</v>
      </c>
      <c r="Y748">
        <f t="shared" si="205"/>
        <v>0</v>
      </c>
      <c r="Z748">
        <f t="shared" si="206"/>
        <v>1</v>
      </c>
      <c r="AA748">
        <f t="shared" si="207"/>
        <v>1</v>
      </c>
      <c r="AB748">
        <f t="shared" si="208"/>
        <v>0</v>
      </c>
      <c r="AC748">
        <f t="shared" si="209"/>
        <v>1</v>
      </c>
      <c r="AD748">
        <f t="shared" si="210"/>
        <v>1</v>
      </c>
      <c r="AE748">
        <f t="shared" si="211"/>
        <v>1</v>
      </c>
      <c r="AF748">
        <f t="shared" si="212"/>
        <v>0</v>
      </c>
      <c r="AG748">
        <f t="shared" si="213"/>
        <v>0</v>
      </c>
      <c r="AH748">
        <f t="shared" si="214"/>
        <v>1</v>
      </c>
      <c r="AI748">
        <f t="shared" si="215"/>
        <v>0</v>
      </c>
    </row>
    <row r="749" spans="1:35" x14ac:dyDescent="0.2">
      <c r="A749">
        <v>306</v>
      </c>
      <c r="B749" t="s">
        <v>16</v>
      </c>
      <c r="C749">
        <v>4</v>
      </c>
      <c r="D749" t="s">
        <v>2201</v>
      </c>
      <c r="E749" t="s">
        <v>18</v>
      </c>
      <c r="F749" t="s">
        <v>20</v>
      </c>
      <c r="G749" t="s">
        <v>19</v>
      </c>
      <c r="H749" t="s">
        <v>18</v>
      </c>
      <c r="I749">
        <v>4</v>
      </c>
      <c r="J749">
        <v>3</v>
      </c>
      <c r="K749">
        <v>50</v>
      </c>
      <c r="L749" t="s">
        <v>41</v>
      </c>
      <c r="M749" t="s">
        <v>48</v>
      </c>
      <c r="N749" t="s">
        <v>24</v>
      </c>
      <c r="O749" t="s">
        <v>2202</v>
      </c>
      <c r="P749" t="s">
        <v>2203</v>
      </c>
      <c r="Q749">
        <f t="shared" si="198"/>
        <v>4</v>
      </c>
      <c r="R749">
        <f t="shared" si="199"/>
        <v>2</v>
      </c>
      <c r="S749">
        <f t="shared" si="200"/>
        <v>3</v>
      </c>
      <c r="T749">
        <f t="shared" si="201"/>
        <v>4</v>
      </c>
      <c r="U749">
        <v>50</v>
      </c>
      <c r="V749">
        <f t="shared" si="202"/>
        <v>0</v>
      </c>
      <c r="W749">
        <f t="shared" si="203"/>
        <v>0</v>
      </c>
      <c r="X749">
        <f t="shared" si="204"/>
        <v>0</v>
      </c>
      <c r="Y749">
        <f t="shared" si="205"/>
        <v>0</v>
      </c>
      <c r="Z749">
        <f t="shared" si="206"/>
        <v>1</v>
      </c>
      <c r="AA749">
        <f t="shared" si="207"/>
        <v>1</v>
      </c>
      <c r="AB749">
        <f t="shared" si="208"/>
        <v>1</v>
      </c>
      <c r="AC749">
        <f t="shared" si="209"/>
        <v>1</v>
      </c>
      <c r="AD749">
        <f t="shared" si="210"/>
        <v>0</v>
      </c>
      <c r="AE749">
        <f t="shared" si="211"/>
        <v>0</v>
      </c>
      <c r="AF749">
        <f t="shared" si="212"/>
        <v>0</v>
      </c>
      <c r="AG749">
        <f t="shared" si="213"/>
        <v>0</v>
      </c>
      <c r="AH749">
        <f t="shared" si="214"/>
        <v>1</v>
      </c>
      <c r="AI749">
        <f t="shared" si="215"/>
        <v>0</v>
      </c>
    </row>
    <row r="750" spans="1:35" x14ac:dyDescent="0.2">
      <c r="A750">
        <v>307</v>
      </c>
      <c r="B750" t="s">
        <v>16</v>
      </c>
      <c r="C750">
        <v>8</v>
      </c>
      <c r="D750" t="s">
        <v>2204</v>
      </c>
      <c r="E750" t="s">
        <v>18</v>
      </c>
      <c r="F750" t="s">
        <v>21</v>
      </c>
      <c r="G750" t="s">
        <v>21</v>
      </c>
      <c r="H750" t="s">
        <v>39</v>
      </c>
      <c r="I750">
        <v>4</v>
      </c>
      <c r="J750">
        <v>7</v>
      </c>
      <c r="K750" t="s">
        <v>2205</v>
      </c>
      <c r="L750" t="s">
        <v>53</v>
      </c>
      <c r="M750" t="s">
        <v>23</v>
      </c>
      <c r="N750" t="s">
        <v>24</v>
      </c>
      <c r="O750" t="s">
        <v>2206</v>
      </c>
      <c r="Q750">
        <f t="shared" si="198"/>
        <v>4</v>
      </c>
      <c r="R750">
        <f t="shared" si="199"/>
        <v>1</v>
      </c>
      <c r="S750">
        <f t="shared" si="200"/>
        <v>1</v>
      </c>
      <c r="T750">
        <f t="shared" si="201"/>
        <v>5</v>
      </c>
      <c r="U750">
        <v>5</v>
      </c>
      <c r="V750">
        <f t="shared" si="202"/>
        <v>0</v>
      </c>
      <c r="W750">
        <f t="shared" si="203"/>
        <v>0</v>
      </c>
      <c r="X750">
        <f t="shared" si="204"/>
        <v>1</v>
      </c>
      <c r="Y750">
        <f t="shared" si="205"/>
        <v>0</v>
      </c>
      <c r="Z750">
        <f t="shared" si="206"/>
        <v>0</v>
      </c>
      <c r="AA750">
        <f t="shared" si="207"/>
        <v>1</v>
      </c>
      <c r="AB750">
        <f t="shared" si="208"/>
        <v>0</v>
      </c>
      <c r="AC750">
        <f t="shared" si="209"/>
        <v>0</v>
      </c>
      <c r="AD750">
        <f t="shared" si="210"/>
        <v>0</v>
      </c>
      <c r="AE750">
        <f t="shared" si="211"/>
        <v>0</v>
      </c>
      <c r="AF750">
        <f t="shared" si="212"/>
        <v>0</v>
      </c>
      <c r="AG750">
        <f t="shared" si="213"/>
        <v>0</v>
      </c>
      <c r="AH750">
        <f t="shared" si="214"/>
        <v>1</v>
      </c>
      <c r="AI750">
        <f t="shared" si="215"/>
        <v>0</v>
      </c>
    </row>
    <row r="751" spans="1:35" x14ac:dyDescent="0.2">
      <c r="A751">
        <v>308</v>
      </c>
      <c r="B751" t="s">
        <v>16</v>
      </c>
      <c r="C751">
        <v>5</v>
      </c>
      <c r="D751" t="s">
        <v>2207</v>
      </c>
      <c r="E751" t="s">
        <v>19</v>
      </c>
      <c r="F751" t="s">
        <v>19</v>
      </c>
      <c r="G751" t="s">
        <v>20</v>
      </c>
      <c r="H751" t="s">
        <v>20</v>
      </c>
      <c r="I751">
        <v>2</v>
      </c>
      <c r="J751">
        <v>3</v>
      </c>
      <c r="K751" t="s">
        <v>2208</v>
      </c>
      <c r="L751" t="s">
        <v>70</v>
      </c>
      <c r="M751" t="s">
        <v>115</v>
      </c>
      <c r="N751" t="s">
        <v>84</v>
      </c>
      <c r="O751" t="s">
        <v>2209</v>
      </c>
      <c r="P751" t="s">
        <v>2210</v>
      </c>
      <c r="Q751">
        <f t="shared" si="198"/>
        <v>3</v>
      </c>
      <c r="R751">
        <f t="shared" si="199"/>
        <v>3</v>
      </c>
      <c r="S751">
        <f t="shared" si="200"/>
        <v>2</v>
      </c>
      <c r="T751">
        <f t="shared" si="201"/>
        <v>2</v>
      </c>
      <c r="U751">
        <v>5000</v>
      </c>
      <c r="V751">
        <f t="shared" si="202"/>
        <v>0</v>
      </c>
      <c r="W751">
        <f t="shared" si="203"/>
        <v>0</v>
      </c>
      <c r="X751">
        <f t="shared" si="204"/>
        <v>0</v>
      </c>
      <c r="Y751">
        <f t="shared" si="205"/>
        <v>1</v>
      </c>
      <c r="Z751">
        <f t="shared" si="206"/>
        <v>0</v>
      </c>
      <c r="AA751">
        <f t="shared" si="207"/>
        <v>0</v>
      </c>
      <c r="AB751">
        <f t="shared" si="208"/>
        <v>0</v>
      </c>
      <c r="AC751">
        <f t="shared" si="209"/>
        <v>1</v>
      </c>
      <c r="AD751">
        <f t="shared" si="210"/>
        <v>0</v>
      </c>
      <c r="AE751">
        <f t="shared" si="211"/>
        <v>0</v>
      </c>
      <c r="AF751">
        <f t="shared" si="212"/>
        <v>0</v>
      </c>
      <c r="AG751">
        <f t="shared" si="213"/>
        <v>1</v>
      </c>
      <c r="AH751">
        <f t="shared" si="214"/>
        <v>0</v>
      </c>
      <c r="AI751">
        <f t="shared" si="215"/>
        <v>0</v>
      </c>
    </row>
    <row r="752" spans="1:35" x14ac:dyDescent="0.2">
      <c r="A752">
        <v>309</v>
      </c>
      <c r="B752" t="s">
        <v>16</v>
      </c>
      <c r="C752">
        <v>7</v>
      </c>
      <c r="D752" t="s">
        <v>163</v>
      </c>
      <c r="E752" t="s">
        <v>39</v>
      </c>
      <c r="F752" t="s">
        <v>18</v>
      </c>
      <c r="G752" t="s">
        <v>19</v>
      </c>
      <c r="H752" t="s">
        <v>20</v>
      </c>
      <c r="I752">
        <v>6</v>
      </c>
      <c r="J752">
        <v>9</v>
      </c>
      <c r="K752" s="1">
        <v>100</v>
      </c>
      <c r="L752" t="s">
        <v>47</v>
      </c>
      <c r="M752" t="s">
        <v>42</v>
      </c>
      <c r="N752" t="s">
        <v>24</v>
      </c>
      <c r="O752" t="s">
        <v>281</v>
      </c>
      <c r="P752" t="s">
        <v>2211</v>
      </c>
      <c r="Q752">
        <f t="shared" si="198"/>
        <v>5</v>
      </c>
      <c r="R752">
        <f t="shared" si="199"/>
        <v>4</v>
      </c>
      <c r="S752">
        <f t="shared" si="200"/>
        <v>3</v>
      </c>
      <c r="T752">
        <f t="shared" si="201"/>
        <v>2</v>
      </c>
      <c r="U752">
        <v>100</v>
      </c>
      <c r="V752">
        <f t="shared" si="202"/>
        <v>0</v>
      </c>
      <c r="W752">
        <f t="shared" si="203"/>
        <v>0</v>
      </c>
      <c r="X752">
        <f t="shared" si="204"/>
        <v>1</v>
      </c>
      <c r="Y752">
        <f t="shared" si="205"/>
        <v>0</v>
      </c>
      <c r="Z752">
        <f t="shared" si="206"/>
        <v>1</v>
      </c>
      <c r="AA752">
        <f t="shared" si="207"/>
        <v>0</v>
      </c>
      <c r="AB752">
        <f t="shared" si="208"/>
        <v>1</v>
      </c>
      <c r="AC752">
        <f t="shared" si="209"/>
        <v>0</v>
      </c>
      <c r="AD752">
        <f t="shared" si="210"/>
        <v>0</v>
      </c>
      <c r="AE752">
        <f t="shared" si="211"/>
        <v>0</v>
      </c>
      <c r="AF752">
        <f t="shared" si="212"/>
        <v>0</v>
      </c>
      <c r="AG752">
        <f t="shared" si="213"/>
        <v>0</v>
      </c>
      <c r="AH752">
        <f t="shared" si="214"/>
        <v>1</v>
      </c>
      <c r="AI752">
        <f t="shared" si="215"/>
        <v>0</v>
      </c>
    </row>
    <row r="753" spans="1:35" x14ac:dyDescent="0.2">
      <c r="A753">
        <v>310</v>
      </c>
      <c r="B753" t="s">
        <v>16</v>
      </c>
      <c r="C753">
        <v>7</v>
      </c>
      <c r="D753" t="s">
        <v>2212</v>
      </c>
      <c r="E753" t="s">
        <v>18</v>
      </c>
      <c r="F753" t="s">
        <v>19</v>
      </c>
      <c r="G753" t="s">
        <v>18</v>
      </c>
      <c r="H753" t="s">
        <v>18</v>
      </c>
      <c r="I753">
        <v>4</v>
      </c>
      <c r="J753">
        <v>1</v>
      </c>
      <c r="K753">
        <v>100</v>
      </c>
      <c r="L753" t="s">
        <v>41</v>
      </c>
      <c r="M753" t="s">
        <v>23</v>
      </c>
      <c r="N753" t="s">
        <v>147</v>
      </c>
      <c r="O753" t="s">
        <v>2213</v>
      </c>
      <c r="P753" t="s">
        <v>2214</v>
      </c>
      <c r="Q753">
        <f t="shared" si="198"/>
        <v>4</v>
      </c>
      <c r="R753">
        <f t="shared" si="199"/>
        <v>3</v>
      </c>
      <c r="S753">
        <f t="shared" si="200"/>
        <v>4</v>
      </c>
      <c r="T753">
        <f t="shared" si="201"/>
        <v>4</v>
      </c>
      <c r="U753">
        <v>100</v>
      </c>
      <c r="V753">
        <f t="shared" si="202"/>
        <v>0</v>
      </c>
      <c r="W753">
        <f t="shared" si="203"/>
        <v>0</v>
      </c>
      <c r="X753">
        <f t="shared" si="204"/>
        <v>0</v>
      </c>
      <c r="Y753">
        <f t="shared" si="205"/>
        <v>0</v>
      </c>
      <c r="Z753">
        <f t="shared" si="206"/>
        <v>1</v>
      </c>
      <c r="AA753">
        <f t="shared" si="207"/>
        <v>1</v>
      </c>
      <c r="AB753">
        <f t="shared" si="208"/>
        <v>0</v>
      </c>
      <c r="AC753">
        <f t="shared" si="209"/>
        <v>0</v>
      </c>
      <c r="AD753">
        <f t="shared" si="210"/>
        <v>0</v>
      </c>
      <c r="AE753">
        <f t="shared" si="211"/>
        <v>0</v>
      </c>
      <c r="AF753">
        <f t="shared" si="212"/>
        <v>0</v>
      </c>
      <c r="AG753">
        <f t="shared" si="213"/>
        <v>0</v>
      </c>
      <c r="AH753">
        <f t="shared" si="214"/>
        <v>1</v>
      </c>
      <c r="AI753">
        <f t="shared" si="215"/>
        <v>1</v>
      </c>
    </row>
    <row r="754" spans="1:35" x14ac:dyDescent="0.2">
      <c r="A754">
        <v>311</v>
      </c>
      <c r="B754" t="s">
        <v>16</v>
      </c>
      <c r="C754">
        <v>8</v>
      </c>
      <c r="D754" t="s">
        <v>2215</v>
      </c>
      <c r="E754" t="s">
        <v>18</v>
      </c>
      <c r="F754" t="s">
        <v>20</v>
      </c>
      <c r="G754" t="s">
        <v>20</v>
      </c>
      <c r="H754" t="s">
        <v>18</v>
      </c>
      <c r="I754">
        <v>2</v>
      </c>
      <c r="J754">
        <v>3</v>
      </c>
      <c r="K754" s="2">
        <v>50000</v>
      </c>
      <c r="L754" t="s">
        <v>41</v>
      </c>
      <c r="M754" t="s">
        <v>115</v>
      </c>
      <c r="N754" t="s">
        <v>84</v>
      </c>
      <c r="O754" t="s">
        <v>2216</v>
      </c>
      <c r="P754" t="s">
        <v>2217</v>
      </c>
      <c r="Q754">
        <f t="shared" si="198"/>
        <v>4</v>
      </c>
      <c r="R754">
        <f t="shared" si="199"/>
        <v>2</v>
      </c>
      <c r="S754">
        <f t="shared" si="200"/>
        <v>2</v>
      </c>
      <c r="T754">
        <f t="shared" si="201"/>
        <v>4</v>
      </c>
      <c r="U754">
        <v>50000</v>
      </c>
      <c r="V754">
        <f t="shared" si="202"/>
        <v>0</v>
      </c>
      <c r="W754">
        <f t="shared" si="203"/>
        <v>0</v>
      </c>
      <c r="X754">
        <f t="shared" si="204"/>
        <v>0</v>
      </c>
      <c r="Y754">
        <f t="shared" si="205"/>
        <v>0</v>
      </c>
      <c r="Z754">
        <f t="shared" si="206"/>
        <v>1</v>
      </c>
      <c r="AA754">
        <f t="shared" si="207"/>
        <v>0</v>
      </c>
      <c r="AB754">
        <f t="shared" si="208"/>
        <v>0</v>
      </c>
      <c r="AC754">
        <f t="shared" si="209"/>
        <v>1</v>
      </c>
      <c r="AD754">
        <f t="shared" si="210"/>
        <v>0</v>
      </c>
      <c r="AE754">
        <f t="shared" si="211"/>
        <v>0</v>
      </c>
      <c r="AF754">
        <f t="shared" si="212"/>
        <v>0</v>
      </c>
      <c r="AG754">
        <f t="shared" si="213"/>
        <v>1</v>
      </c>
      <c r="AH754">
        <f t="shared" si="214"/>
        <v>0</v>
      </c>
      <c r="AI754">
        <f t="shared" si="215"/>
        <v>0</v>
      </c>
    </row>
    <row r="755" spans="1:35" x14ac:dyDescent="0.2">
      <c r="A755">
        <v>312</v>
      </c>
      <c r="B755" t="s">
        <v>16</v>
      </c>
      <c r="C755">
        <v>4</v>
      </c>
      <c r="D755" t="s">
        <v>2218</v>
      </c>
      <c r="E755" t="s">
        <v>18</v>
      </c>
      <c r="F755" t="s">
        <v>20</v>
      </c>
      <c r="G755" t="s">
        <v>18</v>
      </c>
      <c r="H755" t="s">
        <v>20</v>
      </c>
      <c r="I755">
        <v>3</v>
      </c>
      <c r="J755">
        <v>5</v>
      </c>
      <c r="K755">
        <v>100</v>
      </c>
      <c r="L755" t="s">
        <v>66</v>
      </c>
      <c r="M755" t="s">
        <v>280</v>
      </c>
      <c r="N755" t="s">
        <v>24</v>
      </c>
      <c r="O755" t="s">
        <v>2219</v>
      </c>
      <c r="P755" t="s">
        <v>2220</v>
      </c>
      <c r="Q755">
        <f t="shared" si="198"/>
        <v>4</v>
      </c>
      <c r="R755">
        <f t="shared" si="199"/>
        <v>2</v>
      </c>
      <c r="S755">
        <f t="shared" si="200"/>
        <v>4</v>
      </c>
      <c r="T755">
        <f t="shared" si="201"/>
        <v>2</v>
      </c>
      <c r="U755">
        <v>100</v>
      </c>
      <c r="V755">
        <f t="shared" si="202"/>
        <v>0</v>
      </c>
      <c r="W755">
        <f t="shared" si="203"/>
        <v>1</v>
      </c>
      <c r="X755">
        <f t="shared" si="204"/>
        <v>1</v>
      </c>
      <c r="Y755">
        <f t="shared" si="205"/>
        <v>0</v>
      </c>
      <c r="Z755">
        <f t="shared" si="206"/>
        <v>0</v>
      </c>
      <c r="AA755">
        <f t="shared" si="207"/>
        <v>0</v>
      </c>
      <c r="AB755">
        <f t="shared" si="208"/>
        <v>1</v>
      </c>
      <c r="AC755">
        <f t="shared" si="209"/>
        <v>1</v>
      </c>
      <c r="AD755">
        <f t="shared" si="210"/>
        <v>1</v>
      </c>
      <c r="AE755">
        <f t="shared" si="211"/>
        <v>0</v>
      </c>
      <c r="AF755">
        <f t="shared" si="212"/>
        <v>0</v>
      </c>
      <c r="AG755">
        <f t="shared" si="213"/>
        <v>0</v>
      </c>
      <c r="AH755">
        <f t="shared" si="214"/>
        <v>1</v>
      </c>
      <c r="AI755">
        <f t="shared" si="215"/>
        <v>0</v>
      </c>
    </row>
    <row r="756" spans="1:35" x14ac:dyDescent="0.2">
      <c r="A756">
        <v>313</v>
      </c>
      <c r="B756" t="s">
        <v>16</v>
      </c>
      <c r="C756">
        <v>6</v>
      </c>
      <c r="D756" t="s">
        <v>2221</v>
      </c>
      <c r="E756" t="s">
        <v>18</v>
      </c>
      <c r="F756" t="s">
        <v>19</v>
      </c>
      <c r="G756" t="s">
        <v>18</v>
      </c>
      <c r="H756" t="s">
        <v>19</v>
      </c>
      <c r="I756">
        <v>5</v>
      </c>
      <c r="J756">
        <v>5</v>
      </c>
      <c r="K756">
        <v>0</v>
      </c>
      <c r="L756" t="s">
        <v>22</v>
      </c>
      <c r="M756" t="s">
        <v>123</v>
      </c>
      <c r="N756" t="s">
        <v>84</v>
      </c>
      <c r="O756" t="s">
        <v>2222</v>
      </c>
      <c r="P756" t="s">
        <v>2223</v>
      </c>
      <c r="Q756">
        <f t="shared" si="198"/>
        <v>4</v>
      </c>
      <c r="R756">
        <f t="shared" si="199"/>
        <v>3</v>
      </c>
      <c r="S756">
        <f t="shared" si="200"/>
        <v>4</v>
      </c>
      <c r="T756">
        <f t="shared" si="201"/>
        <v>3</v>
      </c>
      <c r="U756">
        <v>0</v>
      </c>
      <c r="V756">
        <f t="shared" si="202"/>
        <v>1</v>
      </c>
      <c r="W756">
        <f t="shared" si="203"/>
        <v>0</v>
      </c>
      <c r="X756">
        <f t="shared" si="204"/>
        <v>0</v>
      </c>
      <c r="Y756">
        <f t="shared" si="205"/>
        <v>0</v>
      </c>
      <c r="Z756">
        <f t="shared" si="206"/>
        <v>0</v>
      </c>
      <c r="AA756">
        <f t="shared" si="207"/>
        <v>0</v>
      </c>
      <c r="AB756">
        <f t="shared" si="208"/>
        <v>1</v>
      </c>
      <c r="AC756">
        <f t="shared" si="209"/>
        <v>1</v>
      </c>
      <c r="AD756">
        <f t="shared" si="210"/>
        <v>0</v>
      </c>
      <c r="AE756">
        <f t="shared" si="211"/>
        <v>0</v>
      </c>
      <c r="AF756">
        <f t="shared" si="212"/>
        <v>0</v>
      </c>
      <c r="AG756">
        <f t="shared" si="213"/>
        <v>1</v>
      </c>
      <c r="AH756">
        <f t="shared" si="214"/>
        <v>0</v>
      </c>
      <c r="AI756">
        <f t="shared" si="215"/>
        <v>0</v>
      </c>
    </row>
    <row r="757" spans="1:35" x14ac:dyDescent="0.2">
      <c r="A757">
        <v>314</v>
      </c>
      <c r="B757" t="s">
        <v>16</v>
      </c>
      <c r="C757">
        <v>4</v>
      </c>
      <c r="D757" t="s">
        <v>2224</v>
      </c>
      <c r="E757" t="s">
        <v>18</v>
      </c>
      <c r="F757" t="s">
        <v>21</v>
      </c>
      <c r="G757" t="s">
        <v>21</v>
      </c>
      <c r="H757" t="s">
        <v>39</v>
      </c>
      <c r="I757">
        <v>4</v>
      </c>
      <c r="J757">
        <v>4</v>
      </c>
      <c r="K757">
        <v>100</v>
      </c>
      <c r="L757" t="s">
        <v>435</v>
      </c>
      <c r="M757" t="s">
        <v>123</v>
      </c>
      <c r="N757" t="s">
        <v>36</v>
      </c>
      <c r="O757" t="s">
        <v>2225</v>
      </c>
      <c r="P757" t="s">
        <v>2226</v>
      </c>
      <c r="Q757">
        <f t="shared" si="198"/>
        <v>4</v>
      </c>
      <c r="R757">
        <f t="shared" si="199"/>
        <v>1</v>
      </c>
      <c r="S757">
        <f t="shared" si="200"/>
        <v>1</v>
      </c>
      <c r="T757">
        <f t="shared" si="201"/>
        <v>5</v>
      </c>
      <c r="U757">
        <v>100</v>
      </c>
      <c r="V757">
        <f t="shared" si="202"/>
        <v>1</v>
      </c>
      <c r="W757">
        <f t="shared" si="203"/>
        <v>0</v>
      </c>
      <c r="X757">
        <f t="shared" si="204"/>
        <v>0</v>
      </c>
      <c r="Y757">
        <f t="shared" si="205"/>
        <v>0</v>
      </c>
      <c r="Z757">
        <f t="shared" si="206"/>
        <v>1</v>
      </c>
      <c r="AA757">
        <f t="shared" si="207"/>
        <v>0</v>
      </c>
      <c r="AB757">
        <f t="shared" si="208"/>
        <v>1</v>
      </c>
      <c r="AC757">
        <f t="shared" si="209"/>
        <v>1</v>
      </c>
      <c r="AD757">
        <f t="shared" si="210"/>
        <v>0</v>
      </c>
      <c r="AE757">
        <f t="shared" si="211"/>
        <v>0</v>
      </c>
      <c r="AF757">
        <f t="shared" si="212"/>
        <v>0</v>
      </c>
      <c r="AG757">
        <f t="shared" si="213"/>
        <v>0</v>
      </c>
      <c r="AH757">
        <f t="shared" si="214"/>
        <v>0</v>
      </c>
      <c r="AI757">
        <f t="shared" si="215"/>
        <v>1</v>
      </c>
    </row>
    <row r="758" spans="1:35" x14ac:dyDescent="0.2">
      <c r="A758">
        <v>315</v>
      </c>
      <c r="B758" t="s">
        <v>16</v>
      </c>
      <c r="C758">
        <v>5</v>
      </c>
      <c r="D758" t="s">
        <v>2227</v>
      </c>
      <c r="E758" t="s">
        <v>39</v>
      </c>
      <c r="F758" t="s">
        <v>20</v>
      </c>
      <c r="G758" t="s">
        <v>20</v>
      </c>
      <c r="H758" t="s">
        <v>18</v>
      </c>
      <c r="I758">
        <v>5</v>
      </c>
      <c r="J758">
        <v>4</v>
      </c>
      <c r="K758">
        <v>40</v>
      </c>
      <c r="L758" t="s">
        <v>41</v>
      </c>
      <c r="M758" t="s">
        <v>42</v>
      </c>
      <c r="N758" t="s">
        <v>24</v>
      </c>
      <c r="O758" t="s">
        <v>2228</v>
      </c>
      <c r="P758" t="s">
        <v>2229</v>
      </c>
      <c r="Q758">
        <f t="shared" si="198"/>
        <v>5</v>
      </c>
      <c r="R758">
        <f t="shared" si="199"/>
        <v>2</v>
      </c>
      <c r="S758">
        <f t="shared" si="200"/>
        <v>2</v>
      </c>
      <c r="T758">
        <f t="shared" si="201"/>
        <v>4</v>
      </c>
      <c r="U758">
        <v>40</v>
      </c>
      <c r="V758">
        <f t="shared" si="202"/>
        <v>0</v>
      </c>
      <c r="W758">
        <f t="shared" si="203"/>
        <v>0</v>
      </c>
      <c r="X758">
        <f t="shared" si="204"/>
        <v>0</v>
      </c>
      <c r="Y758">
        <f t="shared" si="205"/>
        <v>0</v>
      </c>
      <c r="Z758">
        <f t="shared" si="206"/>
        <v>1</v>
      </c>
      <c r="AA758">
        <f t="shared" si="207"/>
        <v>0</v>
      </c>
      <c r="AB758">
        <f t="shared" si="208"/>
        <v>1</v>
      </c>
      <c r="AC758">
        <f t="shared" si="209"/>
        <v>0</v>
      </c>
      <c r="AD758">
        <f t="shared" si="210"/>
        <v>0</v>
      </c>
      <c r="AE758">
        <f t="shared" si="211"/>
        <v>0</v>
      </c>
      <c r="AF758">
        <f t="shared" si="212"/>
        <v>0</v>
      </c>
      <c r="AG758">
        <f t="shared" si="213"/>
        <v>0</v>
      </c>
      <c r="AH758">
        <f t="shared" si="214"/>
        <v>1</v>
      </c>
      <c r="AI758">
        <f t="shared" si="215"/>
        <v>0</v>
      </c>
    </row>
    <row r="759" spans="1:35" x14ac:dyDescent="0.2">
      <c r="A759">
        <v>316</v>
      </c>
      <c r="B759" t="s">
        <v>16</v>
      </c>
      <c r="C759">
        <v>8</v>
      </c>
      <c r="D759" t="s">
        <v>2230</v>
      </c>
      <c r="E759" t="s">
        <v>19</v>
      </c>
      <c r="F759" t="s">
        <v>19</v>
      </c>
      <c r="G759" t="s">
        <v>19</v>
      </c>
      <c r="H759" t="s">
        <v>18</v>
      </c>
      <c r="I759">
        <v>4</v>
      </c>
      <c r="J759">
        <v>5</v>
      </c>
      <c r="K759">
        <v>1000</v>
      </c>
      <c r="L759" t="s">
        <v>128</v>
      </c>
      <c r="M759" t="s">
        <v>23</v>
      </c>
      <c r="N759" t="s">
        <v>651</v>
      </c>
      <c r="O759" t="s">
        <v>2231</v>
      </c>
      <c r="P759" t="s">
        <v>2232</v>
      </c>
      <c r="Q759">
        <f t="shared" si="198"/>
        <v>3</v>
      </c>
      <c r="R759">
        <f t="shared" si="199"/>
        <v>3</v>
      </c>
      <c r="S759">
        <f t="shared" si="200"/>
        <v>3</v>
      </c>
      <c r="T759">
        <f t="shared" si="201"/>
        <v>4</v>
      </c>
      <c r="U759">
        <v>1000</v>
      </c>
      <c r="V759">
        <f t="shared" si="202"/>
        <v>1</v>
      </c>
      <c r="W759">
        <f t="shared" si="203"/>
        <v>0</v>
      </c>
      <c r="X759">
        <f t="shared" si="204"/>
        <v>1</v>
      </c>
      <c r="Y759">
        <f t="shared" si="205"/>
        <v>0</v>
      </c>
      <c r="Z759">
        <f t="shared" si="206"/>
        <v>0</v>
      </c>
      <c r="AA759">
        <f t="shared" si="207"/>
        <v>1</v>
      </c>
      <c r="AB759">
        <f t="shared" si="208"/>
        <v>0</v>
      </c>
      <c r="AC759">
        <f t="shared" si="209"/>
        <v>0</v>
      </c>
      <c r="AD759">
        <f t="shared" si="210"/>
        <v>0</v>
      </c>
      <c r="AE759">
        <f t="shared" si="211"/>
        <v>0</v>
      </c>
      <c r="AF759">
        <f t="shared" si="212"/>
        <v>1</v>
      </c>
      <c r="AG759">
        <f t="shared" si="213"/>
        <v>0</v>
      </c>
      <c r="AH759">
        <f t="shared" si="214"/>
        <v>1</v>
      </c>
      <c r="AI759">
        <f t="shared" si="215"/>
        <v>0</v>
      </c>
    </row>
    <row r="760" spans="1:35" x14ac:dyDescent="0.2">
      <c r="A760">
        <v>317</v>
      </c>
      <c r="B760" t="s">
        <v>16</v>
      </c>
      <c r="C760">
        <v>7</v>
      </c>
      <c r="D760" t="s">
        <v>2233</v>
      </c>
      <c r="E760" t="s">
        <v>18</v>
      </c>
      <c r="F760" t="s">
        <v>21</v>
      </c>
      <c r="G760" t="s">
        <v>20</v>
      </c>
      <c r="H760" t="s">
        <v>39</v>
      </c>
      <c r="I760">
        <v>12</v>
      </c>
      <c r="J760">
        <v>6</v>
      </c>
      <c r="K760">
        <v>0</v>
      </c>
      <c r="M760" t="s">
        <v>219</v>
      </c>
      <c r="N760" t="s">
        <v>84</v>
      </c>
      <c r="O760" t="s">
        <v>95</v>
      </c>
      <c r="P760" t="s">
        <v>2234</v>
      </c>
      <c r="Q760">
        <f t="shared" si="198"/>
        <v>4</v>
      </c>
      <c r="R760">
        <f t="shared" si="199"/>
        <v>1</v>
      </c>
      <c r="S760">
        <f t="shared" si="200"/>
        <v>2</v>
      </c>
      <c r="T760">
        <f t="shared" si="201"/>
        <v>5</v>
      </c>
      <c r="U760">
        <v>0</v>
      </c>
      <c r="V760">
        <f t="shared" si="202"/>
        <v>0</v>
      </c>
      <c r="W760">
        <f t="shared" si="203"/>
        <v>0</v>
      </c>
      <c r="X760">
        <f t="shared" si="204"/>
        <v>0</v>
      </c>
      <c r="Y760">
        <f t="shared" si="205"/>
        <v>0</v>
      </c>
      <c r="Z760">
        <f t="shared" si="206"/>
        <v>0</v>
      </c>
      <c r="AA760">
        <f t="shared" si="207"/>
        <v>0</v>
      </c>
      <c r="AB760">
        <f t="shared" si="208"/>
        <v>0</v>
      </c>
      <c r="AC760">
        <f t="shared" si="209"/>
        <v>0</v>
      </c>
      <c r="AD760">
        <f t="shared" si="210"/>
        <v>0</v>
      </c>
      <c r="AE760">
        <f t="shared" si="211"/>
        <v>1</v>
      </c>
      <c r="AF760">
        <f t="shared" si="212"/>
        <v>0</v>
      </c>
      <c r="AG760">
        <f t="shared" si="213"/>
        <v>1</v>
      </c>
      <c r="AH760">
        <f t="shared" si="214"/>
        <v>0</v>
      </c>
      <c r="AI760">
        <f t="shared" si="215"/>
        <v>0</v>
      </c>
    </row>
    <row r="761" spans="1:35" x14ac:dyDescent="0.2">
      <c r="A761">
        <v>318</v>
      </c>
      <c r="B761" t="s">
        <v>16</v>
      </c>
      <c r="C761">
        <v>7</v>
      </c>
      <c r="D761" t="s">
        <v>2235</v>
      </c>
      <c r="E761" t="s">
        <v>19</v>
      </c>
      <c r="F761" t="s">
        <v>19</v>
      </c>
      <c r="G761" t="s">
        <v>18</v>
      </c>
      <c r="H761" t="s">
        <v>20</v>
      </c>
      <c r="I761">
        <v>4</v>
      </c>
      <c r="J761">
        <v>3</v>
      </c>
      <c r="K761" s="1">
        <v>5</v>
      </c>
      <c r="L761" t="s">
        <v>98</v>
      </c>
      <c r="M761" t="s">
        <v>219</v>
      </c>
      <c r="N761" t="s">
        <v>84</v>
      </c>
      <c r="O761" t="s">
        <v>501</v>
      </c>
      <c r="P761" t="s">
        <v>2236</v>
      </c>
      <c r="Q761">
        <f t="shared" si="198"/>
        <v>3</v>
      </c>
      <c r="R761">
        <f t="shared" si="199"/>
        <v>3</v>
      </c>
      <c r="S761">
        <f t="shared" si="200"/>
        <v>4</v>
      </c>
      <c r="T761">
        <f t="shared" si="201"/>
        <v>2</v>
      </c>
      <c r="U761">
        <v>5</v>
      </c>
      <c r="V761">
        <f t="shared" si="202"/>
        <v>0</v>
      </c>
      <c r="W761">
        <f t="shared" si="203"/>
        <v>1</v>
      </c>
      <c r="X761">
        <f t="shared" si="204"/>
        <v>0</v>
      </c>
      <c r="Y761">
        <f t="shared" si="205"/>
        <v>0</v>
      </c>
      <c r="Z761">
        <f t="shared" si="206"/>
        <v>0</v>
      </c>
      <c r="AA761">
        <f t="shared" si="207"/>
        <v>0</v>
      </c>
      <c r="AB761">
        <f t="shared" si="208"/>
        <v>0</v>
      </c>
      <c r="AC761">
        <f t="shared" si="209"/>
        <v>0</v>
      </c>
      <c r="AD761">
        <f t="shared" si="210"/>
        <v>0</v>
      </c>
      <c r="AE761">
        <f t="shared" si="211"/>
        <v>1</v>
      </c>
      <c r="AF761">
        <f t="shared" si="212"/>
        <v>0</v>
      </c>
      <c r="AG761">
        <f t="shared" si="213"/>
        <v>1</v>
      </c>
      <c r="AH761">
        <f t="shared" si="214"/>
        <v>0</v>
      </c>
      <c r="AI761">
        <f t="shared" si="215"/>
        <v>0</v>
      </c>
    </row>
    <row r="762" spans="1:35" x14ac:dyDescent="0.2">
      <c r="A762">
        <v>319</v>
      </c>
      <c r="B762" t="s">
        <v>16</v>
      </c>
      <c r="C762">
        <v>7</v>
      </c>
      <c r="D762" t="s">
        <v>2237</v>
      </c>
      <c r="E762" t="s">
        <v>18</v>
      </c>
      <c r="F762" t="s">
        <v>20</v>
      </c>
      <c r="G762" t="s">
        <v>19</v>
      </c>
      <c r="H762" t="s">
        <v>18</v>
      </c>
      <c r="I762">
        <v>6</v>
      </c>
      <c r="J762">
        <v>8</v>
      </c>
      <c r="K762">
        <v>50</v>
      </c>
      <c r="L762" t="s">
        <v>53</v>
      </c>
      <c r="M762" t="s">
        <v>23</v>
      </c>
      <c r="N762" t="s">
        <v>24</v>
      </c>
      <c r="O762" t="s">
        <v>402</v>
      </c>
      <c r="P762" t="s">
        <v>2238</v>
      </c>
      <c r="Q762">
        <f t="shared" si="198"/>
        <v>4</v>
      </c>
      <c r="R762">
        <f t="shared" si="199"/>
        <v>2</v>
      </c>
      <c r="S762">
        <f t="shared" si="200"/>
        <v>3</v>
      </c>
      <c r="T762">
        <f t="shared" si="201"/>
        <v>4</v>
      </c>
      <c r="U762">
        <v>50</v>
      </c>
      <c r="V762">
        <f t="shared" si="202"/>
        <v>0</v>
      </c>
      <c r="W762">
        <f t="shared" si="203"/>
        <v>0</v>
      </c>
      <c r="X762">
        <f t="shared" si="204"/>
        <v>1</v>
      </c>
      <c r="Y762">
        <f t="shared" si="205"/>
        <v>0</v>
      </c>
      <c r="Z762">
        <f t="shared" si="206"/>
        <v>0</v>
      </c>
      <c r="AA762">
        <f t="shared" si="207"/>
        <v>1</v>
      </c>
      <c r="AB762">
        <f t="shared" si="208"/>
        <v>0</v>
      </c>
      <c r="AC762">
        <f t="shared" si="209"/>
        <v>0</v>
      </c>
      <c r="AD762">
        <f t="shared" si="210"/>
        <v>0</v>
      </c>
      <c r="AE762">
        <f t="shared" si="211"/>
        <v>0</v>
      </c>
      <c r="AF762">
        <f t="shared" si="212"/>
        <v>0</v>
      </c>
      <c r="AG762">
        <f t="shared" si="213"/>
        <v>0</v>
      </c>
      <c r="AH762">
        <f t="shared" si="214"/>
        <v>1</v>
      </c>
      <c r="AI762">
        <f t="shared" si="215"/>
        <v>0</v>
      </c>
    </row>
    <row r="763" spans="1:35" x14ac:dyDescent="0.2">
      <c r="A763">
        <v>320</v>
      </c>
      <c r="B763" t="s">
        <v>16</v>
      </c>
      <c r="C763">
        <v>8</v>
      </c>
      <c r="D763" t="s">
        <v>2239</v>
      </c>
      <c r="E763" t="s">
        <v>19</v>
      </c>
      <c r="F763" t="s">
        <v>21</v>
      </c>
      <c r="G763" t="s">
        <v>20</v>
      </c>
      <c r="H763" t="s">
        <v>19</v>
      </c>
      <c r="I763">
        <v>10</v>
      </c>
      <c r="J763">
        <v>7</v>
      </c>
      <c r="K763" t="s">
        <v>2240</v>
      </c>
      <c r="L763" t="s">
        <v>714</v>
      </c>
      <c r="M763" t="s">
        <v>48</v>
      </c>
      <c r="N763" t="s">
        <v>24</v>
      </c>
      <c r="O763" t="s">
        <v>2241</v>
      </c>
      <c r="P763" t="s">
        <v>2242</v>
      </c>
      <c r="Q763">
        <f t="shared" si="198"/>
        <v>3</v>
      </c>
      <c r="R763">
        <f t="shared" si="199"/>
        <v>1</v>
      </c>
      <c r="S763">
        <f t="shared" si="200"/>
        <v>2</v>
      </c>
      <c r="T763">
        <f t="shared" si="201"/>
        <v>3</v>
      </c>
      <c r="U763">
        <v>200</v>
      </c>
      <c r="V763">
        <f t="shared" si="202"/>
        <v>0</v>
      </c>
      <c r="W763">
        <f t="shared" si="203"/>
        <v>0</v>
      </c>
      <c r="X763">
        <f t="shared" si="204"/>
        <v>1</v>
      </c>
      <c r="Y763">
        <f t="shared" si="205"/>
        <v>1</v>
      </c>
      <c r="Z763">
        <f t="shared" si="206"/>
        <v>1</v>
      </c>
      <c r="AA763">
        <f t="shared" si="207"/>
        <v>1</v>
      </c>
      <c r="AB763">
        <f t="shared" si="208"/>
        <v>1</v>
      </c>
      <c r="AC763">
        <f t="shared" si="209"/>
        <v>1</v>
      </c>
      <c r="AD763">
        <f t="shared" si="210"/>
        <v>0</v>
      </c>
      <c r="AE763">
        <f t="shared" si="211"/>
        <v>0</v>
      </c>
      <c r="AF763">
        <f t="shared" si="212"/>
        <v>0</v>
      </c>
      <c r="AG763">
        <f t="shared" si="213"/>
        <v>0</v>
      </c>
      <c r="AH763">
        <f t="shared" si="214"/>
        <v>1</v>
      </c>
      <c r="AI763">
        <f t="shared" si="215"/>
        <v>0</v>
      </c>
    </row>
    <row r="764" spans="1:35" x14ac:dyDescent="0.2">
      <c r="A764">
        <v>321</v>
      </c>
      <c r="B764" t="s">
        <v>16</v>
      </c>
      <c r="C764">
        <v>6</v>
      </c>
      <c r="D764" t="s">
        <v>2243</v>
      </c>
      <c r="E764" t="s">
        <v>18</v>
      </c>
      <c r="F764" t="s">
        <v>20</v>
      </c>
      <c r="G764" t="s">
        <v>19</v>
      </c>
      <c r="H764" t="s">
        <v>18</v>
      </c>
      <c r="I764">
        <v>5</v>
      </c>
      <c r="J764">
        <v>7</v>
      </c>
      <c r="K764" t="s">
        <v>2244</v>
      </c>
      <c r="L764" t="s">
        <v>22</v>
      </c>
      <c r="M764" t="s">
        <v>219</v>
      </c>
      <c r="N764" t="s">
        <v>24</v>
      </c>
      <c r="O764" t="s">
        <v>2245</v>
      </c>
      <c r="P764" t="s">
        <v>2246</v>
      </c>
      <c r="Q764">
        <f t="shared" si="198"/>
        <v>4</v>
      </c>
      <c r="R764">
        <f t="shared" si="199"/>
        <v>2</v>
      </c>
      <c r="S764">
        <f t="shared" si="200"/>
        <v>3</v>
      </c>
      <c r="T764">
        <f t="shared" si="201"/>
        <v>4</v>
      </c>
      <c r="U764">
        <v>30</v>
      </c>
      <c r="V764">
        <f t="shared" si="202"/>
        <v>1</v>
      </c>
      <c r="W764">
        <f t="shared" si="203"/>
        <v>0</v>
      </c>
      <c r="X764">
        <f t="shared" si="204"/>
        <v>0</v>
      </c>
      <c r="Y764">
        <f t="shared" si="205"/>
        <v>0</v>
      </c>
      <c r="Z764">
        <f t="shared" si="206"/>
        <v>0</v>
      </c>
      <c r="AA764">
        <f t="shared" si="207"/>
        <v>0</v>
      </c>
      <c r="AB764">
        <f t="shared" si="208"/>
        <v>0</v>
      </c>
      <c r="AC764">
        <f t="shared" si="209"/>
        <v>0</v>
      </c>
      <c r="AD764">
        <f t="shared" si="210"/>
        <v>0</v>
      </c>
      <c r="AE764">
        <f t="shared" si="211"/>
        <v>1</v>
      </c>
      <c r="AF764">
        <f t="shared" si="212"/>
        <v>0</v>
      </c>
      <c r="AG764">
        <f t="shared" si="213"/>
        <v>0</v>
      </c>
      <c r="AH764">
        <f t="shared" si="214"/>
        <v>1</v>
      </c>
      <c r="AI764">
        <f t="shared" si="215"/>
        <v>0</v>
      </c>
    </row>
    <row r="765" spans="1:35" x14ac:dyDescent="0.2">
      <c r="A765">
        <v>322</v>
      </c>
      <c r="B765" t="s">
        <v>16</v>
      </c>
      <c r="C765">
        <v>8</v>
      </c>
      <c r="D765" t="s">
        <v>2247</v>
      </c>
      <c r="E765" t="s">
        <v>18</v>
      </c>
      <c r="F765" t="s">
        <v>18</v>
      </c>
      <c r="G765" t="s">
        <v>19</v>
      </c>
      <c r="H765" t="s">
        <v>18</v>
      </c>
      <c r="I765">
        <v>4</v>
      </c>
      <c r="J765">
        <v>5</v>
      </c>
      <c r="K765">
        <v>100</v>
      </c>
      <c r="L765" t="s">
        <v>194</v>
      </c>
      <c r="M765" t="s">
        <v>291</v>
      </c>
      <c r="N765" t="s">
        <v>147</v>
      </c>
      <c r="O765" t="s">
        <v>590</v>
      </c>
      <c r="P765" t="s">
        <v>2248</v>
      </c>
      <c r="Q765">
        <f t="shared" si="198"/>
        <v>4</v>
      </c>
      <c r="R765">
        <f t="shared" si="199"/>
        <v>4</v>
      </c>
      <c r="S765">
        <f t="shared" si="200"/>
        <v>3</v>
      </c>
      <c r="T765">
        <f t="shared" si="201"/>
        <v>4</v>
      </c>
      <c r="U765">
        <v>100</v>
      </c>
      <c r="V765">
        <f t="shared" si="202"/>
        <v>0</v>
      </c>
      <c r="W765">
        <f t="shared" si="203"/>
        <v>0</v>
      </c>
      <c r="X765">
        <f t="shared" si="204"/>
        <v>0</v>
      </c>
      <c r="Y765">
        <f t="shared" si="205"/>
        <v>1</v>
      </c>
      <c r="Z765">
        <f t="shared" si="206"/>
        <v>1</v>
      </c>
      <c r="AA765">
        <f t="shared" si="207"/>
        <v>0</v>
      </c>
      <c r="AB765">
        <f t="shared" si="208"/>
        <v>1</v>
      </c>
      <c r="AC765">
        <f t="shared" si="209"/>
        <v>0</v>
      </c>
      <c r="AD765">
        <f t="shared" si="210"/>
        <v>1</v>
      </c>
      <c r="AE765">
        <f t="shared" si="211"/>
        <v>0</v>
      </c>
      <c r="AF765">
        <f t="shared" si="212"/>
        <v>0</v>
      </c>
      <c r="AG765">
        <f t="shared" si="213"/>
        <v>0</v>
      </c>
      <c r="AH765">
        <f t="shared" si="214"/>
        <v>1</v>
      </c>
      <c r="AI765">
        <f t="shared" si="215"/>
        <v>1</v>
      </c>
    </row>
    <row r="766" spans="1:35" x14ac:dyDescent="0.2">
      <c r="A766">
        <v>323</v>
      </c>
      <c r="B766" t="s">
        <v>16</v>
      </c>
      <c r="C766">
        <v>8</v>
      </c>
      <c r="D766" t="s">
        <v>2249</v>
      </c>
      <c r="E766" t="s">
        <v>18</v>
      </c>
      <c r="F766" t="s">
        <v>20</v>
      </c>
      <c r="G766" t="s">
        <v>19</v>
      </c>
      <c r="H766" t="s">
        <v>18</v>
      </c>
      <c r="I766">
        <v>6</v>
      </c>
      <c r="J766">
        <v>4</v>
      </c>
      <c r="K766">
        <v>2000</v>
      </c>
      <c r="L766" t="s">
        <v>22</v>
      </c>
      <c r="M766" t="s">
        <v>80</v>
      </c>
      <c r="N766" t="s">
        <v>24</v>
      </c>
      <c r="O766" t="s">
        <v>88</v>
      </c>
      <c r="P766" t="s">
        <v>2250</v>
      </c>
      <c r="Q766">
        <f t="shared" si="198"/>
        <v>4</v>
      </c>
      <c r="R766">
        <f t="shared" si="199"/>
        <v>2</v>
      </c>
      <c r="S766">
        <f t="shared" si="200"/>
        <v>3</v>
      </c>
      <c r="T766">
        <f t="shared" si="201"/>
        <v>4</v>
      </c>
      <c r="U766">
        <v>2000</v>
      </c>
      <c r="V766">
        <f t="shared" si="202"/>
        <v>1</v>
      </c>
      <c r="W766">
        <f t="shared" si="203"/>
        <v>0</v>
      </c>
      <c r="X766">
        <f t="shared" si="204"/>
        <v>0</v>
      </c>
      <c r="Y766">
        <f t="shared" si="205"/>
        <v>0</v>
      </c>
      <c r="Z766">
        <f t="shared" si="206"/>
        <v>0</v>
      </c>
      <c r="AA766">
        <f t="shared" si="207"/>
        <v>1</v>
      </c>
      <c r="AB766">
        <f t="shared" si="208"/>
        <v>1</v>
      </c>
      <c r="AC766">
        <f t="shared" si="209"/>
        <v>0</v>
      </c>
      <c r="AD766">
        <f t="shared" si="210"/>
        <v>0</v>
      </c>
      <c r="AE766">
        <f t="shared" si="211"/>
        <v>1</v>
      </c>
      <c r="AF766">
        <f t="shared" si="212"/>
        <v>0</v>
      </c>
      <c r="AG766">
        <f t="shared" si="213"/>
        <v>0</v>
      </c>
      <c r="AH766">
        <f t="shared" si="214"/>
        <v>1</v>
      </c>
      <c r="AI766">
        <f t="shared" si="215"/>
        <v>0</v>
      </c>
    </row>
    <row r="767" spans="1:35" x14ac:dyDescent="0.2">
      <c r="A767">
        <v>324</v>
      </c>
      <c r="B767" t="s">
        <v>16</v>
      </c>
      <c r="C767">
        <v>7</v>
      </c>
      <c r="D767" t="s">
        <v>2251</v>
      </c>
      <c r="E767" t="s">
        <v>20</v>
      </c>
      <c r="F767" t="s">
        <v>18</v>
      </c>
      <c r="G767" t="s">
        <v>19</v>
      </c>
      <c r="H767" t="s">
        <v>18</v>
      </c>
      <c r="I767">
        <v>4</v>
      </c>
      <c r="J767">
        <v>3</v>
      </c>
      <c r="K767" s="1">
        <v>300</v>
      </c>
      <c r="L767" t="s">
        <v>98</v>
      </c>
      <c r="M767" t="s">
        <v>219</v>
      </c>
      <c r="N767" t="s">
        <v>215</v>
      </c>
      <c r="O767" t="s">
        <v>2252</v>
      </c>
      <c r="P767" t="s">
        <v>2253</v>
      </c>
      <c r="Q767">
        <f t="shared" si="198"/>
        <v>2</v>
      </c>
      <c r="R767">
        <f t="shared" si="199"/>
        <v>4</v>
      </c>
      <c r="S767">
        <f t="shared" si="200"/>
        <v>3</v>
      </c>
      <c r="T767">
        <f t="shared" si="201"/>
        <v>4</v>
      </c>
      <c r="U767">
        <v>300</v>
      </c>
      <c r="V767">
        <f t="shared" si="202"/>
        <v>0</v>
      </c>
      <c r="W767">
        <f t="shared" si="203"/>
        <v>1</v>
      </c>
      <c r="X767">
        <f t="shared" si="204"/>
        <v>0</v>
      </c>
      <c r="Y767">
        <f t="shared" si="205"/>
        <v>0</v>
      </c>
      <c r="Z767">
        <f t="shared" si="206"/>
        <v>0</v>
      </c>
      <c r="AA767">
        <f t="shared" si="207"/>
        <v>0</v>
      </c>
      <c r="AB767">
        <f t="shared" si="208"/>
        <v>0</v>
      </c>
      <c r="AC767">
        <f t="shared" si="209"/>
        <v>0</v>
      </c>
      <c r="AD767">
        <f t="shared" si="210"/>
        <v>0</v>
      </c>
      <c r="AE767">
        <f t="shared" si="211"/>
        <v>1</v>
      </c>
      <c r="AF767">
        <f t="shared" si="212"/>
        <v>1</v>
      </c>
      <c r="AG767">
        <f t="shared" si="213"/>
        <v>0</v>
      </c>
      <c r="AH767">
        <f t="shared" si="214"/>
        <v>0</v>
      </c>
      <c r="AI767">
        <f t="shared" si="215"/>
        <v>0</v>
      </c>
    </row>
    <row r="768" spans="1:35" x14ac:dyDescent="0.2">
      <c r="A768">
        <v>325</v>
      </c>
      <c r="B768" t="s">
        <v>16</v>
      </c>
      <c r="C768">
        <v>6</v>
      </c>
      <c r="D768" t="s">
        <v>2254</v>
      </c>
      <c r="E768" t="s">
        <v>18</v>
      </c>
      <c r="F768" t="s">
        <v>20</v>
      </c>
      <c r="G768" t="s">
        <v>18</v>
      </c>
      <c r="H768" t="s">
        <v>19</v>
      </c>
      <c r="I768">
        <v>5</v>
      </c>
      <c r="J768">
        <v>5</v>
      </c>
      <c r="K768">
        <v>70</v>
      </c>
      <c r="L768" t="s">
        <v>562</v>
      </c>
      <c r="M768" t="s">
        <v>154</v>
      </c>
      <c r="N768" t="s">
        <v>84</v>
      </c>
      <c r="O768" t="s">
        <v>2255</v>
      </c>
      <c r="P768" t="s">
        <v>2256</v>
      </c>
      <c r="Q768">
        <f t="shared" si="198"/>
        <v>4</v>
      </c>
      <c r="R768">
        <f t="shared" si="199"/>
        <v>2</v>
      </c>
      <c r="S768">
        <f t="shared" si="200"/>
        <v>4</v>
      </c>
      <c r="T768">
        <f t="shared" si="201"/>
        <v>3</v>
      </c>
      <c r="U768">
        <v>70</v>
      </c>
      <c r="V768">
        <f t="shared" si="202"/>
        <v>0</v>
      </c>
      <c r="W768">
        <f t="shared" si="203"/>
        <v>1</v>
      </c>
      <c r="X768">
        <f t="shared" si="204"/>
        <v>1</v>
      </c>
      <c r="Y768">
        <f t="shared" si="205"/>
        <v>0</v>
      </c>
      <c r="Z768">
        <f t="shared" si="206"/>
        <v>1</v>
      </c>
      <c r="AA768">
        <f t="shared" si="207"/>
        <v>1</v>
      </c>
      <c r="AB768">
        <f t="shared" si="208"/>
        <v>0</v>
      </c>
      <c r="AC768">
        <f t="shared" si="209"/>
        <v>1</v>
      </c>
      <c r="AD768">
        <f t="shared" si="210"/>
        <v>0</v>
      </c>
      <c r="AE768">
        <f t="shared" si="211"/>
        <v>0</v>
      </c>
      <c r="AF768">
        <f t="shared" si="212"/>
        <v>0</v>
      </c>
      <c r="AG768">
        <f t="shared" si="213"/>
        <v>1</v>
      </c>
      <c r="AH768">
        <f t="shared" si="214"/>
        <v>0</v>
      </c>
      <c r="AI768">
        <f t="shared" si="215"/>
        <v>0</v>
      </c>
    </row>
    <row r="769" spans="1:35" x14ac:dyDescent="0.2">
      <c r="A769">
        <v>326</v>
      </c>
      <c r="B769" t="s">
        <v>16</v>
      </c>
      <c r="C769">
        <v>6</v>
      </c>
      <c r="D769" t="s">
        <v>2257</v>
      </c>
      <c r="E769" t="s">
        <v>18</v>
      </c>
      <c r="F769" t="s">
        <v>18</v>
      </c>
      <c r="G769" t="s">
        <v>18</v>
      </c>
      <c r="H769" t="s">
        <v>18</v>
      </c>
      <c r="I769">
        <v>5</v>
      </c>
      <c r="J769">
        <v>4</v>
      </c>
      <c r="K769">
        <v>1000</v>
      </c>
      <c r="L769" t="s">
        <v>79</v>
      </c>
      <c r="M769" t="s">
        <v>48</v>
      </c>
      <c r="N769" t="s">
        <v>651</v>
      </c>
      <c r="O769" t="s">
        <v>60</v>
      </c>
      <c r="P769" t="s">
        <v>2258</v>
      </c>
      <c r="Q769">
        <f t="shared" si="198"/>
        <v>4</v>
      </c>
      <c r="R769">
        <f t="shared" si="199"/>
        <v>4</v>
      </c>
      <c r="S769">
        <f t="shared" si="200"/>
        <v>4</v>
      </c>
      <c r="T769">
        <f t="shared" si="201"/>
        <v>4</v>
      </c>
      <c r="U769">
        <v>1000</v>
      </c>
      <c r="V769">
        <f t="shared" si="202"/>
        <v>0</v>
      </c>
      <c r="W769">
        <f t="shared" si="203"/>
        <v>1</v>
      </c>
      <c r="X769">
        <f t="shared" si="204"/>
        <v>0</v>
      </c>
      <c r="Y769">
        <f t="shared" si="205"/>
        <v>0</v>
      </c>
      <c r="Z769">
        <f t="shared" si="206"/>
        <v>1</v>
      </c>
      <c r="AA769">
        <f t="shared" si="207"/>
        <v>1</v>
      </c>
      <c r="AB769">
        <f t="shared" si="208"/>
        <v>1</v>
      </c>
      <c r="AC769">
        <f t="shared" si="209"/>
        <v>1</v>
      </c>
      <c r="AD769">
        <f t="shared" si="210"/>
        <v>0</v>
      </c>
      <c r="AE769">
        <f t="shared" si="211"/>
        <v>0</v>
      </c>
      <c r="AF769">
        <f t="shared" si="212"/>
        <v>1</v>
      </c>
      <c r="AG769">
        <f t="shared" si="213"/>
        <v>0</v>
      </c>
      <c r="AH769">
        <f t="shared" si="214"/>
        <v>1</v>
      </c>
      <c r="AI769">
        <f t="shared" si="215"/>
        <v>0</v>
      </c>
    </row>
    <row r="770" spans="1:35" x14ac:dyDescent="0.2">
      <c r="A770">
        <v>327</v>
      </c>
      <c r="B770" t="s">
        <v>16</v>
      </c>
      <c r="C770">
        <v>8</v>
      </c>
      <c r="D770" t="s">
        <v>2259</v>
      </c>
      <c r="E770" t="s">
        <v>18</v>
      </c>
      <c r="F770" t="s">
        <v>21</v>
      </c>
      <c r="G770" t="s">
        <v>21</v>
      </c>
      <c r="H770" t="s">
        <v>18</v>
      </c>
      <c r="I770">
        <v>9</v>
      </c>
      <c r="J770">
        <v>3</v>
      </c>
      <c r="K770" s="1">
        <v>60</v>
      </c>
      <c r="L770" t="s">
        <v>75</v>
      </c>
      <c r="M770" t="s">
        <v>468</v>
      </c>
      <c r="N770" t="s">
        <v>36</v>
      </c>
      <c r="O770" t="s">
        <v>2260</v>
      </c>
      <c r="P770" t="s">
        <v>2261</v>
      </c>
      <c r="Q770">
        <f t="shared" si="198"/>
        <v>4</v>
      </c>
      <c r="R770">
        <f t="shared" si="199"/>
        <v>1</v>
      </c>
      <c r="S770">
        <f t="shared" si="200"/>
        <v>1</v>
      </c>
      <c r="T770">
        <f t="shared" si="201"/>
        <v>4</v>
      </c>
      <c r="U770">
        <v>60</v>
      </c>
      <c r="V770">
        <f t="shared" si="202"/>
        <v>0</v>
      </c>
      <c r="W770">
        <f t="shared" si="203"/>
        <v>0</v>
      </c>
      <c r="X770">
        <f t="shared" si="204"/>
        <v>1</v>
      </c>
      <c r="Y770">
        <f t="shared" si="205"/>
        <v>1</v>
      </c>
      <c r="Z770">
        <f t="shared" si="206"/>
        <v>0</v>
      </c>
      <c r="AA770">
        <f t="shared" si="207"/>
        <v>1</v>
      </c>
      <c r="AB770">
        <f t="shared" si="208"/>
        <v>1</v>
      </c>
      <c r="AC770">
        <f t="shared" si="209"/>
        <v>1</v>
      </c>
      <c r="AD770">
        <f t="shared" si="210"/>
        <v>1</v>
      </c>
      <c r="AE770">
        <f t="shared" si="211"/>
        <v>1</v>
      </c>
      <c r="AF770">
        <f t="shared" si="212"/>
        <v>0</v>
      </c>
      <c r="AG770">
        <f t="shared" si="213"/>
        <v>0</v>
      </c>
      <c r="AH770">
        <f t="shared" si="214"/>
        <v>0</v>
      </c>
      <c r="AI770">
        <f t="shared" si="215"/>
        <v>1</v>
      </c>
    </row>
    <row r="771" spans="1:35" x14ac:dyDescent="0.2">
      <c r="A771">
        <v>328</v>
      </c>
      <c r="B771" t="s">
        <v>16</v>
      </c>
      <c r="C771">
        <v>7</v>
      </c>
      <c r="D771" t="s">
        <v>2262</v>
      </c>
      <c r="E771" t="s">
        <v>18</v>
      </c>
      <c r="F771" t="s">
        <v>20</v>
      </c>
      <c r="G771" t="s">
        <v>18</v>
      </c>
      <c r="H771" t="s">
        <v>18</v>
      </c>
      <c r="I771">
        <v>4</v>
      </c>
      <c r="J771">
        <v>4</v>
      </c>
      <c r="K771">
        <v>0</v>
      </c>
      <c r="L771" t="s">
        <v>53</v>
      </c>
      <c r="M771" t="s">
        <v>35</v>
      </c>
      <c r="N771" t="s">
        <v>24</v>
      </c>
      <c r="O771" t="s">
        <v>2263</v>
      </c>
      <c r="P771" t="s">
        <v>2264</v>
      </c>
      <c r="Q771">
        <f t="shared" ref="Q771:Q834" si="216">IF(E771="", "", LEFT(E771, 1) * 1)</f>
        <v>4</v>
      </c>
      <c r="R771">
        <f t="shared" ref="R771:R834" si="217">IF(F771="","",VALUE(LEFT(F771,FIND(" ",F771)-1)))</f>
        <v>2</v>
      </c>
      <c r="S771">
        <f t="shared" ref="S771:S834" si="218">IF(G771="","",VALUE(LEFT(G771,FIND(" ",G771)-1)))</f>
        <v>4</v>
      </c>
      <c r="T771">
        <f t="shared" ref="T771:T834" si="219">IF(H771="","",VALUE(LEFT(H771,FIND(" ",H771)-1)))</f>
        <v>4</v>
      </c>
      <c r="U771">
        <v>0</v>
      </c>
      <c r="V771">
        <f t="shared" ref="V771:V834" si="220">IF(L771="",0,IF(ISNUMBER(SEARCH("Bathroom",L771)),1,0))</f>
        <v>0</v>
      </c>
      <c r="W771">
        <f t="shared" ref="W771:W834" si="221">IF(L771="",0,IF(ISNUMBER(SEARCH("Dining room",L771)),1,0))</f>
        <v>0</v>
      </c>
      <c r="X771">
        <f t="shared" ref="X771:X834" si="222">IF(L771="",0,IF(ISNUMBER(SEARCH("Office",L771)),1,0))</f>
        <v>1</v>
      </c>
      <c r="Y771">
        <f t="shared" ref="Y771:Y834" si="223">IF(L771="",0,IF(ISNUMBER(SEARCH("Bedroom",L771)),1,0))</f>
        <v>0</v>
      </c>
      <c r="Z771">
        <f t="shared" ref="Z771:Z834" si="224">IF(L771="",0,IF(ISNUMBER(SEARCH("Living room",L771)),1,0))</f>
        <v>0</v>
      </c>
      <c r="AA771">
        <f t="shared" ref="AA771:AA834" si="225">IF(M771="",0, IF(ISNUMBER(SEARCH("By yourself",M771)), 1, 0))</f>
        <v>0</v>
      </c>
      <c r="AB771">
        <f t="shared" ref="AB771:AB834" si="226">IF(M771="", 0, IF(ISNUMBER(SEARCH("Friends", M771)), 1, 0))</f>
        <v>0</v>
      </c>
      <c r="AC771">
        <f t="shared" ref="AC771:AC834" si="227">IF(M771="",0,IF(ISNUMBER(SEARCH("Family members", M771)), 1, 0))</f>
        <v>0</v>
      </c>
      <c r="AD771">
        <f t="shared" ref="AD771:AD834" si="228">IF(M771="", 0, IF(ISNUMBER(SEARCH("Coworkers/Classmates", M771)), 1, 0))</f>
        <v>1</v>
      </c>
      <c r="AE771">
        <f t="shared" ref="AE771:AE834" si="229">IF(M771="", 0, IF(ISNUMBER(SEARCH("Strangers", M771)), 1, 0))</f>
        <v>0</v>
      </c>
      <c r="AF771">
        <f t="shared" ref="AF771:AF834" si="230">IF(N771="", 0, IF(ISNUMBER(SEARCH("Spring", N771)), 1, 0))</f>
        <v>0</v>
      </c>
      <c r="AG771">
        <f t="shared" ref="AG771:AG834" si="231">IF(N771="", 0, IF(ISNUMBER(SEARCH("Summer", N771)), 1, 0))</f>
        <v>0</v>
      </c>
      <c r="AH771">
        <f t="shared" ref="AH771:AH834" si="232">IF(N771="", 0, IF(ISNUMBER(SEARCH("Fall", N771)), 1, 0))</f>
        <v>1</v>
      </c>
      <c r="AI771">
        <f t="shared" ref="AI771:AI834" si="233">IF(N771="", 0, IF(ISNUMBER(SEARCH("Winter", N771)), 1, 0))</f>
        <v>0</v>
      </c>
    </row>
    <row r="772" spans="1:35" x14ac:dyDescent="0.2">
      <c r="A772">
        <v>329</v>
      </c>
      <c r="B772" t="s">
        <v>16</v>
      </c>
      <c r="C772">
        <v>8</v>
      </c>
      <c r="D772" t="s">
        <v>2265</v>
      </c>
      <c r="E772" t="s">
        <v>18</v>
      </c>
      <c r="F772" t="s">
        <v>20</v>
      </c>
      <c r="G772" t="s">
        <v>20</v>
      </c>
      <c r="H772" t="s">
        <v>18</v>
      </c>
      <c r="I772">
        <v>5</v>
      </c>
      <c r="J772">
        <v>5</v>
      </c>
      <c r="K772" s="1">
        <v>25000</v>
      </c>
      <c r="L772" t="s">
        <v>41</v>
      </c>
      <c r="M772" t="s">
        <v>23</v>
      </c>
      <c r="N772" t="s">
        <v>24</v>
      </c>
      <c r="O772" t="s">
        <v>2266</v>
      </c>
      <c r="P772" t="s">
        <v>2267</v>
      </c>
      <c r="Q772">
        <f t="shared" si="216"/>
        <v>4</v>
      </c>
      <c r="R772">
        <f t="shared" si="217"/>
        <v>2</v>
      </c>
      <c r="S772">
        <f t="shared" si="218"/>
        <v>2</v>
      </c>
      <c r="T772">
        <f t="shared" si="219"/>
        <v>4</v>
      </c>
      <c r="U772">
        <v>25000</v>
      </c>
      <c r="V772">
        <f t="shared" si="220"/>
        <v>0</v>
      </c>
      <c r="W772">
        <f t="shared" si="221"/>
        <v>0</v>
      </c>
      <c r="X772">
        <f t="shared" si="222"/>
        <v>0</v>
      </c>
      <c r="Y772">
        <f t="shared" si="223"/>
        <v>0</v>
      </c>
      <c r="Z772">
        <f t="shared" si="224"/>
        <v>1</v>
      </c>
      <c r="AA772">
        <f t="shared" si="225"/>
        <v>1</v>
      </c>
      <c r="AB772">
        <f t="shared" si="226"/>
        <v>0</v>
      </c>
      <c r="AC772">
        <f t="shared" si="227"/>
        <v>0</v>
      </c>
      <c r="AD772">
        <f t="shared" si="228"/>
        <v>0</v>
      </c>
      <c r="AE772">
        <f t="shared" si="229"/>
        <v>0</v>
      </c>
      <c r="AF772">
        <f t="shared" si="230"/>
        <v>0</v>
      </c>
      <c r="AG772">
        <f t="shared" si="231"/>
        <v>0</v>
      </c>
      <c r="AH772">
        <f t="shared" si="232"/>
        <v>1</v>
      </c>
      <c r="AI772">
        <f t="shared" si="233"/>
        <v>0</v>
      </c>
    </row>
    <row r="773" spans="1:35" x14ac:dyDescent="0.2">
      <c r="A773">
        <v>330</v>
      </c>
      <c r="B773" t="s">
        <v>16</v>
      </c>
      <c r="C773">
        <v>4</v>
      </c>
      <c r="D773" t="s">
        <v>2268</v>
      </c>
      <c r="E773" t="s">
        <v>18</v>
      </c>
      <c r="F773" t="s">
        <v>21</v>
      </c>
      <c r="G773" t="s">
        <v>20</v>
      </c>
      <c r="H773" t="s">
        <v>39</v>
      </c>
      <c r="I773">
        <v>4</v>
      </c>
      <c r="J773">
        <v>7</v>
      </c>
      <c r="K773">
        <v>30</v>
      </c>
      <c r="L773" t="s">
        <v>53</v>
      </c>
      <c r="M773" t="s">
        <v>23</v>
      </c>
      <c r="N773" t="s">
        <v>147</v>
      </c>
      <c r="O773" t="s">
        <v>141</v>
      </c>
      <c r="P773" t="s">
        <v>2269</v>
      </c>
      <c r="Q773">
        <f t="shared" si="216"/>
        <v>4</v>
      </c>
      <c r="R773">
        <f t="shared" si="217"/>
        <v>1</v>
      </c>
      <c r="S773">
        <f t="shared" si="218"/>
        <v>2</v>
      </c>
      <c r="T773">
        <f t="shared" si="219"/>
        <v>5</v>
      </c>
      <c r="U773">
        <v>30</v>
      </c>
      <c r="V773">
        <f t="shared" si="220"/>
        <v>0</v>
      </c>
      <c r="W773">
        <f t="shared" si="221"/>
        <v>0</v>
      </c>
      <c r="X773">
        <f t="shared" si="222"/>
        <v>1</v>
      </c>
      <c r="Y773">
        <f t="shared" si="223"/>
        <v>0</v>
      </c>
      <c r="Z773">
        <f t="shared" si="224"/>
        <v>0</v>
      </c>
      <c r="AA773">
        <f t="shared" si="225"/>
        <v>1</v>
      </c>
      <c r="AB773">
        <f t="shared" si="226"/>
        <v>0</v>
      </c>
      <c r="AC773">
        <f t="shared" si="227"/>
        <v>0</v>
      </c>
      <c r="AD773">
        <f t="shared" si="228"/>
        <v>0</v>
      </c>
      <c r="AE773">
        <f t="shared" si="229"/>
        <v>0</v>
      </c>
      <c r="AF773">
        <f t="shared" si="230"/>
        <v>0</v>
      </c>
      <c r="AG773">
        <f t="shared" si="231"/>
        <v>0</v>
      </c>
      <c r="AH773">
        <f t="shared" si="232"/>
        <v>1</v>
      </c>
      <c r="AI773">
        <f t="shared" si="233"/>
        <v>1</v>
      </c>
    </row>
    <row r="774" spans="1:35" x14ac:dyDescent="0.2">
      <c r="A774">
        <v>331</v>
      </c>
      <c r="B774" t="s">
        <v>16</v>
      </c>
      <c r="C774">
        <v>7</v>
      </c>
      <c r="D774" t="s">
        <v>2270</v>
      </c>
      <c r="E774" t="s">
        <v>18</v>
      </c>
      <c r="F774" t="s">
        <v>20</v>
      </c>
      <c r="G774" t="s">
        <v>19</v>
      </c>
      <c r="H774" t="s">
        <v>39</v>
      </c>
      <c r="I774">
        <v>4</v>
      </c>
      <c r="J774">
        <v>5</v>
      </c>
      <c r="K774">
        <v>200</v>
      </c>
      <c r="L774" t="s">
        <v>53</v>
      </c>
      <c r="M774" t="s">
        <v>29</v>
      </c>
      <c r="N774" t="s">
        <v>84</v>
      </c>
      <c r="O774" t="s">
        <v>683</v>
      </c>
      <c r="P774" t="s">
        <v>2271</v>
      </c>
      <c r="Q774">
        <f t="shared" si="216"/>
        <v>4</v>
      </c>
      <c r="R774">
        <f t="shared" si="217"/>
        <v>2</v>
      </c>
      <c r="S774">
        <f t="shared" si="218"/>
        <v>3</v>
      </c>
      <c r="T774">
        <f t="shared" si="219"/>
        <v>5</v>
      </c>
      <c r="U774">
        <v>200</v>
      </c>
      <c r="V774">
        <f t="shared" si="220"/>
        <v>0</v>
      </c>
      <c r="W774">
        <f t="shared" si="221"/>
        <v>0</v>
      </c>
      <c r="X774">
        <f t="shared" si="222"/>
        <v>1</v>
      </c>
      <c r="Y774">
        <f t="shared" si="223"/>
        <v>0</v>
      </c>
      <c r="Z774">
        <f t="shared" si="224"/>
        <v>0</v>
      </c>
      <c r="AA774">
        <f t="shared" si="225"/>
        <v>1</v>
      </c>
      <c r="AB774">
        <f t="shared" si="226"/>
        <v>0</v>
      </c>
      <c r="AC774">
        <f t="shared" si="227"/>
        <v>0</v>
      </c>
      <c r="AD774">
        <f t="shared" si="228"/>
        <v>1</v>
      </c>
      <c r="AE774">
        <f t="shared" si="229"/>
        <v>0</v>
      </c>
      <c r="AF774">
        <f t="shared" si="230"/>
        <v>0</v>
      </c>
      <c r="AG774">
        <f t="shared" si="231"/>
        <v>1</v>
      </c>
      <c r="AH774">
        <f t="shared" si="232"/>
        <v>0</v>
      </c>
      <c r="AI774">
        <f t="shared" si="233"/>
        <v>0</v>
      </c>
    </row>
    <row r="775" spans="1:35" x14ac:dyDescent="0.2">
      <c r="A775">
        <v>332</v>
      </c>
      <c r="B775" t="s">
        <v>16</v>
      </c>
      <c r="C775">
        <v>3</v>
      </c>
      <c r="D775" t="s">
        <v>2272</v>
      </c>
      <c r="E775" t="s">
        <v>18</v>
      </c>
      <c r="F775" t="s">
        <v>21</v>
      </c>
      <c r="G775" t="s">
        <v>20</v>
      </c>
      <c r="H775" t="s">
        <v>18</v>
      </c>
      <c r="I775">
        <v>2</v>
      </c>
      <c r="J775">
        <v>6</v>
      </c>
      <c r="K775">
        <v>0</v>
      </c>
      <c r="L775" t="s">
        <v>22</v>
      </c>
      <c r="M775" t="s">
        <v>115</v>
      </c>
      <c r="N775" t="s">
        <v>84</v>
      </c>
      <c r="O775" t="s">
        <v>2273</v>
      </c>
      <c r="P775" t="s">
        <v>2274</v>
      </c>
      <c r="Q775">
        <f t="shared" si="216"/>
        <v>4</v>
      </c>
      <c r="R775">
        <f t="shared" si="217"/>
        <v>1</v>
      </c>
      <c r="S775">
        <f t="shared" si="218"/>
        <v>2</v>
      </c>
      <c r="T775">
        <f t="shared" si="219"/>
        <v>4</v>
      </c>
      <c r="U775">
        <v>0</v>
      </c>
      <c r="V775">
        <f t="shared" si="220"/>
        <v>1</v>
      </c>
      <c r="W775">
        <f t="shared" si="221"/>
        <v>0</v>
      </c>
      <c r="X775">
        <f t="shared" si="222"/>
        <v>0</v>
      </c>
      <c r="Y775">
        <f t="shared" si="223"/>
        <v>0</v>
      </c>
      <c r="Z775">
        <f t="shared" si="224"/>
        <v>0</v>
      </c>
      <c r="AA775">
        <f t="shared" si="225"/>
        <v>0</v>
      </c>
      <c r="AB775">
        <f t="shared" si="226"/>
        <v>0</v>
      </c>
      <c r="AC775">
        <f t="shared" si="227"/>
        <v>1</v>
      </c>
      <c r="AD775">
        <f t="shared" si="228"/>
        <v>0</v>
      </c>
      <c r="AE775">
        <f t="shared" si="229"/>
        <v>0</v>
      </c>
      <c r="AF775">
        <f t="shared" si="230"/>
        <v>0</v>
      </c>
      <c r="AG775">
        <f t="shared" si="231"/>
        <v>1</v>
      </c>
      <c r="AH775">
        <f t="shared" si="232"/>
        <v>0</v>
      </c>
      <c r="AI775">
        <f t="shared" si="233"/>
        <v>0</v>
      </c>
    </row>
    <row r="776" spans="1:35" x14ac:dyDescent="0.2">
      <c r="A776">
        <v>333</v>
      </c>
      <c r="B776" t="s">
        <v>16</v>
      </c>
      <c r="C776">
        <v>7</v>
      </c>
      <c r="D776" t="s">
        <v>2275</v>
      </c>
      <c r="E776" t="s">
        <v>18</v>
      </c>
      <c r="F776" t="s">
        <v>20</v>
      </c>
      <c r="G776" t="s">
        <v>20</v>
      </c>
      <c r="H776" t="s">
        <v>18</v>
      </c>
      <c r="I776">
        <v>7</v>
      </c>
      <c r="J776">
        <v>8</v>
      </c>
      <c r="K776" s="1">
        <v>10</v>
      </c>
      <c r="L776" t="s">
        <v>22</v>
      </c>
      <c r="M776" t="s">
        <v>42</v>
      </c>
      <c r="N776" t="s">
        <v>24</v>
      </c>
      <c r="O776" t="s">
        <v>2276</v>
      </c>
      <c r="P776" t="s">
        <v>2277</v>
      </c>
      <c r="Q776">
        <f t="shared" si="216"/>
        <v>4</v>
      </c>
      <c r="R776">
        <f t="shared" si="217"/>
        <v>2</v>
      </c>
      <c r="S776">
        <f t="shared" si="218"/>
        <v>2</v>
      </c>
      <c r="T776">
        <f t="shared" si="219"/>
        <v>4</v>
      </c>
      <c r="U776">
        <v>10</v>
      </c>
      <c r="V776">
        <f t="shared" si="220"/>
        <v>1</v>
      </c>
      <c r="W776">
        <f t="shared" si="221"/>
        <v>0</v>
      </c>
      <c r="X776">
        <f t="shared" si="222"/>
        <v>0</v>
      </c>
      <c r="Y776">
        <f t="shared" si="223"/>
        <v>0</v>
      </c>
      <c r="Z776">
        <f t="shared" si="224"/>
        <v>0</v>
      </c>
      <c r="AA776">
        <f t="shared" si="225"/>
        <v>0</v>
      </c>
      <c r="AB776">
        <f t="shared" si="226"/>
        <v>1</v>
      </c>
      <c r="AC776">
        <f t="shared" si="227"/>
        <v>0</v>
      </c>
      <c r="AD776">
        <f t="shared" si="228"/>
        <v>0</v>
      </c>
      <c r="AE776">
        <f t="shared" si="229"/>
        <v>0</v>
      </c>
      <c r="AF776">
        <f t="shared" si="230"/>
        <v>0</v>
      </c>
      <c r="AG776">
        <f t="shared" si="231"/>
        <v>0</v>
      </c>
      <c r="AH776">
        <f t="shared" si="232"/>
        <v>1</v>
      </c>
      <c r="AI776">
        <f t="shared" si="233"/>
        <v>0</v>
      </c>
    </row>
    <row r="777" spans="1:35" x14ac:dyDescent="0.2">
      <c r="A777">
        <v>334</v>
      </c>
      <c r="B777" t="s">
        <v>16</v>
      </c>
      <c r="C777">
        <v>1</v>
      </c>
      <c r="D777" t="s">
        <v>2278</v>
      </c>
      <c r="E777" t="s">
        <v>21</v>
      </c>
      <c r="F777" t="s">
        <v>21</v>
      </c>
      <c r="G777" t="s">
        <v>19</v>
      </c>
      <c r="H777" t="s">
        <v>21</v>
      </c>
      <c r="I777">
        <v>3</v>
      </c>
      <c r="J777">
        <v>6</v>
      </c>
      <c r="K777" t="s">
        <v>2279</v>
      </c>
      <c r="L777" t="s">
        <v>47</v>
      </c>
      <c r="M777" t="s">
        <v>48</v>
      </c>
      <c r="N777" t="s">
        <v>24</v>
      </c>
      <c r="O777" t="s">
        <v>2280</v>
      </c>
      <c r="P777" t="s">
        <v>2281</v>
      </c>
      <c r="Q777">
        <f t="shared" si="216"/>
        <v>1</v>
      </c>
      <c r="R777">
        <f t="shared" si="217"/>
        <v>1</v>
      </c>
      <c r="S777">
        <f t="shared" si="218"/>
        <v>3</v>
      </c>
      <c r="T777">
        <f t="shared" si="219"/>
        <v>1</v>
      </c>
      <c r="U777">
        <v>30</v>
      </c>
      <c r="V777">
        <f t="shared" si="220"/>
        <v>0</v>
      </c>
      <c r="W777">
        <f t="shared" si="221"/>
        <v>0</v>
      </c>
      <c r="X777">
        <f t="shared" si="222"/>
        <v>1</v>
      </c>
      <c r="Y777">
        <f t="shared" si="223"/>
        <v>0</v>
      </c>
      <c r="Z777">
        <f t="shared" si="224"/>
        <v>1</v>
      </c>
      <c r="AA777">
        <f t="shared" si="225"/>
        <v>1</v>
      </c>
      <c r="AB777">
        <f t="shared" si="226"/>
        <v>1</v>
      </c>
      <c r="AC777">
        <f t="shared" si="227"/>
        <v>1</v>
      </c>
      <c r="AD777">
        <f t="shared" si="228"/>
        <v>0</v>
      </c>
      <c r="AE777">
        <f t="shared" si="229"/>
        <v>0</v>
      </c>
      <c r="AF777">
        <f t="shared" si="230"/>
        <v>0</v>
      </c>
      <c r="AG777">
        <f t="shared" si="231"/>
        <v>0</v>
      </c>
      <c r="AH777">
        <f t="shared" si="232"/>
        <v>1</v>
      </c>
      <c r="AI777">
        <f t="shared" si="233"/>
        <v>0</v>
      </c>
    </row>
    <row r="778" spans="1:35" x14ac:dyDescent="0.2">
      <c r="A778">
        <v>335</v>
      </c>
      <c r="B778" t="s">
        <v>16</v>
      </c>
      <c r="C778">
        <v>5</v>
      </c>
      <c r="D778" t="s">
        <v>2282</v>
      </c>
      <c r="E778" t="s">
        <v>18</v>
      </c>
      <c r="F778" t="s">
        <v>20</v>
      </c>
      <c r="G778" t="s">
        <v>20</v>
      </c>
      <c r="H778" t="s">
        <v>18</v>
      </c>
      <c r="I778">
        <v>4</v>
      </c>
      <c r="J778">
        <v>5</v>
      </c>
      <c r="K778">
        <v>0</v>
      </c>
      <c r="L778" t="s">
        <v>98</v>
      </c>
      <c r="M778" t="s">
        <v>219</v>
      </c>
      <c r="N778" t="s">
        <v>84</v>
      </c>
      <c r="O778" t="s">
        <v>208</v>
      </c>
      <c r="P778" t="s">
        <v>2283</v>
      </c>
      <c r="Q778">
        <f t="shared" si="216"/>
        <v>4</v>
      </c>
      <c r="R778">
        <f t="shared" si="217"/>
        <v>2</v>
      </c>
      <c r="S778">
        <f t="shared" si="218"/>
        <v>2</v>
      </c>
      <c r="T778">
        <f t="shared" si="219"/>
        <v>4</v>
      </c>
      <c r="U778">
        <v>0</v>
      </c>
      <c r="V778">
        <f t="shared" si="220"/>
        <v>0</v>
      </c>
      <c r="W778">
        <f t="shared" si="221"/>
        <v>1</v>
      </c>
      <c r="X778">
        <f t="shared" si="222"/>
        <v>0</v>
      </c>
      <c r="Y778">
        <f t="shared" si="223"/>
        <v>0</v>
      </c>
      <c r="Z778">
        <f t="shared" si="224"/>
        <v>0</v>
      </c>
      <c r="AA778">
        <f t="shared" si="225"/>
        <v>0</v>
      </c>
      <c r="AB778">
        <f t="shared" si="226"/>
        <v>0</v>
      </c>
      <c r="AC778">
        <f t="shared" si="227"/>
        <v>0</v>
      </c>
      <c r="AD778">
        <f t="shared" si="228"/>
        <v>0</v>
      </c>
      <c r="AE778">
        <f t="shared" si="229"/>
        <v>1</v>
      </c>
      <c r="AF778">
        <f t="shared" si="230"/>
        <v>0</v>
      </c>
      <c r="AG778">
        <f t="shared" si="231"/>
        <v>1</v>
      </c>
      <c r="AH778">
        <f t="shared" si="232"/>
        <v>0</v>
      </c>
      <c r="AI778">
        <f t="shared" si="233"/>
        <v>0</v>
      </c>
    </row>
    <row r="779" spans="1:35" x14ac:dyDescent="0.2">
      <c r="A779">
        <v>336</v>
      </c>
      <c r="B779" t="s">
        <v>16</v>
      </c>
      <c r="C779">
        <v>4</v>
      </c>
      <c r="D779" t="s">
        <v>2284</v>
      </c>
      <c r="E779" t="s">
        <v>18</v>
      </c>
      <c r="F779" t="s">
        <v>21</v>
      </c>
      <c r="G779" t="s">
        <v>19</v>
      </c>
      <c r="H779" t="s">
        <v>18</v>
      </c>
      <c r="I779">
        <v>5</v>
      </c>
      <c r="J779">
        <v>9</v>
      </c>
      <c r="K779">
        <v>100</v>
      </c>
      <c r="L779" t="s">
        <v>53</v>
      </c>
      <c r="M779" t="s">
        <v>23</v>
      </c>
      <c r="N779" t="s">
        <v>84</v>
      </c>
      <c r="O779" t="s">
        <v>2285</v>
      </c>
      <c r="P779" t="s">
        <v>2286</v>
      </c>
      <c r="Q779">
        <f t="shared" si="216"/>
        <v>4</v>
      </c>
      <c r="R779">
        <f t="shared" si="217"/>
        <v>1</v>
      </c>
      <c r="S779">
        <f t="shared" si="218"/>
        <v>3</v>
      </c>
      <c r="T779">
        <f t="shared" si="219"/>
        <v>4</v>
      </c>
      <c r="U779">
        <v>100</v>
      </c>
      <c r="V779">
        <f t="shared" si="220"/>
        <v>0</v>
      </c>
      <c r="W779">
        <f t="shared" si="221"/>
        <v>0</v>
      </c>
      <c r="X779">
        <f t="shared" si="222"/>
        <v>1</v>
      </c>
      <c r="Y779">
        <f t="shared" si="223"/>
        <v>0</v>
      </c>
      <c r="Z779">
        <f t="shared" si="224"/>
        <v>0</v>
      </c>
      <c r="AA779">
        <f t="shared" si="225"/>
        <v>1</v>
      </c>
      <c r="AB779">
        <f t="shared" si="226"/>
        <v>0</v>
      </c>
      <c r="AC779">
        <f t="shared" si="227"/>
        <v>0</v>
      </c>
      <c r="AD779">
        <f t="shared" si="228"/>
        <v>0</v>
      </c>
      <c r="AE779">
        <f t="shared" si="229"/>
        <v>0</v>
      </c>
      <c r="AF779">
        <f t="shared" si="230"/>
        <v>0</v>
      </c>
      <c r="AG779">
        <f t="shared" si="231"/>
        <v>1</v>
      </c>
      <c r="AH779">
        <f t="shared" si="232"/>
        <v>0</v>
      </c>
      <c r="AI779">
        <f t="shared" si="233"/>
        <v>0</v>
      </c>
    </row>
    <row r="780" spans="1:35" x14ac:dyDescent="0.2">
      <c r="A780">
        <v>337</v>
      </c>
      <c r="B780" t="s">
        <v>16</v>
      </c>
      <c r="C780">
        <v>7</v>
      </c>
      <c r="D780" t="s">
        <v>2287</v>
      </c>
      <c r="E780" t="s">
        <v>18</v>
      </c>
      <c r="F780" t="s">
        <v>20</v>
      </c>
      <c r="G780" t="s">
        <v>20</v>
      </c>
      <c r="H780" t="s">
        <v>18</v>
      </c>
      <c r="I780">
        <v>4</v>
      </c>
      <c r="J780">
        <v>3</v>
      </c>
      <c r="K780" s="1">
        <v>30</v>
      </c>
      <c r="L780" t="s">
        <v>53</v>
      </c>
      <c r="M780" t="s">
        <v>291</v>
      </c>
      <c r="N780" t="s">
        <v>215</v>
      </c>
      <c r="O780" t="s">
        <v>2288</v>
      </c>
      <c r="P780" t="s">
        <v>2289</v>
      </c>
      <c r="Q780">
        <f t="shared" si="216"/>
        <v>4</v>
      </c>
      <c r="R780">
        <f t="shared" si="217"/>
        <v>2</v>
      </c>
      <c r="S780">
        <f t="shared" si="218"/>
        <v>2</v>
      </c>
      <c r="T780">
        <f t="shared" si="219"/>
        <v>4</v>
      </c>
      <c r="U780">
        <v>30</v>
      </c>
      <c r="V780">
        <f t="shared" si="220"/>
        <v>0</v>
      </c>
      <c r="W780">
        <f t="shared" si="221"/>
        <v>0</v>
      </c>
      <c r="X780">
        <f t="shared" si="222"/>
        <v>1</v>
      </c>
      <c r="Y780">
        <f t="shared" si="223"/>
        <v>0</v>
      </c>
      <c r="Z780">
        <f t="shared" si="224"/>
        <v>0</v>
      </c>
      <c r="AA780">
        <f t="shared" si="225"/>
        <v>0</v>
      </c>
      <c r="AB780">
        <f t="shared" si="226"/>
        <v>1</v>
      </c>
      <c r="AC780">
        <f t="shared" si="227"/>
        <v>0</v>
      </c>
      <c r="AD780">
        <f t="shared" si="228"/>
        <v>1</v>
      </c>
      <c r="AE780">
        <f t="shared" si="229"/>
        <v>0</v>
      </c>
      <c r="AF780">
        <f t="shared" si="230"/>
        <v>1</v>
      </c>
      <c r="AG780">
        <f t="shared" si="231"/>
        <v>0</v>
      </c>
      <c r="AH780">
        <f t="shared" si="232"/>
        <v>0</v>
      </c>
      <c r="AI780">
        <f t="shared" si="233"/>
        <v>0</v>
      </c>
    </row>
    <row r="781" spans="1:35" ht="51" x14ac:dyDescent="0.2">
      <c r="A781">
        <v>338</v>
      </c>
      <c r="B781" t="s">
        <v>16</v>
      </c>
      <c r="C781">
        <v>10</v>
      </c>
      <c r="D781" s="3" t="s">
        <v>2290</v>
      </c>
      <c r="E781" t="s">
        <v>18</v>
      </c>
      <c r="F781" t="s">
        <v>21</v>
      </c>
      <c r="G781" t="s">
        <v>21</v>
      </c>
      <c r="H781" t="s">
        <v>18</v>
      </c>
      <c r="I781">
        <v>4</v>
      </c>
      <c r="J781">
        <v>5</v>
      </c>
      <c r="K781" t="s">
        <v>2291</v>
      </c>
      <c r="L781" t="s">
        <v>53</v>
      </c>
      <c r="M781" t="s">
        <v>23</v>
      </c>
      <c r="N781" t="s">
        <v>84</v>
      </c>
      <c r="O781" t="s">
        <v>2292</v>
      </c>
      <c r="P781" t="s">
        <v>2293</v>
      </c>
      <c r="Q781">
        <f t="shared" si="216"/>
        <v>4</v>
      </c>
      <c r="R781">
        <f t="shared" si="217"/>
        <v>1</v>
      </c>
      <c r="S781">
        <f t="shared" si="218"/>
        <v>1</v>
      </c>
      <c r="T781">
        <f t="shared" si="219"/>
        <v>4</v>
      </c>
      <c r="U781">
        <v>30</v>
      </c>
      <c r="V781">
        <f t="shared" si="220"/>
        <v>0</v>
      </c>
      <c r="W781">
        <f t="shared" si="221"/>
        <v>0</v>
      </c>
      <c r="X781">
        <f t="shared" si="222"/>
        <v>1</v>
      </c>
      <c r="Y781">
        <f t="shared" si="223"/>
        <v>0</v>
      </c>
      <c r="Z781">
        <f t="shared" si="224"/>
        <v>0</v>
      </c>
      <c r="AA781">
        <f t="shared" si="225"/>
        <v>1</v>
      </c>
      <c r="AB781">
        <f t="shared" si="226"/>
        <v>0</v>
      </c>
      <c r="AC781">
        <f t="shared" si="227"/>
        <v>0</v>
      </c>
      <c r="AD781">
        <f t="shared" si="228"/>
        <v>0</v>
      </c>
      <c r="AE781">
        <f t="shared" si="229"/>
        <v>0</v>
      </c>
      <c r="AF781">
        <f t="shared" si="230"/>
        <v>0</v>
      </c>
      <c r="AG781">
        <f t="shared" si="231"/>
        <v>1</v>
      </c>
      <c r="AH781">
        <f t="shared" si="232"/>
        <v>0</v>
      </c>
      <c r="AI781">
        <f t="shared" si="233"/>
        <v>0</v>
      </c>
    </row>
    <row r="782" spans="1:35" x14ac:dyDescent="0.2">
      <c r="A782">
        <v>339</v>
      </c>
      <c r="B782" t="s">
        <v>16</v>
      </c>
      <c r="C782">
        <v>8</v>
      </c>
      <c r="D782" t="s">
        <v>2097</v>
      </c>
      <c r="E782" t="s">
        <v>18</v>
      </c>
      <c r="F782" t="s">
        <v>18</v>
      </c>
      <c r="G782" t="s">
        <v>20</v>
      </c>
      <c r="H782" t="s">
        <v>18</v>
      </c>
      <c r="I782">
        <v>5</v>
      </c>
      <c r="J782">
        <v>5</v>
      </c>
      <c r="K782">
        <v>1500</v>
      </c>
      <c r="L782" t="s">
        <v>47</v>
      </c>
      <c r="M782" t="s">
        <v>23</v>
      </c>
      <c r="N782" t="s">
        <v>36</v>
      </c>
      <c r="O782" t="s">
        <v>2294</v>
      </c>
      <c r="P782" t="s">
        <v>2295</v>
      </c>
      <c r="Q782">
        <f t="shared" si="216"/>
        <v>4</v>
      </c>
      <c r="R782">
        <f t="shared" si="217"/>
        <v>4</v>
      </c>
      <c r="S782">
        <f t="shared" si="218"/>
        <v>2</v>
      </c>
      <c r="T782">
        <f t="shared" si="219"/>
        <v>4</v>
      </c>
      <c r="U782">
        <v>1500</v>
      </c>
      <c r="V782">
        <f t="shared" si="220"/>
        <v>0</v>
      </c>
      <c r="W782">
        <f t="shared" si="221"/>
        <v>0</v>
      </c>
      <c r="X782">
        <f t="shared" si="222"/>
        <v>1</v>
      </c>
      <c r="Y782">
        <f t="shared" si="223"/>
        <v>0</v>
      </c>
      <c r="Z782">
        <f t="shared" si="224"/>
        <v>1</v>
      </c>
      <c r="AA782">
        <f t="shared" si="225"/>
        <v>1</v>
      </c>
      <c r="AB782">
        <f t="shared" si="226"/>
        <v>0</v>
      </c>
      <c r="AC782">
        <f t="shared" si="227"/>
        <v>0</v>
      </c>
      <c r="AD782">
        <f t="shared" si="228"/>
        <v>0</v>
      </c>
      <c r="AE782">
        <f t="shared" si="229"/>
        <v>0</v>
      </c>
      <c r="AF782">
        <f t="shared" si="230"/>
        <v>0</v>
      </c>
      <c r="AG782">
        <f t="shared" si="231"/>
        <v>0</v>
      </c>
      <c r="AH782">
        <f t="shared" si="232"/>
        <v>0</v>
      </c>
      <c r="AI782">
        <f t="shared" si="233"/>
        <v>1</v>
      </c>
    </row>
    <row r="783" spans="1:35" x14ac:dyDescent="0.2">
      <c r="A783">
        <v>340</v>
      </c>
      <c r="B783" t="s">
        <v>16</v>
      </c>
      <c r="C783">
        <v>5</v>
      </c>
      <c r="D783" t="s">
        <v>2296</v>
      </c>
      <c r="E783" t="s">
        <v>18</v>
      </c>
      <c r="F783" t="s">
        <v>21</v>
      </c>
      <c r="G783" t="s">
        <v>21</v>
      </c>
      <c r="H783" t="s">
        <v>18</v>
      </c>
      <c r="I783">
        <v>4</v>
      </c>
      <c r="J783">
        <v>3</v>
      </c>
      <c r="K783" t="s">
        <v>2297</v>
      </c>
      <c r="L783" t="s">
        <v>53</v>
      </c>
      <c r="M783" t="s">
        <v>42</v>
      </c>
      <c r="N783" t="s">
        <v>24</v>
      </c>
      <c r="O783" t="s">
        <v>2298</v>
      </c>
      <c r="P783" t="s">
        <v>2299</v>
      </c>
      <c r="Q783">
        <f t="shared" si="216"/>
        <v>4</v>
      </c>
      <c r="R783">
        <f t="shared" si="217"/>
        <v>1</v>
      </c>
      <c r="S783">
        <f t="shared" si="218"/>
        <v>1</v>
      </c>
      <c r="T783">
        <f t="shared" si="219"/>
        <v>4</v>
      </c>
      <c r="U783">
        <v>20</v>
      </c>
      <c r="V783">
        <f t="shared" si="220"/>
        <v>0</v>
      </c>
      <c r="W783">
        <f t="shared" si="221"/>
        <v>0</v>
      </c>
      <c r="X783">
        <f t="shared" si="222"/>
        <v>1</v>
      </c>
      <c r="Y783">
        <f t="shared" si="223"/>
        <v>0</v>
      </c>
      <c r="Z783">
        <f t="shared" si="224"/>
        <v>0</v>
      </c>
      <c r="AA783">
        <f t="shared" si="225"/>
        <v>0</v>
      </c>
      <c r="AB783">
        <f t="shared" si="226"/>
        <v>1</v>
      </c>
      <c r="AC783">
        <f t="shared" si="227"/>
        <v>0</v>
      </c>
      <c r="AD783">
        <f t="shared" si="228"/>
        <v>0</v>
      </c>
      <c r="AE783">
        <f t="shared" si="229"/>
        <v>0</v>
      </c>
      <c r="AF783">
        <f t="shared" si="230"/>
        <v>0</v>
      </c>
      <c r="AG783">
        <f t="shared" si="231"/>
        <v>0</v>
      </c>
      <c r="AH783">
        <f t="shared" si="232"/>
        <v>1</v>
      </c>
      <c r="AI783">
        <f t="shared" si="233"/>
        <v>0</v>
      </c>
    </row>
    <row r="784" spans="1:35" x14ac:dyDescent="0.2">
      <c r="A784">
        <v>341</v>
      </c>
      <c r="B784" t="s">
        <v>16</v>
      </c>
      <c r="C784">
        <v>7</v>
      </c>
      <c r="D784" t="s">
        <v>2300</v>
      </c>
      <c r="E784" t="s">
        <v>18</v>
      </c>
      <c r="F784" t="s">
        <v>20</v>
      </c>
      <c r="G784" t="s">
        <v>20</v>
      </c>
      <c r="H784" t="s">
        <v>18</v>
      </c>
      <c r="I784">
        <v>5</v>
      </c>
      <c r="J784">
        <v>5</v>
      </c>
      <c r="K784">
        <v>25000</v>
      </c>
      <c r="L784" t="s">
        <v>79</v>
      </c>
      <c r="M784" t="s">
        <v>23</v>
      </c>
      <c r="N784" t="s">
        <v>24</v>
      </c>
      <c r="O784" t="s">
        <v>2301</v>
      </c>
      <c r="P784" t="s">
        <v>2302</v>
      </c>
      <c r="Q784">
        <f t="shared" si="216"/>
        <v>4</v>
      </c>
      <c r="R784">
        <f t="shared" si="217"/>
        <v>2</v>
      </c>
      <c r="S784">
        <f t="shared" si="218"/>
        <v>2</v>
      </c>
      <c r="T784">
        <f t="shared" si="219"/>
        <v>4</v>
      </c>
      <c r="U784">
        <v>25000</v>
      </c>
      <c r="V784">
        <f t="shared" si="220"/>
        <v>0</v>
      </c>
      <c r="W784">
        <f t="shared" si="221"/>
        <v>1</v>
      </c>
      <c r="X784">
        <f t="shared" si="222"/>
        <v>0</v>
      </c>
      <c r="Y784">
        <f t="shared" si="223"/>
        <v>0</v>
      </c>
      <c r="Z784">
        <f t="shared" si="224"/>
        <v>1</v>
      </c>
      <c r="AA784">
        <f t="shared" si="225"/>
        <v>1</v>
      </c>
      <c r="AB784">
        <f t="shared" si="226"/>
        <v>0</v>
      </c>
      <c r="AC784">
        <f t="shared" si="227"/>
        <v>0</v>
      </c>
      <c r="AD784">
        <f t="shared" si="228"/>
        <v>0</v>
      </c>
      <c r="AE784">
        <f t="shared" si="229"/>
        <v>0</v>
      </c>
      <c r="AF784">
        <f t="shared" si="230"/>
        <v>0</v>
      </c>
      <c r="AG784">
        <f t="shared" si="231"/>
        <v>0</v>
      </c>
      <c r="AH784">
        <f t="shared" si="232"/>
        <v>1</v>
      </c>
      <c r="AI784">
        <f t="shared" si="233"/>
        <v>0</v>
      </c>
    </row>
    <row r="785" spans="1:35" x14ac:dyDescent="0.2">
      <c r="A785">
        <v>342</v>
      </c>
      <c r="B785" t="s">
        <v>16</v>
      </c>
      <c r="C785">
        <v>7</v>
      </c>
      <c r="D785" t="s">
        <v>2303</v>
      </c>
      <c r="E785" t="s">
        <v>18</v>
      </c>
      <c r="F785" t="s">
        <v>20</v>
      </c>
      <c r="G785" t="s">
        <v>19</v>
      </c>
      <c r="H785" t="s">
        <v>18</v>
      </c>
      <c r="I785">
        <v>4</v>
      </c>
      <c r="J785">
        <v>4</v>
      </c>
      <c r="K785">
        <v>50</v>
      </c>
      <c r="L785" t="s">
        <v>41</v>
      </c>
      <c r="M785" t="s">
        <v>23</v>
      </c>
      <c r="N785" t="s">
        <v>84</v>
      </c>
      <c r="O785" t="s">
        <v>2304</v>
      </c>
      <c r="P785" t="s">
        <v>2305</v>
      </c>
      <c r="Q785">
        <f t="shared" si="216"/>
        <v>4</v>
      </c>
      <c r="R785">
        <f t="shared" si="217"/>
        <v>2</v>
      </c>
      <c r="S785">
        <f t="shared" si="218"/>
        <v>3</v>
      </c>
      <c r="T785">
        <f t="shared" si="219"/>
        <v>4</v>
      </c>
      <c r="U785">
        <v>50</v>
      </c>
      <c r="V785">
        <f t="shared" si="220"/>
        <v>0</v>
      </c>
      <c r="W785">
        <f t="shared" si="221"/>
        <v>0</v>
      </c>
      <c r="X785">
        <f t="shared" si="222"/>
        <v>0</v>
      </c>
      <c r="Y785">
        <f t="shared" si="223"/>
        <v>0</v>
      </c>
      <c r="Z785">
        <f t="shared" si="224"/>
        <v>1</v>
      </c>
      <c r="AA785">
        <f t="shared" si="225"/>
        <v>1</v>
      </c>
      <c r="AB785">
        <f t="shared" si="226"/>
        <v>0</v>
      </c>
      <c r="AC785">
        <f t="shared" si="227"/>
        <v>0</v>
      </c>
      <c r="AD785">
        <f t="shared" si="228"/>
        <v>0</v>
      </c>
      <c r="AE785">
        <f t="shared" si="229"/>
        <v>0</v>
      </c>
      <c r="AF785">
        <f t="shared" si="230"/>
        <v>0</v>
      </c>
      <c r="AG785">
        <f t="shared" si="231"/>
        <v>1</v>
      </c>
      <c r="AH785">
        <f t="shared" si="232"/>
        <v>0</v>
      </c>
      <c r="AI785">
        <f t="shared" si="233"/>
        <v>0</v>
      </c>
    </row>
    <row r="786" spans="1:35" x14ac:dyDescent="0.2">
      <c r="A786">
        <v>343</v>
      </c>
      <c r="B786" t="s">
        <v>16</v>
      </c>
      <c r="C786">
        <v>2</v>
      </c>
      <c r="D786" t="s">
        <v>2097</v>
      </c>
      <c r="E786" t="s">
        <v>18</v>
      </c>
      <c r="F786" t="s">
        <v>20</v>
      </c>
      <c r="G786" t="s">
        <v>20</v>
      </c>
      <c r="H786" t="s">
        <v>18</v>
      </c>
      <c r="I786">
        <v>3</v>
      </c>
      <c r="J786">
        <v>1</v>
      </c>
      <c r="K786">
        <v>10</v>
      </c>
      <c r="L786" t="s">
        <v>41</v>
      </c>
      <c r="M786" t="s">
        <v>42</v>
      </c>
      <c r="N786" t="s">
        <v>24</v>
      </c>
      <c r="O786" t="s">
        <v>148</v>
      </c>
      <c r="P786" t="s">
        <v>2306</v>
      </c>
      <c r="Q786">
        <f t="shared" si="216"/>
        <v>4</v>
      </c>
      <c r="R786">
        <f t="shared" si="217"/>
        <v>2</v>
      </c>
      <c r="S786">
        <f t="shared" si="218"/>
        <v>2</v>
      </c>
      <c r="T786">
        <f t="shared" si="219"/>
        <v>4</v>
      </c>
      <c r="U786">
        <v>10</v>
      </c>
      <c r="V786">
        <f t="shared" si="220"/>
        <v>0</v>
      </c>
      <c r="W786">
        <f t="shared" si="221"/>
        <v>0</v>
      </c>
      <c r="X786">
        <f t="shared" si="222"/>
        <v>0</v>
      </c>
      <c r="Y786">
        <f t="shared" si="223"/>
        <v>0</v>
      </c>
      <c r="Z786">
        <f t="shared" si="224"/>
        <v>1</v>
      </c>
      <c r="AA786">
        <f t="shared" si="225"/>
        <v>0</v>
      </c>
      <c r="AB786">
        <f t="shared" si="226"/>
        <v>1</v>
      </c>
      <c r="AC786">
        <f t="shared" si="227"/>
        <v>0</v>
      </c>
      <c r="AD786">
        <f t="shared" si="228"/>
        <v>0</v>
      </c>
      <c r="AE786">
        <f t="shared" si="229"/>
        <v>0</v>
      </c>
      <c r="AF786">
        <f t="shared" si="230"/>
        <v>0</v>
      </c>
      <c r="AG786">
        <f t="shared" si="231"/>
        <v>0</v>
      </c>
      <c r="AH786">
        <f t="shared" si="232"/>
        <v>1</v>
      </c>
      <c r="AI786">
        <f t="shared" si="233"/>
        <v>0</v>
      </c>
    </row>
    <row r="787" spans="1:35" x14ac:dyDescent="0.2">
      <c r="A787">
        <v>344</v>
      </c>
      <c r="B787" t="s">
        <v>16</v>
      </c>
      <c r="C787">
        <v>2</v>
      </c>
      <c r="D787" t="s">
        <v>2307</v>
      </c>
      <c r="E787" t="s">
        <v>18</v>
      </c>
      <c r="F787" t="s">
        <v>20</v>
      </c>
      <c r="G787" t="s">
        <v>20</v>
      </c>
      <c r="H787" t="s">
        <v>20</v>
      </c>
      <c r="I787">
        <v>3</v>
      </c>
      <c r="J787">
        <v>7</v>
      </c>
      <c r="K787">
        <v>5</v>
      </c>
      <c r="L787" t="s">
        <v>41</v>
      </c>
      <c r="M787" t="s">
        <v>42</v>
      </c>
      <c r="N787" t="s">
        <v>215</v>
      </c>
      <c r="O787" t="s">
        <v>2222</v>
      </c>
      <c r="P787" t="s">
        <v>462</v>
      </c>
      <c r="Q787">
        <f t="shared" si="216"/>
        <v>4</v>
      </c>
      <c r="R787">
        <f t="shared" si="217"/>
        <v>2</v>
      </c>
      <c r="S787">
        <f t="shared" si="218"/>
        <v>2</v>
      </c>
      <c r="T787">
        <f t="shared" si="219"/>
        <v>2</v>
      </c>
      <c r="U787">
        <v>5</v>
      </c>
      <c r="V787">
        <f t="shared" si="220"/>
        <v>0</v>
      </c>
      <c r="W787">
        <f t="shared" si="221"/>
        <v>0</v>
      </c>
      <c r="X787">
        <f t="shared" si="222"/>
        <v>0</v>
      </c>
      <c r="Y787">
        <f t="shared" si="223"/>
        <v>0</v>
      </c>
      <c r="Z787">
        <f t="shared" si="224"/>
        <v>1</v>
      </c>
      <c r="AA787">
        <f t="shared" si="225"/>
        <v>0</v>
      </c>
      <c r="AB787">
        <f t="shared" si="226"/>
        <v>1</v>
      </c>
      <c r="AC787">
        <f t="shared" si="227"/>
        <v>0</v>
      </c>
      <c r="AD787">
        <f t="shared" si="228"/>
        <v>0</v>
      </c>
      <c r="AE787">
        <f t="shared" si="229"/>
        <v>0</v>
      </c>
      <c r="AF787">
        <f t="shared" si="230"/>
        <v>1</v>
      </c>
      <c r="AG787">
        <f t="shared" si="231"/>
        <v>0</v>
      </c>
      <c r="AH787">
        <f t="shared" si="232"/>
        <v>0</v>
      </c>
      <c r="AI787">
        <f t="shared" si="233"/>
        <v>0</v>
      </c>
    </row>
    <row r="788" spans="1:35" x14ac:dyDescent="0.2">
      <c r="A788">
        <v>345</v>
      </c>
      <c r="B788" t="s">
        <v>16</v>
      </c>
      <c r="C788">
        <v>7</v>
      </c>
      <c r="D788" t="s">
        <v>2308</v>
      </c>
      <c r="E788" t="s">
        <v>39</v>
      </c>
      <c r="F788" t="s">
        <v>21</v>
      </c>
      <c r="G788" t="s">
        <v>21</v>
      </c>
      <c r="H788" t="s">
        <v>18</v>
      </c>
      <c r="I788">
        <v>3</v>
      </c>
      <c r="J788">
        <v>5</v>
      </c>
      <c r="K788" s="1">
        <v>5</v>
      </c>
      <c r="L788" t="s">
        <v>22</v>
      </c>
      <c r="M788" t="s">
        <v>23</v>
      </c>
      <c r="N788" t="s">
        <v>36</v>
      </c>
      <c r="O788" t="s">
        <v>2309</v>
      </c>
      <c r="P788" t="s">
        <v>2310</v>
      </c>
      <c r="Q788">
        <f t="shared" si="216"/>
        <v>5</v>
      </c>
      <c r="R788">
        <f t="shared" si="217"/>
        <v>1</v>
      </c>
      <c r="S788">
        <f t="shared" si="218"/>
        <v>1</v>
      </c>
      <c r="T788">
        <f t="shared" si="219"/>
        <v>4</v>
      </c>
      <c r="U788">
        <v>5</v>
      </c>
      <c r="V788">
        <f t="shared" si="220"/>
        <v>1</v>
      </c>
      <c r="W788">
        <f t="shared" si="221"/>
        <v>0</v>
      </c>
      <c r="X788">
        <f t="shared" si="222"/>
        <v>0</v>
      </c>
      <c r="Y788">
        <f t="shared" si="223"/>
        <v>0</v>
      </c>
      <c r="Z788">
        <f t="shared" si="224"/>
        <v>0</v>
      </c>
      <c r="AA788">
        <f t="shared" si="225"/>
        <v>1</v>
      </c>
      <c r="AB788">
        <f t="shared" si="226"/>
        <v>0</v>
      </c>
      <c r="AC788">
        <f t="shared" si="227"/>
        <v>0</v>
      </c>
      <c r="AD788">
        <f t="shared" si="228"/>
        <v>0</v>
      </c>
      <c r="AE788">
        <f t="shared" si="229"/>
        <v>0</v>
      </c>
      <c r="AF788">
        <f t="shared" si="230"/>
        <v>0</v>
      </c>
      <c r="AG788">
        <f t="shared" si="231"/>
        <v>0</v>
      </c>
      <c r="AH788">
        <f t="shared" si="232"/>
        <v>0</v>
      </c>
      <c r="AI788">
        <f t="shared" si="233"/>
        <v>1</v>
      </c>
    </row>
    <row r="789" spans="1:35" x14ac:dyDescent="0.2">
      <c r="A789">
        <v>346</v>
      </c>
      <c r="B789" t="s">
        <v>16</v>
      </c>
      <c r="C789">
        <v>10</v>
      </c>
      <c r="D789" t="s">
        <v>2311</v>
      </c>
      <c r="E789" t="s">
        <v>39</v>
      </c>
      <c r="F789" t="s">
        <v>19</v>
      </c>
      <c r="G789" t="s">
        <v>20</v>
      </c>
      <c r="H789" t="s">
        <v>19</v>
      </c>
      <c r="I789">
        <v>5</v>
      </c>
      <c r="J789">
        <v>9</v>
      </c>
      <c r="K789">
        <v>200</v>
      </c>
      <c r="L789" t="s">
        <v>75</v>
      </c>
      <c r="M789" t="s">
        <v>23</v>
      </c>
      <c r="N789" t="s">
        <v>147</v>
      </c>
      <c r="O789" t="s">
        <v>2312</v>
      </c>
      <c r="P789" t="s">
        <v>2313</v>
      </c>
      <c r="Q789">
        <f t="shared" si="216"/>
        <v>5</v>
      </c>
      <c r="R789">
        <f t="shared" si="217"/>
        <v>3</v>
      </c>
      <c r="S789">
        <f t="shared" si="218"/>
        <v>2</v>
      </c>
      <c r="T789">
        <f t="shared" si="219"/>
        <v>3</v>
      </c>
      <c r="U789">
        <v>200</v>
      </c>
      <c r="V789">
        <f t="shared" si="220"/>
        <v>0</v>
      </c>
      <c r="W789">
        <f t="shared" si="221"/>
        <v>0</v>
      </c>
      <c r="X789">
        <f t="shared" si="222"/>
        <v>1</v>
      </c>
      <c r="Y789">
        <f t="shared" si="223"/>
        <v>1</v>
      </c>
      <c r="Z789">
        <f t="shared" si="224"/>
        <v>0</v>
      </c>
      <c r="AA789">
        <f t="shared" si="225"/>
        <v>1</v>
      </c>
      <c r="AB789">
        <f t="shared" si="226"/>
        <v>0</v>
      </c>
      <c r="AC789">
        <f t="shared" si="227"/>
        <v>0</v>
      </c>
      <c r="AD789">
        <f t="shared" si="228"/>
        <v>0</v>
      </c>
      <c r="AE789">
        <f t="shared" si="229"/>
        <v>0</v>
      </c>
      <c r="AF789">
        <f t="shared" si="230"/>
        <v>0</v>
      </c>
      <c r="AG789">
        <f t="shared" si="231"/>
        <v>0</v>
      </c>
      <c r="AH789">
        <f t="shared" si="232"/>
        <v>1</v>
      </c>
      <c r="AI789">
        <f t="shared" si="233"/>
        <v>1</v>
      </c>
    </row>
    <row r="790" spans="1:35" x14ac:dyDescent="0.2">
      <c r="A790">
        <v>347</v>
      </c>
      <c r="B790" t="s">
        <v>16</v>
      </c>
      <c r="C790">
        <v>1</v>
      </c>
      <c r="D790" t="s">
        <v>2314</v>
      </c>
      <c r="E790" t="s">
        <v>18</v>
      </c>
      <c r="F790" t="s">
        <v>21</v>
      </c>
      <c r="G790" t="s">
        <v>20</v>
      </c>
      <c r="H790" t="s">
        <v>39</v>
      </c>
      <c r="I790">
        <v>4</v>
      </c>
      <c r="J790">
        <v>5</v>
      </c>
      <c r="K790">
        <v>100</v>
      </c>
      <c r="L790" t="s">
        <v>41</v>
      </c>
      <c r="M790" t="s">
        <v>219</v>
      </c>
      <c r="N790" t="s">
        <v>84</v>
      </c>
      <c r="O790" t="s">
        <v>257</v>
      </c>
      <c r="P790" t="s">
        <v>2315</v>
      </c>
      <c r="Q790">
        <f t="shared" si="216"/>
        <v>4</v>
      </c>
      <c r="R790">
        <f t="shared" si="217"/>
        <v>1</v>
      </c>
      <c r="S790">
        <f t="shared" si="218"/>
        <v>2</v>
      </c>
      <c r="T790">
        <f t="shared" si="219"/>
        <v>5</v>
      </c>
      <c r="U790">
        <v>100</v>
      </c>
      <c r="V790">
        <f t="shared" si="220"/>
        <v>0</v>
      </c>
      <c r="W790">
        <f t="shared" si="221"/>
        <v>0</v>
      </c>
      <c r="X790">
        <f t="shared" si="222"/>
        <v>0</v>
      </c>
      <c r="Y790">
        <f t="shared" si="223"/>
        <v>0</v>
      </c>
      <c r="Z790">
        <f t="shared" si="224"/>
        <v>1</v>
      </c>
      <c r="AA790">
        <f t="shared" si="225"/>
        <v>0</v>
      </c>
      <c r="AB790">
        <f t="shared" si="226"/>
        <v>0</v>
      </c>
      <c r="AC790">
        <f t="shared" si="227"/>
        <v>0</v>
      </c>
      <c r="AD790">
        <f t="shared" si="228"/>
        <v>0</v>
      </c>
      <c r="AE790">
        <f t="shared" si="229"/>
        <v>1</v>
      </c>
      <c r="AF790">
        <f t="shared" si="230"/>
        <v>0</v>
      </c>
      <c r="AG790">
        <f t="shared" si="231"/>
        <v>1</v>
      </c>
      <c r="AH790">
        <f t="shared" si="232"/>
        <v>0</v>
      </c>
      <c r="AI790">
        <f t="shared" si="233"/>
        <v>0</v>
      </c>
    </row>
    <row r="791" spans="1:35" x14ac:dyDescent="0.2">
      <c r="A791">
        <v>348</v>
      </c>
      <c r="B791" t="s">
        <v>16</v>
      </c>
      <c r="C791">
        <v>6</v>
      </c>
      <c r="D791" t="s">
        <v>2316</v>
      </c>
      <c r="E791" t="s">
        <v>18</v>
      </c>
      <c r="F791" t="s">
        <v>20</v>
      </c>
      <c r="G791" t="s">
        <v>20</v>
      </c>
      <c r="H791" t="s">
        <v>39</v>
      </c>
      <c r="I791">
        <v>5</v>
      </c>
      <c r="J791">
        <v>3</v>
      </c>
      <c r="K791" s="1">
        <v>5</v>
      </c>
      <c r="L791" t="s">
        <v>22</v>
      </c>
      <c r="M791" t="s">
        <v>777</v>
      </c>
      <c r="N791" t="s">
        <v>24</v>
      </c>
      <c r="O791" t="s">
        <v>2317</v>
      </c>
      <c r="P791" t="s">
        <v>2318</v>
      </c>
      <c r="Q791">
        <f t="shared" si="216"/>
        <v>4</v>
      </c>
      <c r="R791">
        <f t="shared" si="217"/>
        <v>2</v>
      </c>
      <c r="S791">
        <f t="shared" si="218"/>
        <v>2</v>
      </c>
      <c r="T791">
        <f t="shared" si="219"/>
        <v>5</v>
      </c>
      <c r="U791">
        <v>5</v>
      </c>
      <c r="V791">
        <f t="shared" si="220"/>
        <v>1</v>
      </c>
      <c r="W791">
        <f t="shared" si="221"/>
        <v>0</v>
      </c>
      <c r="X791">
        <f t="shared" si="222"/>
        <v>0</v>
      </c>
      <c r="Y791">
        <f t="shared" si="223"/>
        <v>0</v>
      </c>
      <c r="Z791">
        <f t="shared" si="224"/>
        <v>0</v>
      </c>
      <c r="AA791">
        <f t="shared" si="225"/>
        <v>0</v>
      </c>
      <c r="AB791">
        <f t="shared" si="226"/>
        <v>1</v>
      </c>
      <c r="AC791">
        <f t="shared" si="227"/>
        <v>0</v>
      </c>
      <c r="AD791">
        <f t="shared" si="228"/>
        <v>0</v>
      </c>
      <c r="AE791">
        <f t="shared" si="229"/>
        <v>1</v>
      </c>
      <c r="AF791">
        <f t="shared" si="230"/>
        <v>0</v>
      </c>
      <c r="AG791">
        <f t="shared" si="231"/>
        <v>0</v>
      </c>
      <c r="AH791">
        <f t="shared" si="232"/>
        <v>1</v>
      </c>
      <c r="AI791">
        <f t="shared" si="233"/>
        <v>0</v>
      </c>
    </row>
    <row r="792" spans="1:35" ht="68" x14ac:dyDescent="0.2">
      <c r="A792">
        <v>349</v>
      </c>
      <c r="B792" t="s">
        <v>16</v>
      </c>
      <c r="C792">
        <v>5</v>
      </c>
      <c r="D792" s="3" t="s">
        <v>2319</v>
      </c>
      <c r="E792" t="s">
        <v>19</v>
      </c>
      <c r="F792" t="s">
        <v>19</v>
      </c>
      <c r="G792" t="s">
        <v>18</v>
      </c>
      <c r="H792" t="s">
        <v>18</v>
      </c>
      <c r="I792">
        <v>4</v>
      </c>
      <c r="J792">
        <v>4</v>
      </c>
      <c r="K792">
        <v>8000000</v>
      </c>
      <c r="L792" t="s">
        <v>562</v>
      </c>
      <c r="M792" t="s">
        <v>777</v>
      </c>
      <c r="N792" t="s">
        <v>49</v>
      </c>
      <c r="O792" t="s">
        <v>2320</v>
      </c>
      <c r="P792" t="s">
        <v>2321</v>
      </c>
      <c r="Q792">
        <f t="shared" si="216"/>
        <v>3</v>
      </c>
      <c r="R792">
        <f t="shared" si="217"/>
        <v>3</v>
      </c>
      <c r="S792">
        <f t="shared" si="218"/>
        <v>4</v>
      </c>
      <c r="T792">
        <f t="shared" si="219"/>
        <v>4</v>
      </c>
      <c r="U792">
        <v>8000000</v>
      </c>
      <c r="V792">
        <f t="shared" si="220"/>
        <v>0</v>
      </c>
      <c r="W792">
        <f t="shared" si="221"/>
        <v>1</v>
      </c>
      <c r="X792">
        <f t="shared" si="222"/>
        <v>1</v>
      </c>
      <c r="Y792">
        <f t="shared" si="223"/>
        <v>0</v>
      </c>
      <c r="Z792">
        <f t="shared" si="224"/>
        <v>1</v>
      </c>
      <c r="AA792">
        <f t="shared" si="225"/>
        <v>0</v>
      </c>
      <c r="AB792">
        <f t="shared" si="226"/>
        <v>1</v>
      </c>
      <c r="AC792">
        <f t="shared" si="227"/>
        <v>0</v>
      </c>
      <c r="AD792">
        <f t="shared" si="228"/>
        <v>0</v>
      </c>
      <c r="AE792">
        <f t="shared" si="229"/>
        <v>1</v>
      </c>
      <c r="AF792">
        <f t="shared" si="230"/>
        <v>0</v>
      </c>
      <c r="AG792">
        <f t="shared" si="231"/>
        <v>1</v>
      </c>
      <c r="AH792">
        <f t="shared" si="232"/>
        <v>1</v>
      </c>
      <c r="AI792">
        <f t="shared" si="233"/>
        <v>0</v>
      </c>
    </row>
    <row r="793" spans="1:35" x14ac:dyDescent="0.2">
      <c r="A793">
        <v>350</v>
      </c>
      <c r="B793" t="s">
        <v>16</v>
      </c>
      <c r="C793">
        <v>7</v>
      </c>
      <c r="D793" t="s">
        <v>2322</v>
      </c>
      <c r="E793" t="s">
        <v>18</v>
      </c>
      <c r="F793" t="s">
        <v>20</v>
      </c>
      <c r="G793" t="s">
        <v>21</v>
      </c>
      <c r="H793" t="s">
        <v>18</v>
      </c>
      <c r="I793">
        <v>4</v>
      </c>
      <c r="J793">
        <v>6</v>
      </c>
      <c r="K793">
        <v>10</v>
      </c>
      <c r="L793" t="s">
        <v>75</v>
      </c>
      <c r="M793" t="s">
        <v>23</v>
      </c>
      <c r="N793" t="s">
        <v>84</v>
      </c>
      <c r="O793" t="s">
        <v>1610</v>
      </c>
      <c r="P793" t="s">
        <v>2323</v>
      </c>
      <c r="Q793">
        <f t="shared" si="216"/>
        <v>4</v>
      </c>
      <c r="R793">
        <f t="shared" si="217"/>
        <v>2</v>
      </c>
      <c r="S793">
        <f t="shared" si="218"/>
        <v>1</v>
      </c>
      <c r="T793">
        <f t="shared" si="219"/>
        <v>4</v>
      </c>
      <c r="U793">
        <v>10</v>
      </c>
      <c r="V793">
        <f t="shared" si="220"/>
        <v>0</v>
      </c>
      <c r="W793">
        <f t="shared" si="221"/>
        <v>0</v>
      </c>
      <c r="X793">
        <f t="shared" si="222"/>
        <v>1</v>
      </c>
      <c r="Y793">
        <f t="shared" si="223"/>
        <v>1</v>
      </c>
      <c r="Z793">
        <f t="shared" si="224"/>
        <v>0</v>
      </c>
      <c r="AA793">
        <f t="shared" si="225"/>
        <v>1</v>
      </c>
      <c r="AB793">
        <f t="shared" si="226"/>
        <v>0</v>
      </c>
      <c r="AC793">
        <f t="shared" si="227"/>
        <v>0</v>
      </c>
      <c r="AD793">
        <f t="shared" si="228"/>
        <v>0</v>
      </c>
      <c r="AE793">
        <f t="shared" si="229"/>
        <v>0</v>
      </c>
      <c r="AF793">
        <f t="shared" si="230"/>
        <v>0</v>
      </c>
      <c r="AG793">
        <f t="shared" si="231"/>
        <v>1</v>
      </c>
      <c r="AH793">
        <f t="shared" si="232"/>
        <v>0</v>
      </c>
      <c r="AI793">
        <f t="shared" si="233"/>
        <v>0</v>
      </c>
    </row>
    <row r="794" spans="1:35" x14ac:dyDescent="0.2">
      <c r="A794">
        <v>351</v>
      </c>
      <c r="B794" t="s">
        <v>16</v>
      </c>
      <c r="C794">
        <v>4</v>
      </c>
      <c r="D794" t="s">
        <v>2324</v>
      </c>
      <c r="E794" t="s">
        <v>18</v>
      </c>
      <c r="F794" t="s">
        <v>21</v>
      </c>
      <c r="G794" t="s">
        <v>21</v>
      </c>
      <c r="H794" t="s">
        <v>18</v>
      </c>
      <c r="I794">
        <v>5</v>
      </c>
      <c r="J794">
        <v>4</v>
      </c>
      <c r="K794" s="1">
        <v>2</v>
      </c>
      <c r="L794" t="s">
        <v>53</v>
      </c>
      <c r="M794" t="s">
        <v>99</v>
      </c>
      <c r="N794" t="s">
        <v>24</v>
      </c>
      <c r="O794" t="s">
        <v>2325</v>
      </c>
      <c r="P794" t="s">
        <v>2326</v>
      </c>
      <c r="Q794">
        <f t="shared" si="216"/>
        <v>4</v>
      </c>
      <c r="R794">
        <f t="shared" si="217"/>
        <v>1</v>
      </c>
      <c r="S794">
        <f t="shared" si="218"/>
        <v>1</v>
      </c>
      <c r="T794">
        <f t="shared" si="219"/>
        <v>4</v>
      </c>
      <c r="U794">
        <v>2</v>
      </c>
      <c r="V794">
        <f t="shared" si="220"/>
        <v>0</v>
      </c>
      <c r="W794">
        <f t="shared" si="221"/>
        <v>0</v>
      </c>
      <c r="X794">
        <f t="shared" si="222"/>
        <v>1</v>
      </c>
      <c r="Y794">
        <f t="shared" si="223"/>
        <v>0</v>
      </c>
      <c r="Z794">
        <f t="shared" si="224"/>
        <v>0</v>
      </c>
      <c r="AA794">
        <f t="shared" si="225"/>
        <v>1</v>
      </c>
      <c r="AB794">
        <f t="shared" si="226"/>
        <v>0</v>
      </c>
      <c r="AC794">
        <f t="shared" si="227"/>
        <v>0</v>
      </c>
      <c r="AD794">
        <f t="shared" si="228"/>
        <v>0</v>
      </c>
      <c r="AE794">
        <f t="shared" si="229"/>
        <v>1</v>
      </c>
      <c r="AF794">
        <f t="shared" si="230"/>
        <v>0</v>
      </c>
      <c r="AG794">
        <f t="shared" si="231"/>
        <v>0</v>
      </c>
      <c r="AH794">
        <f t="shared" si="232"/>
        <v>1</v>
      </c>
      <c r="AI794">
        <f t="shared" si="233"/>
        <v>0</v>
      </c>
    </row>
    <row r="795" spans="1:35" x14ac:dyDescent="0.2">
      <c r="A795">
        <v>352</v>
      </c>
      <c r="B795" t="s">
        <v>16</v>
      </c>
      <c r="C795">
        <v>8</v>
      </c>
      <c r="D795" t="s">
        <v>2040</v>
      </c>
      <c r="E795" t="s">
        <v>18</v>
      </c>
      <c r="F795" t="s">
        <v>19</v>
      </c>
      <c r="G795" t="s">
        <v>20</v>
      </c>
      <c r="H795" t="s">
        <v>18</v>
      </c>
      <c r="I795">
        <v>6</v>
      </c>
      <c r="J795">
        <v>2</v>
      </c>
      <c r="K795">
        <v>20</v>
      </c>
      <c r="L795" t="s">
        <v>53</v>
      </c>
      <c r="M795" t="s">
        <v>23</v>
      </c>
      <c r="N795" t="s">
        <v>215</v>
      </c>
      <c r="O795" t="s">
        <v>205</v>
      </c>
      <c r="P795" t="s">
        <v>2327</v>
      </c>
      <c r="Q795">
        <f t="shared" si="216"/>
        <v>4</v>
      </c>
      <c r="R795">
        <f t="shared" si="217"/>
        <v>3</v>
      </c>
      <c r="S795">
        <f t="shared" si="218"/>
        <v>2</v>
      </c>
      <c r="T795">
        <f t="shared" si="219"/>
        <v>4</v>
      </c>
      <c r="U795">
        <v>20</v>
      </c>
      <c r="V795">
        <f t="shared" si="220"/>
        <v>0</v>
      </c>
      <c r="W795">
        <f t="shared" si="221"/>
        <v>0</v>
      </c>
      <c r="X795">
        <f t="shared" si="222"/>
        <v>1</v>
      </c>
      <c r="Y795">
        <f t="shared" si="223"/>
        <v>0</v>
      </c>
      <c r="Z795">
        <f t="shared" si="224"/>
        <v>0</v>
      </c>
      <c r="AA795">
        <f t="shared" si="225"/>
        <v>1</v>
      </c>
      <c r="AB795">
        <f t="shared" si="226"/>
        <v>0</v>
      </c>
      <c r="AC795">
        <f t="shared" si="227"/>
        <v>0</v>
      </c>
      <c r="AD795">
        <f t="shared" si="228"/>
        <v>0</v>
      </c>
      <c r="AE795">
        <f t="shared" si="229"/>
        <v>0</v>
      </c>
      <c r="AF795">
        <f t="shared" si="230"/>
        <v>1</v>
      </c>
      <c r="AG795">
        <f t="shared" si="231"/>
        <v>0</v>
      </c>
      <c r="AH795">
        <f t="shared" si="232"/>
        <v>0</v>
      </c>
      <c r="AI795">
        <f t="shared" si="233"/>
        <v>0</v>
      </c>
    </row>
    <row r="796" spans="1:35" x14ac:dyDescent="0.2">
      <c r="A796">
        <v>353</v>
      </c>
      <c r="B796" t="s">
        <v>16</v>
      </c>
      <c r="C796">
        <v>8</v>
      </c>
      <c r="D796" t="s">
        <v>2328</v>
      </c>
      <c r="E796" t="s">
        <v>18</v>
      </c>
      <c r="F796" t="s">
        <v>20</v>
      </c>
      <c r="G796" t="s">
        <v>19</v>
      </c>
      <c r="H796" t="s">
        <v>39</v>
      </c>
      <c r="I796">
        <v>8</v>
      </c>
      <c r="J796">
        <v>7</v>
      </c>
      <c r="K796" s="1">
        <v>1200</v>
      </c>
      <c r="L796" t="s">
        <v>53</v>
      </c>
      <c r="M796" t="s">
        <v>23</v>
      </c>
      <c r="N796" t="s">
        <v>84</v>
      </c>
      <c r="O796" t="s">
        <v>2329</v>
      </c>
      <c r="P796" t="s">
        <v>2330</v>
      </c>
      <c r="Q796">
        <f t="shared" si="216"/>
        <v>4</v>
      </c>
      <c r="R796">
        <f t="shared" si="217"/>
        <v>2</v>
      </c>
      <c r="S796">
        <f t="shared" si="218"/>
        <v>3</v>
      </c>
      <c r="T796">
        <f t="shared" si="219"/>
        <v>5</v>
      </c>
      <c r="U796">
        <v>1200</v>
      </c>
      <c r="V796">
        <f t="shared" si="220"/>
        <v>0</v>
      </c>
      <c r="W796">
        <f t="shared" si="221"/>
        <v>0</v>
      </c>
      <c r="X796">
        <f t="shared" si="222"/>
        <v>1</v>
      </c>
      <c r="Y796">
        <f t="shared" si="223"/>
        <v>0</v>
      </c>
      <c r="Z796">
        <f t="shared" si="224"/>
        <v>0</v>
      </c>
      <c r="AA796">
        <f t="shared" si="225"/>
        <v>1</v>
      </c>
      <c r="AB796">
        <f t="shared" si="226"/>
        <v>0</v>
      </c>
      <c r="AC796">
        <f t="shared" si="227"/>
        <v>0</v>
      </c>
      <c r="AD796">
        <f t="shared" si="228"/>
        <v>0</v>
      </c>
      <c r="AE796">
        <f t="shared" si="229"/>
        <v>0</v>
      </c>
      <c r="AF796">
        <f t="shared" si="230"/>
        <v>0</v>
      </c>
      <c r="AG796">
        <f t="shared" si="231"/>
        <v>1</v>
      </c>
      <c r="AH796">
        <f t="shared" si="232"/>
        <v>0</v>
      </c>
      <c r="AI796">
        <f t="shared" si="233"/>
        <v>0</v>
      </c>
    </row>
    <row r="797" spans="1:35" x14ac:dyDescent="0.2">
      <c r="A797">
        <v>354</v>
      </c>
      <c r="B797" t="s">
        <v>16</v>
      </c>
      <c r="C797">
        <v>5</v>
      </c>
      <c r="D797" t="s">
        <v>2331</v>
      </c>
      <c r="E797" t="s">
        <v>18</v>
      </c>
      <c r="F797" t="s">
        <v>19</v>
      </c>
      <c r="G797" t="s">
        <v>19</v>
      </c>
      <c r="H797" t="s">
        <v>18</v>
      </c>
      <c r="I797">
        <v>3</v>
      </c>
      <c r="J797">
        <v>4</v>
      </c>
      <c r="K797">
        <v>100</v>
      </c>
      <c r="L797" t="s">
        <v>22</v>
      </c>
      <c r="M797" t="s">
        <v>154</v>
      </c>
      <c r="N797" t="s">
        <v>24</v>
      </c>
      <c r="O797" t="s">
        <v>2031</v>
      </c>
      <c r="P797" t="s">
        <v>2332</v>
      </c>
      <c r="Q797">
        <f t="shared" si="216"/>
        <v>4</v>
      </c>
      <c r="R797">
        <f t="shared" si="217"/>
        <v>3</v>
      </c>
      <c r="S797">
        <f t="shared" si="218"/>
        <v>3</v>
      </c>
      <c r="T797">
        <f t="shared" si="219"/>
        <v>4</v>
      </c>
      <c r="U797">
        <v>100</v>
      </c>
      <c r="V797">
        <f t="shared" si="220"/>
        <v>1</v>
      </c>
      <c r="W797">
        <f t="shared" si="221"/>
        <v>0</v>
      </c>
      <c r="X797">
        <f t="shared" si="222"/>
        <v>0</v>
      </c>
      <c r="Y797">
        <f t="shared" si="223"/>
        <v>0</v>
      </c>
      <c r="Z797">
        <f t="shared" si="224"/>
        <v>0</v>
      </c>
      <c r="AA797">
        <f t="shared" si="225"/>
        <v>1</v>
      </c>
      <c r="AB797">
        <f t="shared" si="226"/>
        <v>0</v>
      </c>
      <c r="AC797">
        <f t="shared" si="227"/>
        <v>1</v>
      </c>
      <c r="AD797">
        <f t="shared" si="228"/>
        <v>0</v>
      </c>
      <c r="AE797">
        <f t="shared" si="229"/>
        <v>0</v>
      </c>
      <c r="AF797">
        <f t="shared" si="230"/>
        <v>0</v>
      </c>
      <c r="AG797">
        <f t="shared" si="231"/>
        <v>0</v>
      </c>
      <c r="AH797">
        <f t="shared" si="232"/>
        <v>1</v>
      </c>
      <c r="AI797">
        <f t="shared" si="233"/>
        <v>0</v>
      </c>
    </row>
    <row r="798" spans="1:35" x14ac:dyDescent="0.2">
      <c r="A798">
        <v>355</v>
      </c>
      <c r="B798" t="s">
        <v>16</v>
      </c>
      <c r="C798">
        <v>8</v>
      </c>
      <c r="D798" t="s">
        <v>2333</v>
      </c>
      <c r="E798" t="s">
        <v>18</v>
      </c>
      <c r="F798" t="s">
        <v>20</v>
      </c>
      <c r="G798" t="s">
        <v>19</v>
      </c>
      <c r="H798" t="s">
        <v>39</v>
      </c>
      <c r="I798">
        <v>4</v>
      </c>
      <c r="J798">
        <v>7</v>
      </c>
      <c r="K798">
        <v>50</v>
      </c>
      <c r="L798" t="s">
        <v>22</v>
      </c>
      <c r="M798" t="s">
        <v>99</v>
      </c>
      <c r="N798" t="s">
        <v>24</v>
      </c>
      <c r="O798" t="s">
        <v>977</v>
      </c>
      <c r="P798" t="s">
        <v>2334</v>
      </c>
      <c r="Q798">
        <f t="shared" si="216"/>
        <v>4</v>
      </c>
      <c r="R798">
        <f t="shared" si="217"/>
        <v>2</v>
      </c>
      <c r="S798">
        <f t="shared" si="218"/>
        <v>3</v>
      </c>
      <c r="T798">
        <f t="shared" si="219"/>
        <v>5</v>
      </c>
      <c r="U798">
        <v>50</v>
      </c>
      <c r="V798">
        <f t="shared" si="220"/>
        <v>1</v>
      </c>
      <c r="W798">
        <f t="shared" si="221"/>
        <v>0</v>
      </c>
      <c r="X798">
        <f t="shared" si="222"/>
        <v>0</v>
      </c>
      <c r="Y798">
        <f t="shared" si="223"/>
        <v>0</v>
      </c>
      <c r="Z798">
        <f t="shared" si="224"/>
        <v>0</v>
      </c>
      <c r="AA798">
        <f t="shared" si="225"/>
        <v>1</v>
      </c>
      <c r="AB798">
        <f t="shared" si="226"/>
        <v>0</v>
      </c>
      <c r="AC798">
        <f t="shared" si="227"/>
        <v>0</v>
      </c>
      <c r="AD798">
        <f t="shared" si="228"/>
        <v>0</v>
      </c>
      <c r="AE798">
        <f t="shared" si="229"/>
        <v>1</v>
      </c>
      <c r="AF798">
        <f t="shared" si="230"/>
        <v>0</v>
      </c>
      <c r="AG798">
        <f t="shared" si="231"/>
        <v>0</v>
      </c>
      <c r="AH798">
        <f t="shared" si="232"/>
        <v>1</v>
      </c>
      <c r="AI798">
        <f t="shared" si="233"/>
        <v>0</v>
      </c>
    </row>
    <row r="799" spans="1:35" x14ac:dyDescent="0.2">
      <c r="A799">
        <v>356</v>
      </c>
      <c r="B799" t="s">
        <v>16</v>
      </c>
      <c r="C799">
        <v>9</v>
      </c>
      <c r="D799" t="s">
        <v>2335</v>
      </c>
      <c r="E799" t="s">
        <v>39</v>
      </c>
      <c r="F799" t="s">
        <v>21</v>
      </c>
      <c r="G799" t="s">
        <v>21</v>
      </c>
      <c r="H799" t="s">
        <v>39</v>
      </c>
      <c r="I799">
        <v>4</v>
      </c>
      <c r="J799">
        <v>4</v>
      </c>
      <c r="K799">
        <v>1</v>
      </c>
      <c r="L799" t="s">
        <v>53</v>
      </c>
      <c r="M799" t="s">
        <v>23</v>
      </c>
      <c r="N799" t="s">
        <v>24</v>
      </c>
      <c r="O799" t="s">
        <v>2336</v>
      </c>
      <c r="P799" t="s">
        <v>2337</v>
      </c>
      <c r="Q799">
        <f t="shared" si="216"/>
        <v>5</v>
      </c>
      <c r="R799">
        <f t="shared" si="217"/>
        <v>1</v>
      </c>
      <c r="S799">
        <f t="shared" si="218"/>
        <v>1</v>
      </c>
      <c r="T799">
        <f t="shared" si="219"/>
        <v>5</v>
      </c>
      <c r="U799">
        <v>1</v>
      </c>
      <c r="V799">
        <f t="shared" si="220"/>
        <v>0</v>
      </c>
      <c r="W799">
        <f t="shared" si="221"/>
        <v>0</v>
      </c>
      <c r="X799">
        <f t="shared" si="222"/>
        <v>1</v>
      </c>
      <c r="Y799">
        <f t="shared" si="223"/>
        <v>0</v>
      </c>
      <c r="Z799">
        <f t="shared" si="224"/>
        <v>0</v>
      </c>
      <c r="AA799">
        <f t="shared" si="225"/>
        <v>1</v>
      </c>
      <c r="AB799">
        <f t="shared" si="226"/>
        <v>0</v>
      </c>
      <c r="AC799">
        <f t="shared" si="227"/>
        <v>0</v>
      </c>
      <c r="AD799">
        <f t="shared" si="228"/>
        <v>0</v>
      </c>
      <c r="AE799">
        <f t="shared" si="229"/>
        <v>0</v>
      </c>
      <c r="AF799">
        <f t="shared" si="230"/>
        <v>0</v>
      </c>
      <c r="AG799">
        <f t="shared" si="231"/>
        <v>0</v>
      </c>
      <c r="AH799">
        <f t="shared" si="232"/>
        <v>1</v>
      </c>
      <c r="AI799">
        <f t="shared" si="233"/>
        <v>0</v>
      </c>
    </row>
    <row r="800" spans="1:35" x14ac:dyDescent="0.2">
      <c r="A800">
        <v>357</v>
      </c>
      <c r="B800" t="s">
        <v>16</v>
      </c>
      <c r="C800">
        <v>8</v>
      </c>
      <c r="D800" t="s">
        <v>2338</v>
      </c>
      <c r="E800" t="s">
        <v>20</v>
      </c>
      <c r="F800" t="s">
        <v>20</v>
      </c>
      <c r="G800" t="s">
        <v>20</v>
      </c>
      <c r="H800" t="s">
        <v>39</v>
      </c>
      <c r="I800">
        <v>4</v>
      </c>
      <c r="J800">
        <v>6</v>
      </c>
      <c r="K800" s="1">
        <v>100</v>
      </c>
      <c r="L800" t="s">
        <v>714</v>
      </c>
      <c r="M800" t="s">
        <v>468</v>
      </c>
      <c r="N800" t="s">
        <v>49</v>
      </c>
      <c r="O800" t="s">
        <v>1240</v>
      </c>
      <c r="P800" t="s">
        <v>2339</v>
      </c>
      <c r="Q800">
        <f t="shared" si="216"/>
        <v>2</v>
      </c>
      <c r="R800">
        <f t="shared" si="217"/>
        <v>2</v>
      </c>
      <c r="S800">
        <f t="shared" si="218"/>
        <v>2</v>
      </c>
      <c r="T800">
        <f t="shared" si="219"/>
        <v>5</v>
      </c>
      <c r="U800">
        <v>100</v>
      </c>
      <c r="V800">
        <f t="shared" si="220"/>
        <v>0</v>
      </c>
      <c r="W800">
        <f t="shared" si="221"/>
        <v>0</v>
      </c>
      <c r="X800">
        <f t="shared" si="222"/>
        <v>1</v>
      </c>
      <c r="Y800">
        <f t="shared" si="223"/>
        <v>1</v>
      </c>
      <c r="Z800">
        <f t="shared" si="224"/>
        <v>1</v>
      </c>
      <c r="AA800">
        <f t="shared" si="225"/>
        <v>1</v>
      </c>
      <c r="AB800">
        <f t="shared" si="226"/>
        <v>1</v>
      </c>
      <c r="AC800">
        <f t="shared" si="227"/>
        <v>1</v>
      </c>
      <c r="AD800">
        <f t="shared" si="228"/>
        <v>1</v>
      </c>
      <c r="AE800">
        <f t="shared" si="229"/>
        <v>1</v>
      </c>
      <c r="AF800">
        <f t="shared" si="230"/>
        <v>0</v>
      </c>
      <c r="AG800">
        <f t="shared" si="231"/>
        <v>1</v>
      </c>
      <c r="AH800">
        <f t="shared" si="232"/>
        <v>1</v>
      </c>
      <c r="AI800">
        <f t="shared" si="233"/>
        <v>0</v>
      </c>
    </row>
    <row r="801" spans="1:35" x14ac:dyDescent="0.2">
      <c r="A801">
        <v>358</v>
      </c>
      <c r="B801" t="s">
        <v>16</v>
      </c>
      <c r="C801">
        <v>6</v>
      </c>
      <c r="D801" t="s">
        <v>2340</v>
      </c>
      <c r="E801" t="s">
        <v>18</v>
      </c>
      <c r="F801" t="s">
        <v>19</v>
      </c>
      <c r="G801" t="s">
        <v>19</v>
      </c>
      <c r="H801" t="s">
        <v>18</v>
      </c>
      <c r="I801">
        <v>8</v>
      </c>
      <c r="J801">
        <v>4</v>
      </c>
      <c r="K801" t="s">
        <v>2341</v>
      </c>
      <c r="L801" t="s">
        <v>53</v>
      </c>
      <c r="M801" t="s">
        <v>23</v>
      </c>
      <c r="N801" t="s">
        <v>24</v>
      </c>
      <c r="O801" t="s">
        <v>2342</v>
      </c>
      <c r="P801" t="s">
        <v>2343</v>
      </c>
      <c r="Q801">
        <f t="shared" si="216"/>
        <v>4</v>
      </c>
      <c r="R801">
        <f t="shared" si="217"/>
        <v>3</v>
      </c>
      <c r="S801">
        <f t="shared" si="218"/>
        <v>3</v>
      </c>
      <c r="T801">
        <f t="shared" si="219"/>
        <v>4</v>
      </c>
      <c r="U801">
        <v>100</v>
      </c>
      <c r="V801">
        <f t="shared" si="220"/>
        <v>0</v>
      </c>
      <c r="W801">
        <f t="shared" si="221"/>
        <v>0</v>
      </c>
      <c r="X801">
        <f t="shared" si="222"/>
        <v>1</v>
      </c>
      <c r="Y801">
        <f t="shared" si="223"/>
        <v>0</v>
      </c>
      <c r="Z801">
        <f t="shared" si="224"/>
        <v>0</v>
      </c>
      <c r="AA801">
        <f t="shared" si="225"/>
        <v>1</v>
      </c>
      <c r="AB801">
        <f t="shared" si="226"/>
        <v>0</v>
      </c>
      <c r="AC801">
        <f t="shared" si="227"/>
        <v>0</v>
      </c>
      <c r="AD801">
        <f t="shared" si="228"/>
        <v>0</v>
      </c>
      <c r="AE801">
        <f t="shared" si="229"/>
        <v>0</v>
      </c>
      <c r="AF801">
        <f t="shared" si="230"/>
        <v>0</v>
      </c>
      <c r="AG801">
        <f t="shared" si="231"/>
        <v>0</v>
      </c>
      <c r="AH801">
        <f t="shared" si="232"/>
        <v>1</v>
      </c>
      <c r="AI801">
        <f t="shared" si="233"/>
        <v>0</v>
      </c>
    </row>
    <row r="802" spans="1:35" x14ac:dyDescent="0.2">
      <c r="A802">
        <v>359</v>
      </c>
      <c r="B802" t="s">
        <v>16</v>
      </c>
      <c r="C802">
        <v>6</v>
      </c>
      <c r="D802" t="s">
        <v>2344</v>
      </c>
      <c r="E802" t="s">
        <v>18</v>
      </c>
      <c r="F802" t="s">
        <v>20</v>
      </c>
      <c r="G802" t="s">
        <v>19</v>
      </c>
      <c r="H802" t="s">
        <v>18</v>
      </c>
      <c r="I802">
        <v>6</v>
      </c>
      <c r="J802">
        <v>7</v>
      </c>
      <c r="K802">
        <v>0</v>
      </c>
      <c r="L802" t="s">
        <v>98</v>
      </c>
      <c r="M802" t="s">
        <v>99</v>
      </c>
      <c r="N802" t="s">
        <v>24</v>
      </c>
      <c r="O802" t="s">
        <v>2345</v>
      </c>
      <c r="P802" t="s">
        <v>2346</v>
      </c>
      <c r="Q802">
        <f t="shared" si="216"/>
        <v>4</v>
      </c>
      <c r="R802">
        <f t="shared" si="217"/>
        <v>2</v>
      </c>
      <c r="S802">
        <f t="shared" si="218"/>
        <v>3</v>
      </c>
      <c r="T802">
        <f t="shared" si="219"/>
        <v>4</v>
      </c>
      <c r="U802">
        <v>0</v>
      </c>
      <c r="V802">
        <f t="shared" si="220"/>
        <v>0</v>
      </c>
      <c r="W802">
        <f t="shared" si="221"/>
        <v>1</v>
      </c>
      <c r="X802">
        <f t="shared" si="222"/>
        <v>0</v>
      </c>
      <c r="Y802">
        <f t="shared" si="223"/>
        <v>0</v>
      </c>
      <c r="Z802">
        <f t="shared" si="224"/>
        <v>0</v>
      </c>
      <c r="AA802">
        <f t="shared" si="225"/>
        <v>1</v>
      </c>
      <c r="AB802">
        <f t="shared" si="226"/>
        <v>0</v>
      </c>
      <c r="AC802">
        <f t="shared" si="227"/>
        <v>0</v>
      </c>
      <c r="AD802">
        <f t="shared" si="228"/>
        <v>0</v>
      </c>
      <c r="AE802">
        <f t="shared" si="229"/>
        <v>1</v>
      </c>
      <c r="AF802">
        <f t="shared" si="230"/>
        <v>0</v>
      </c>
      <c r="AG802">
        <f t="shared" si="231"/>
        <v>0</v>
      </c>
      <c r="AH802">
        <f t="shared" si="232"/>
        <v>1</v>
      </c>
      <c r="AI802">
        <f t="shared" si="233"/>
        <v>0</v>
      </c>
    </row>
    <row r="803" spans="1:35" x14ac:dyDescent="0.2">
      <c r="A803">
        <v>360</v>
      </c>
      <c r="B803" t="s">
        <v>16</v>
      </c>
      <c r="C803">
        <v>8</v>
      </c>
      <c r="D803" t="s">
        <v>2347</v>
      </c>
      <c r="E803" t="s">
        <v>19</v>
      </c>
      <c r="F803" t="s">
        <v>19</v>
      </c>
      <c r="G803" t="s">
        <v>19</v>
      </c>
      <c r="H803" t="s">
        <v>18</v>
      </c>
      <c r="I803">
        <v>4</v>
      </c>
      <c r="J803">
        <v>5</v>
      </c>
      <c r="K803">
        <v>100</v>
      </c>
      <c r="L803" t="s">
        <v>53</v>
      </c>
      <c r="M803" t="s">
        <v>23</v>
      </c>
      <c r="N803" t="s">
        <v>24</v>
      </c>
      <c r="O803" t="s">
        <v>148</v>
      </c>
      <c r="P803" t="s">
        <v>2348</v>
      </c>
      <c r="Q803">
        <f t="shared" si="216"/>
        <v>3</v>
      </c>
      <c r="R803">
        <f t="shared" si="217"/>
        <v>3</v>
      </c>
      <c r="S803">
        <f t="shared" si="218"/>
        <v>3</v>
      </c>
      <c r="T803">
        <f t="shared" si="219"/>
        <v>4</v>
      </c>
      <c r="U803">
        <v>100</v>
      </c>
      <c r="V803">
        <f t="shared" si="220"/>
        <v>0</v>
      </c>
      <c r="W803">
        <f t="shared" si="221"/>
        <v>0</v>
      </c>
      <c r="X803">
        <f t="shared" si="222"/>
        <v>1</v>
      </c>
      <c r="Y803">
        <f t="shared" si="223"/>
        <v>0</v>
      </c>
      <c r="Z803">
        <f t="shared" si="224"/>
        <v>0</v>
      </c>
      <c r="AA803">
        <f t="shared" si="225"/>
        <v>1</v>
      </c>
      <c r="AB803">
        <f t="shared" si="226"/>
        <v>0</v>
      </c>
      <c r="AC803">
        <f t="shared" si="227"/>
        <v>0</v>
      </c>
      <c r="AD803">
        <f t="shared" si="228"/>
        <v>0</v>
      </c>
      <c r="AE803">
        <f t="shared" si="229"/>
        <v>0</v>
      </c>
      <c r="AF803">
        <f t="shared" si="230"/>
        <v>0</v>
      </c>
      <c r="AG803">
        <f t="shared" si="231"/>
        <v>0</v>
      </c>
      <c r="AH803">
        <f t="shared" si="232"/>
        <v>1</v>
      </c>
      <c r="AI803">
        <f t="shared" si="233"/>
        <v>0</v>
      </c>
    </row>
    <row r="804" spans="1:35" x14ac:dyDescent="0.2">
      <c r="A804">
        <v>361</v>
      </c>
      <c r="B804" t="s">
        <v>16</v>
      </c>
      <c r="C804">
        <v>3</v>
      </c>
      <c r="D804" t="s">
        <v>2349</v>
      </c>
      <c r="E804" t="s">
        <v>18</v>
      </c>
      <c r="F804" t="s">
        <v>20</v>
      </c>
      <c r="G804" t="s">
        <v>21</v>
      </c>
      <c r="H804" t="s">
        <v>19</v>
      </c>
      <c r="I804">
        <v>6</v>
      </c>
      <c r="J804">
        <v>6</v>
      </c>
      <c r="K804">
        <v>20</v>
      </c>
      <c r="L804" t="s">
        <v>47</v>
      </c>
      <c r="M804" t="s">
        <v>42</v>
      </c>
      <c r="N804" t="s">
        <v>147</v>
      </c>
      <c r="O804" t="s">
        <v>977</v>
      </c>
      <c r="P804" t="s">
        <v>2350</v>
      </c>
      <c r="Q804">
        <f t="shared" si="216"/>
        <v>4</v>
      </c>
      <c r="R804">
        <f t="shared" si="217"/>
        <v>2</v>
      </c>
      <c r="S804">
        <f t="shared" si="218"/>
        <v>1</v>
      </c>
      <c r="T804">
        <f t="shared" si="219"/>
        <v>3</v>
      </c>
      <c r="U804">
        <v>20</v>
      </c>
      <c r="V804">
        <f t="shared" si="220"/>
        <v>0</v>
      </c>
      <c r="W804">
        <f t="shared" si="221"/>
        <v>0</v>
      </c>
      <c r="X804">
        <f t="shared" si="222"/>
        <v>1</v>
      </c>
      <c r="Y804">
        <f t="shared" si="223"/>
        <v>0</v>
      </c>
      <c r="Z804">
        <f t="shared" si="224"/>
        <v>1</v>
      </c>
      <c r="AA804">
        <f t="shared" si="225"/>
        <v>0</v>
      </c>
      <c r="AB804">
        <f t="shared" si="226"/>
        <v>1</v>
      </c>
      <c r="AC804">
        <f t="shared" si="227"/>
        <v>0</v>
      </c>
      <c r="AD804">
        <f t="shared" si="228"/>
        <v>0</v>
      </c>
      <c r="AE804">
        <f t="shared" si="229"/>
        <v>0</v>
      </c>
      <c r="AF804">
        <f t="shared" si="230"/>
        <v>0</v>
      </c>
      <c r="AG804">
        <f t="shared" si="231"/>
        <v>0</v>
      </c>
      <c r="AH804">
        <f t="shared" si="232"/>
        <v>1</v>
      </c>
      <c r="AI804">
        <f t="shared" si="233"/>
        <v>1</v>
      </c>
    </row>
    <row r="805" spans="1:35" x14ac:dyDescent="0.2">
      <c r="A805">
        <v>362</v>
      </c>
      <c r="B805" t="s">
        <v>16</v>
      </c>
      <c r="C805">
        <v>7</v>
      </c>
      <c r="D805" t="s">
        <v>2233</v>
      </c>
      <c r="E805" t="s">
        <v>39</v>
      </c>
      <c r="F805" t="s">
        <v>21</v>
      </c>
      <c r="G805" t="s">
        <v>20</v>
      </c>
      <c r="H805" t="s">
        <v>18</v>
      </c>
      <c r="I805">
        <v>4</v>
      </c>
      <c r="J805">
        <v>5</v>
      </c>
      <c r="K805">
        <v>200</v>
      </c>
      <c r="L805" t="s">
        <v>41</v>
      </c>
      <c r="M805" t="s">
        <v>99</v>
      </c>
      <c r="N805" t="s">
        <v>84</v>
      </c>
      <c r="O805" t="s">
        <v>593</v>
      </c>
      <c r="P805" t="s">
        <v>2351</v>
      </c>
      <c r="Q805">
        <f t="shared" si="216"/>
        <v>5</v>
      </c>
      <c r="R805">
        <f t="shared" si="217"/>
        <v>1</v>
      </c>
      <c r="S805">
        <f t="shared" si="218"/>
        <v>2</v>
      </c>
      <c r="T805">
        <f t="shared" si="219"/>
        <v>4</v>
      </c>
      <c r="U805">
        <v>200</v>
      </c>
      <c r="V805">
        <f t="shared" si="220"/>
        <v>0</v>
      </c>
      <c r="W805">
        <f t="shared" si="221"/>
        <v>0</v>
      </c>
      <c r="X805">
        <f t="shared" si="222"/>
        <v>0</v>
      </c>
      <c r="Y805">
        <f t="shared" si="223"/>
        <v>0</v>
      </c>
      <c r="Z805">
        <f t="shared" si="224"/>
        <v>1</v>
      </c>
      <c r="AA805">
        <f t="shared" si="225"/>
        <v>1</v>
      </c>
      <c r="AB805">
        <f t="shared" si="226"/>
        <v>0</v>
      </c>
      <c r="AC805">
        <f t="shared" si="227"/>
        <v>0</v>
      </c>
      <c r="AD805">
        <f t="shared" si="228"/>
        <v>0</v>
      </c>
      <c r="AE805">
        <f t="shared" si="229"/>
        <v>1</v>
      </c>
      <c r="AF805">
        <f t="shared" si="230"/>
        <v>0</v>
      </c>
      <c r="AG805">
        <f t="shared" si="231"/>
        <v>1</v>
      </c>
      <c r="AH805">
        <f t="shared" si="232"/>
        <v>0</v>
      </c>
      <c r="AI805">
        <f t="shared" si="233"/>
        <v>0</v>
      </c>
    </row>
    <row r="806" spans="1:35" x14ac:dyDescent="0.2">
      <c r="A806">
        <v>363</v>
      </c>
      <c r="B806" t="s">
        <v>16</v>
      </c>
      <c r="C806">
        <v>6</v>
      </c>
      <c r="D806" t="s">
        <v>2352</v>
      </c>
      <c r="E806" t="s">
        <v>19</v>
      </c>
      <c r="F806" t="s">
        <v>18</v>
      </c>
      <c r="G806" t="s">
        <v>19</v>
      </c>
      <c r="H806" t="s">
        <v>18</v>
      </c>
      <c r="I806">
        <v>8</v>
      </c>
      <c r="J806">
        <v>6</v>
      </c>
      <c r="K806">
        <v>100</v>
      </c>
      <c r="L806" t="s">
        <v>98</v>
      </c>
      <c r="M806" t="s">
        <v>42</v>
      </c>
      <c r="N806" t="s">
        <v>24</v>
      </c>
      <c r="O806" t="s">
        <v>2353</v>
      </c>
      <c r="P806" t="s">
        <v>2354</v>
      </c>
      <c r="Q806">
        <f t="shared" si="216"/>
        <v>3</v>
      </c>
      <c r="R806">
        <f t="shared" si="217"/>
        <v>4</v>
      </c>
      <c r="S806">
        <f t="shared" si="218"/>
        <v>3</v>
      </c>
      <c r="T806">
        <f t="shared" si="219"/>
        <v>4</v>
      </c>
      <c r="U806">
        <v>100</v>
      </c>
      <c r="V806">
        <f t="shared" si="220"/>
        <v>0</v>
      </c>
      <c r="W806">
        <f t="shared" si="221"/>
        <v>1</v>
      </c>
      <c r="X806">
        <f t="shared" si="222"/>
        <v>0</v>
      </c>
      <c r="Y806">
        <f t="shared" si="223"/>
        <v>0</v>
      </c>
      <c r="Z806">
        <f t="shared" si="224"/>
        <v>0</v>
      </c>
      <c r="AA806">
        <f t="shared" si="225"/>
        <v>0</v>
      </c>
      <c r="AB806">
        <f t="shared" si="226"/>
        <v>1</v>
      </c>
      <c r="AC806">
        <f t="shared" si="227"/>
        <v>0</v>
      </c>
      <c r="AD806">
        <f t="shared" si="228"/>
        <v>0</v>
      </c>
      <c r="AE806">
        <f t="shared" si="229"/>
        <v>0</v>
      </c>
      <c r="AF806">
        <f t="shared" si="230"/>
        <v>0</v>
      </c>
      <c r="AG806">
        <f t="shared" si="231"/>
        <v>0</v>
      </c>
      <c r="AH806">
        <f t="shared" si="232"/>
        <v>1</v>
      </c>
      <c r="AI806">
        <f t="shared" si="233"/>
        <v>0</v>
      </c>
    </row>
    <row r="807" spans="1:35" x14ac:dyDescent="0.2">
      <c r="A807">
        <v>364</v>
      </c>
      <c r="B807" t="s">
        <v>16</v>
      </c>
      <c r="C807">
        <v>6</v>
      </c>
      <c r="D807" t="s">
        <v>2355</v>
      </c>
      <c r="E807" t="s">
        <v>18</v>
      </c>
      <c r="F807" t="s">
        <v>19</v>
      </c>
      <c r="G807" t="s">
        <v>20</v>
      </c>
      <c r="H807" t="s">
        <v>19</v>
      </c>
      <c r="I807">
        <v>1</v>
      </c>
      <c r="J807">
        <v>5</v>
      </c>
      <c r="K807" s="1">
        <v>100</v>
      </c>
      <c r="L807" t="s">
        <v>53</v>
      </c>
      <c r="M807" t="s">
        <v>80</v>
      </c>
      <c r="N807" t="s">
        <v>847</v>
      </c>
      <c r="O807" t="s">
        <v>2356</v>
      </c>
      <c r="P807" t="s">
        <v>2357</v>
      </c>
      <c r="Q807">
        <f t="shared" si="216"/>
        <v>4</v>
      </c>
      <c r="R807">
        <f t="shared" si="217"/>
        <v>3</v>
      </c>
      <c r="S807">
        <f t="shared" si="218"/>
        <v>2</v>
      </c>
      <c r="T807">
        <f t="shared" si="219"/>
        <v>3</v>
      </c>
      <c r="U807">
        <v>100</v>
      </c>
      <c r="V807">
        <f t="shared" si="220"/>
        <v>0</v>
      </c>
      <c r="W807">
        <f t="shared" si="221"/>
        <v>0</v>
      </c>
      <c r="X807">
        <f t="shared" si="222"/>
        <v>1</v>
      </c>
      <c r="Y807">
        <f t="shared" si="223"/>
        <v>0</v>
      </c>
      <c r="Z807">
        <f t="shared" si="224"/>
        <v>0</v>
      </c>
      <c r="AA807">
        <f t="shared" si="225"/>
        <v>1</v>
      </c>
      <c r="AB807">
        <f t="shared" si="226"/>
        <v>1</v>
      </c>
      <c r="AC807">
        <f t="shared" si="227"/>
        <v>0</v>
      </c>
      <c r="AD807">
        <f t="shared" si="228"/>
        <v>0</v>
      </c>
      <c r="AE807">
        <f t="shared" si="229"/>
        <v>1</v>
      </c>
      <c r="AF807">
        <f t="shared" si="230"/>
        <v>1</v>
      </c>
      <c r="AG807">
        <f t="shared" si="231"/>
        <v>0</v>
      </c>
      <c r="AH807">
        <f t="shared" si="232"/>
        <v>0</v>
      </c>
      <c r="AI807">
        <f t="shared" si="233"/>
        <v>1</v>
      </c>
    </row>
    <row r="808" spans="1:35" x14ac:dyDescent="0.2">
      <c r="A808">
        <v>365</v>
      </c>
      <c r="B808" t="s">
        <v>16</v>
      </c>
      <c r="C808">
        <v>8</v>
      </c>
      <c r="D808" t="s">
        <v>2358</v>
      </c>
      <c r="E808" t="s">
        <v>39</v>
      </c>
      <c r="F808" t="s">
        <v>19</v>
      </c>
      <c r="G808" t="s">
        <v>18</v>
      </c>
      <c r="H808" t="s">
        <v>39</v>
      </c>
      <c r="I808">
        <v>5</v>
      </c>
      <c r="J808">
        <v>4</v>
      </c>
      <c r="K808">
        <v>5000</v>
      </c>
      <c r="L808" t="s">
        <v>194</v>
      </c>
      <c r="M808" t="s">
        <v>42</v>
      </c>
      <c r="N808" t="s">
        <v>24</v>
      </c>
      <c r="O808" t="s">
        <v>2359</v>
      </c>
      <c r="P808" t="s">
        <v>2360</v>
      </c>
      <c r="Q808">
        <f t="shared" si="216"/>
        <v>5</v>
      </c>
      <c r="R808">
        <f t="shared" si="217"/>
        <v>3</v>
      </c>
      <c r="S808">
        <f t="shared" si="218"/>
        <v>4</v>
      </c>
      <c r="T808">
        <f t="shared" si="219"/>
        <v>5</v>
      </c>
      <c r="U808">
        <v>5000</v>
      </c>
      <c r="V808">
        <f t="shared" si="220"/>
        <v>0</v>
      </c>
      <c r="W808">
        <f t="shared" si="221"/>
        <v>0</v>
      </c>
      <c r="X808">
        <f t="shared" si="222"/>
        <v>0</v>
      </c>
      <c r="Y808">
        <f t="shared" si="223"/>
        <v>1</v>
      </c>
      <c r="Z808">
        <f t="shared" si="224"/>
        <v>1</v>
      </c>
      <c r="AA808">
        <f t="shared" si="225"/>
        <v>0</v>
      </c>
      <c r="AB808">
        <f t="shared" si="226"/>
        <v>1</v>
      </c>
      <c r="AC808">
        <f t="shared" si="227"/>
        <v>0</v>
      </c>
      <c r="AD808">
        <f t="shared" si="228"/>
        <v>0</v>
      </c>
      <c r="AE808">
        <f t="shared" si="229"/>
        <v>0</v>
      </c>
      <c r="AF808">
        <f t="shared" si="230"/>
        <v>0</v>
      </c>
      <c r="AG808">
        <f t="shared" si="231"/>
        <v>0</v>
      </c>
      <c r="AH808">
        <f t="shared" si="232"/>
        <v>1</v>
      </c>
      <c r="AI808">
        <f t="shared" si="233"/>
        <v>0</v>
      </c>
    </row>
    <row r="809" spans="1:35" x14ac:dyDescent="0.2">
      <c r="A809">
        <v>366</v>
      </c>
      <c r="B809" t="s">
        <v>16</v>
      </c>
      <c r="C809">
        <v>9</v>
      </c>
      <c r="D809" t="s">
        <v>2361</v>
      </c>
      <c r="E809" t="s">
        <v>21</v>
      </c>
      <c r="F809" t="s">
        <v>21</v>
      </c>
      <c r="G809" t="s">
        <v>20</v>
      </c>
      <c r="H809" t="s">
        <v>18</v>
      </c>
      <c r="I809">
        <v>2</v>
      </c>
      <c r="J809">
        <v>5</v>
      </c>
      <c r="K809">
        <v>10</v>
      </c>
      <c r="L809" t="s">
        <v>53</v>
      </c>
      <c r="M809" t="s">
        <v>48</v>
      </c>
      <c r="N809" t="s">
        <v>84</v>
      </c>
      <c r="O809" t="s">
        <v>792</v>
      </c>
      <c r="P809" t="s">
        <v>2362</v>
      </c>
      <c r="Q809">
        <f t="shared" si="216"/>
        <v>1</v>
      </c>
      <c r="R809">
        <f t="shared" si="217"/>
        <v>1</v>
      </c>
      <c r="S809">
        <f t="shared" si="218"/>
        <v>2</v>
      </c>
      <c r="T809">
        <f t="shared" si="219"/>
        <v>4</v>
      </c>
      <c r="U809">
        <v>10</v>
      </c>
      <c r="V809">
        <f t="shared" si="220"/>
        <v>0</v>
      </c>
      <c r="W809">
        <f t="shared" si="221"/>
        <v>0</v>
      </c>
      <c r="X809">
        <f t="shared" si="222"/>
        <v>1</v>
      </c>
      <c r="Y809">
        <f t="shared" si="223"/>
        <v>0</v>
      </c>
      <c r="Z809">
        <f t="shared" si="224"/>
        <v>0</v>
      </c>
      <c r="AA809">
        <f t="shared" si="225"/>
        <v>1</v>
      </c>
      <c r="AB809">
        <f t="shared" si="226"/>
        <v>1</v>
      </c>
      <c r="AC809">
        <f t="shared" si="227"/>
        <v>1</v>
      </c>
      <c r="AD809">
        <f t="shared" si="228"/>
        <v>0</v>
      </c>
      <c r="AE809">
        <f t="shared" si="229"/>
        <v>0</v>
      </c>
      <c r="AF809">
        <f t="shared" si="230"/>
        <v>0</v>
      </c>
      <c r="AG809">
        <f t="shared" si="231"/>
        <v>1</v>
      </c>
      <c r="AH809">
        <f t="shared" si="232"/>
        <v>0</v>
      </c>
      <c r="AI809">
        <f t="shared" si="233"/>
        <v>0</v>
      </c>
    </row>
    <row r="810" spans="1:35" x14ac:dyDescent="0.2">
      <c r="A810">
        <v>367</v>
      </c>
      <c r="B810" t="s">
        <v>16</v>
      </c>
      <c r="C810">
        <v>3</v>
      </c>
      <c r="D810" t="s">
        <v>2363</v>
      </c>
      <c r="E810" t="s">
        <v>18</v>
      </c>
      <c r="F810" t="s">
        <v>20</v>
      </c>
      <c r="G810" t="s">
        <v>20</v>
      </c>
      <c r="H810" t="s">
        <v>39</v>
      </c>
      <c r="I810">
        <v>5</v>
      </c>
      <c r="J810">
        <v>6</v>
      </c>
      <c r="K810">
        <v>50</v>
      </c>
      <c r="L810" t="s">
        <v>53</v>
      </c>
      <c r="M810" t="s">
        <v>179</v>
      </c>
      <c r="N810" t="s">
        <v>24</v>
      </c>
      <c r="O810" t="s">
        <v>2364</v>
      </c>
      <c r="P810" t="s">
        <v>2365</v>
      </c>
      <c r="Q810">
        <f t="shared" si="216"/>
        <v>4</v>
      </c>
      <c r="R810">
        <f t="shared" si="217"/>
        <v>2</v>
      </c>
      <c r="S810">
        <f t="shared" si="218"/>
        <v>2</v>
      </c>
      <c r="T810">
        <f t="shared" si="219"/>
        <v>5</v>
      </c>
      <c r="U810">
        <v>50</v>
      </c>
      <c r="V810">
        <f t="shared" si="220"/>
        <v>0</v>
      </c>
      <c r="W810">
        <f t="shared" si="221"/>
        <v>0</v>
      </c>
      <c r="X810">
        <f t="shared" si="222"/>
        <v>1</v>
      </c>
      <c r="Y810">
        <f t="shared" si="223"/>
        <v>0</v>
      </c>
      <c r="Z810">
        <f t="shared" si="224"/>
        <v>0</v>
      </c>
      <c r="AA810">
        <f t="shared" si="225"/>
        <v>0</v>
      </c>
      <c r="AB810">
        <f t="shared" si="226"/>
        <v>0</v>
      </c>
      <c r="AC810">
        <f t="shared" si="227"/>
        <v>0</v>
      </c>
      <c r="AD810">
        <f t="shared" si="228"/>
        <v>1</v>
      </c>
      <c r="AE810">
        <f t="shared" si="229"/>
        <v>1</v>
      </c>
      <c r="AF810">
        <f t="shared" si="230"/>
        <v>0</v>
      </c>
      <c r="AG810">
        <f t="shared" si="231"/>
        <v>0</v>
      </c>
      <c r="AH810">
        <f t="shared" si="232"/>
        <v>1</v>
      </c>
      <c r="AI810">
        <f t="shared" si="233"/>
        <v>0</v>
      </c>
    </row>
    <row r="811" spans="1:35" x14ac:dyDescent="0.2">
      <c r="A811">
        <v>368</v>
      </c>
      <c r="B811" t="s">
        <v>16</v>
      </c>
      <c r="C811">
        <v>4</v>
      </c>
      <c r="D811" t="s">
        <v>2366</v>
      </c>
      <c r="E811" t="s">
        <v>18</v>
      </c>
      <c r="F811" t="s">
        <v>21</v>
      </c>
      <c r="G811" t="s">
        <v>20</v>
      </c>
      <c r="H811" t="s">
        <v>39</v>
      </c>
      <c r="I811">
        <v>4</v>
      </c>
      <c r="J811">
        <v>4</v>
      </c>
      <c r="K811" s="1">
        <v>15</v>
      </c>
      <c r="L811" t="s">
        <v>98</v>
      </c>
      <c r="M811" t="s">
        <v>23</v>
      </c>
      <c r="N811" t="s">
        <v>147</v>
      </c>
      <c r="O811" t="s">
        <v>2367</v>
      </c>
      <c r="P811" t="s">
        <v>2368</v>
      </c>
      <c r="Q811">
        <f t="shared" si="216"/>
        <v>4</v>
      </c>
      <c r="R811">
        <f t="shared" si="217"/>
        <v>1</v>
      </c>
      <c r="S811">
        <f t="shared" si="218"/>
        <v>2</v>
      </c>
      <c r="T811">
        <f t="shared" si="219"/>
        <v>5</v>
      </c>
      <c r="U811">
        <v>15</v>
      </c>
      <c r="V811">
        <f t="shared" si="220"/>
        <v>0</v>
      </c>
      <c r="W811">
        <f t="shared" si="221"/>
        <v>1</v>
      </c>
      <c r="X811">
        <f t="shared" si="222"/>
        <v>0</v>
      </c>
      <c r="Y811">
        <f t="shared" si="223"/>
        <v>0</v>
      </c>
      <c r="Z811">
        <f t="shared" si="224"/>
        <v>0</v>
      </c>
      <c r="AA811">
        <f t="shared" si="225"/>
        <v>1</v>
      </c>
      <c r="AB811">
        <f t="shared" si="226"/>
        <v>0</v>
      </c>
      <c r="AC811">
        <f t="shared" si="227"/>
        <v>0</v>
      </c>
      <c r="AD811">
        <f t="shared" si="228"/>
        <v>0</v>
      </c>
      <c r="AE811">
        <f t="shared" si="229"/>
        <v>0</v>
      </c>
      <c r="AF811">
        <f t="shared" si="230"/>
        <v>0</v>
      </c>
      <c r="AG811">
        <f t="shared" si="231"/>
        <v>0</v>
      </c>
      <c r="AH811">
        <f t="shared" si="232"/>
        <v>1</v>
      </c>
      <c r="AI811">
        <f t="shared" si="233"/>
        <v>1</v>
      </c>
    </row>
    <row r="812" spans="1:35" x14ac:dyDescent="0.2">
      <c r="A812">
        <v>369</v>
      </c>
      <c r="B812" t="s">
        <v>16</v>
      </c>
      <c r="C812">
        <v>9</v>
      </c>
      <c r="D812" t="s">
        <v>2369</v>
      </c>
      <c r="E812" t="s">
        <v>19</v>
      </c>
      <c r="F812" t="s">
        <v>21</v>
      </c>
      <c r="G812" t="s">
        <v>20</v>
      </c>
      <c r="H812" t="s">
        <v>39</v>
      </c>
      <c r="I812">
        <v>3</v>
      </c>
      <c r="J812">
        <v>4</v>
      </c>
      <c r="K812" s="1">
        <v>15</v>
      </c>
      <c r="L812" t="s">
        <v>53</v>
      </c>
      <c r="M812" t="s">
        <v>436</v>
      </c>
      <c r="N812" t="s">
        <v>24</v>
      </c>
      <c r="O812" t="s">
        <v>2370</v>
      </c>
      <c r="P812" t="s">
        <v>2371</v>
      </c>
      <c r="Q812">
        <f t="shared" si="216"/>
        <v>3</v>
      </c>
      <c r="R812">
        <f t="shared" si="217"/>
        <v>1</v>
      </c>
      <c r="S812">
        <f t="shared" si="218"/>
        <v>2</v>
      </c>
      <c r="T812">
        <f t="shared" si="219"/>
        <v>5</v>
      </c>
      <c r="U812">
        <v>15</v>
      </c>
      <c r="V812">
        <f t="shared" si="220"/>
        <v>0</v>
      </c>
      <c r="W812">
        <f t="shared" si="221"/>
        <v>0</v>
      </c>
      <c r="X812">
        <f t="shared" si="222"/>
        <v>1</v>
      </c>
      <c r="Y812">
        <f t="shared" si="223"/>
        <v>0</v>
      </c>
      <c r="Z812">
        <f t="shared" si="224"/>
        <v>0</v>
      </c>
      <c r="AA812">
        <f t="shared" si="225"/>
        <v>1</v>
      </c>
      <c r="AB812">
        <f t="shared" si="226"/>
        <v>0</v>
      </c>
      <c r="AC812">
        <f t="shared" si="227"/>
        <v>0</v>
      </c>
      <c r="AD812">
        <f t="shared" si="228"/>
        <v>1</v>
      </c>
      <c r="AE812">
        <f t="shared" si="229"/>
        <v>1</v>
      </c>
      <c r="AF812">
        <f t="shared" si="230"/>
        <v>0</v>
      </c>
      <c r="AG812">
        <f t="shared" si="231"/>
        <v>0</v>
      </c>
      <c r="AH812">
        <f t="shared" si="232"/>
        <v>1</v>
      </c>
      <c r="AI812">
        <f t="shared" si="233"/>
        <v>0</v>
      </c>
    </row>
    <row r="813" spans="1:35" x14ac:dyDescent="0.2">
      <c r="A813">
        <v>370</v>
      </c>
      <c r="B813" t="s">
        <v>16</v>
      </c>
      <c r="C813">
        <v>3</v>
      </c>
      <c r="D813" t="s">
        <v>2372</v>
      </c>
      <c r="E813" t="s">
        <v>18</v>
      </c>
      <c r="F813" t="s">
        <v>20</v>
      </c>
      <c r="G813" t="s">
        <v>20</v>
      </c>
      <c r="H813" t="s">
        <v>18</v>
      </c>
      <c r="I813">
        <v>7</v>
      </c>
      <c r="J813">
        <v>6</v>
      </c>
      <c r="K813">
        <v>5</v>
      </c>
      <c r="L813" t="s">
        <v>22</v>
      </c>
      <c r="M813" t="s">
        <v>587</v>
      </c>
      <c r="N813" t="s">
        <v>147</v>
      </c>
      <c r="O813" t="s">
        <v>2373</v>
      </c>
      <c r="P813" t="s">
        <v>2374</v>
      </c>
      <c r="Q813">
        <f t="shared" si="216"/>
        <v>4</v>
      </c>
      <c r="R813">
        <f t="shared" si="217"/>
        <v>2</v>
      </c>
      <c r="S813">
        <f t="shared" si="218"/>
        <v>2</v>
      </c>
      <c r="T813">
        <f t="shared" si="219"/>
        <v>4</v>
      </c>
      <c r="U813">
        <v>5</v>
      </c>
      <c r="V813">
        <f t="shared" si="220"/>
        <v>1</v>
      </c>
      <c r="W813">
        <f t="shared" si="221"/>
        <v>0</v>
      </c>
      <c r="X813">
        <f t="shared" si="222"/>
        <v>0</v>
      </c>
      <c r="Y813">
        <f t="shared" si="223"/>
        <v>0</v>
      </c>
      <c r="Z813">
        <f t="shared" si="224"/>
        <v>0</v>
      </c>
      <c r="AA813">
        <f t="shared" si="225"/>
        <v>0</v>
      </c>
      <c r="AB813">
        <f t="shared" si="226"/>
        <v>1</v>
      </c>
      <c r="AC813">
        <f t="shared" si="227"/>
        <v>0</v>
      </c>
      <c r="AD813">
        <f t="shared" si="228"/>
        <v>1</v>
      </c>
      <c r="AE813">
        <f t="shared" si="229"/>
        <v>1</v>
      </c>
      <c r="AF813">
        <f t="shared" si="230"/>
        <v>0</v>
      </c>
      <c r="AG813">
        <f t="shared" si="231"/>
        <v>0</v>
      </c>
      <c r="AH813">
        <f t="shared" si="232"/>
        <v>1</v>
      </c>
      <c r="AI813">
        <f t="shared" si="233"/>
        <v>1</v>
      </c>
    </row>
    <row r="814" spans="1:35" x14ac:dyDescent="0.2">
      <c r="A814">
        <v>371</v>
      </c>
      <c r="B814" t="s">
        <v>16</v>
      </c>
      <c r="C814">
        <v>6</v>
      </c>
      <c r="D814" t="s">
        <v>2375</v>
      </c>
      <c r="E814" t="s">
        <v>19</v>
      </c>
      <c r="F814" t="s">
        <v>19</v>
      </c>
      <c r="G814" t="s">
        <v>20</v>
      </c>
      <c r="H814" t="s">
        <v>18</v>
      </c>
      <c r="I814">
        <v>3</v>
      </c>
      <c r="J814">
        <v>4</v>
      </c>
      <c r="K814" t="s">
        <v>2376</v>
      </c>
      <c r="L814" t="s">
        <v>47</v>
      </c>
      <c r="M814" t="s">
        <v>436</v>
      </c>
      <c r="N814" t="s">
        <v>24</v>
      </c>
      <c r="O814" t="s">
        <v>2377</v>
      </c>
      <c r="P814" t="s">
        <v>2378</v>
      </c>
      <c r="Q814">
        <f t="shared" si="216"/>
        <v>3</v>
      </c>
      <c r="R814">
        <f t="shared" si="217"/>
        <v>3</v>
      </c>
      <c r="S814">
        <f t="shared" si="218"/>
        <v>2</v>
      </c>
      <c r="T814">
        <f t="shared" si="219"/>
        <v>4</v>
      </c>
      <c r="U814">
        <v>100</v>
      </c>
      <c r="V814">
        <f t="shared" si="220"/>
        <v>0</v>
      </c>
      <c r="W814">
        <f t="shared" si="221"/>
        <v>0</v>
      </c>
      <c r="X814">
        <f t="shared" si="222"/>
        <v>1</v>
      </c>
      <c r="Y814">
        <f t="shared" si="223"/>
        <v>0</v>
      </c>
      <c r="Z814">
        <f t="shared" si="224"/>
        <v>1</v>
      </c>
      <c r="AA814">
        <f t="shared" si="225"/>
        <v>1</v>
      </c>
      <c r="AB814">
        <f t="shared" si="226"/>
        <v>0</v>
      </c>
      <c r="AC814">
        <f t="shared" si="227"/>
        <v>0</v>
      </c>
      <c r="AD814">
        <f t="shared" si="228"/>
        <v>1</v>
      </c>
      <c r="AE814">
        <f t="shared" si="229"/>
        <v>1</v>
      </c>
      <c r="AF814">
        <f t="shared" si="230"/>
        <v>0</v>
      </c>
      <c r="AG814">
        <f t="shared" si="231"/>
        <v>0</v>
      </c>
      <c r="AH814">
        <f t="shared" si="232"/>
        <v>1</v>
      </c>
      <c r="AI814">
        <f t="shared" si="233"/>
        <v>0</v>
      </c>
    </row>
    <row r="815" spans="1:35" x14ac:dyDescent="0.2">
      <c r="A815">
        <v>372</v>
      </c>
      <c r="B815" t="s">
        <v>16</v>
      </c>
      <c r="C815">
        <v>6</v>
      </c>
      <c r="D815" t="s">
        <v>2379</v>
      </c>
      <c r="E815" t="s">
        <v>18</v>
      </c>
      <c r="F815" t="s">
        <v>20</v>
      </c>
      <c r="G815" t="s">
        <v>20</v>
      </c>
      <c r="H815" t="s">
        <v>19</v>
      </c>
      <c r="I815">
        <v>5</v>
      </c>
      <c r="J815">
        <v>5</v>
      </c>
      <c r="K815">
        <v>0</v>
      </c>
      <c r="L815" t="s">
        <v>53</v>
      </c>
      <c r="M815" t="s">
        <v>35</v>
      </c>
      <c r="N815" t="s">
        <v>84</v>
      </c>
      <c r="O815" t="s">
        <v>2380</v>
      </c>
      <c r="P815" t="s">
        <v>2381</v>
      </c>
      <c r="Q815">
        <f t="shared" si="216"/>
        <v>4</v>
      </c>
      <c r="R815">
        <f t="shared" si="217"/>
        <v>2</v>
      </c>
      <c r="S815">
        <f t="shared" si="218"/>
        <v>2</v>
      </c>
      <c r="T815">
        <f t="shared" si="219"/>
        <v>3</v>
      </c>
      <c r="U815">
        <v>0</v>
      </c>
      <c r="V815">
        <f t="shared" si="220"/>
        <v>0</v>
      </c>
      <c r="W815">
        <f t="shared" si="221"/>
        <v>0</v>
      </c>
      <c r="X815">
        <f t="shared" si="222"/>
        <v>1</v>
      </c>
      <c r="Y815">
        <f t="shared" si="223"/>
        <v>0</v>
      </c>
      <c r="Z815">
        <f t="shared" si="224"/>
        <v>0</v>
      </c>
      <c r="AA815">
        <f t="shared" si="225"/>
        <v>0</v>
      </c>
      <c r="AB815">
        <f t="shared" si="226"/>
        <v>0</v>
      </c>
      <c r="AC815">
        <f t="shared" si="227"/>
        <v>0</v>
      </c>
      <c r="AD815">
        <f t="shared" si="228"/>
        <v>1</v>
      </c>
      <c r="AE815">
        <f t="shared" si="229"/>
        <v>0</v>
      </c>
      <c r="AF815">
        <f t="shared" si="230"/>
        <v>0</v>
      </c>
      <c r="AG815">
        <f t="shared" si="231"/>
        <v>1</v>
      </c>
      <c r="AH815">
        <f t="shared" si="232"/>
        <v>0</v>
      </c>
      <c r="AI815">
        <f t="shared" si="233"/>
        <v>0</v>
      </c>
    </row>
    <row r="816" spans="1:35" x14ac:dyDescent="0.2">
      <c r="A816">
        <v>373</v>
      </c>
      <c r="B816" t="s">
        <v>16</v>
      </c>
      <c r="C816">
        <v>8</v>
      </c>
      <c r="D816" t="s">
        <v>2382</v>
      </c>
      <c r="E816" t="s">
        <v>18</v>
      </c>
      <c r="F816" t="s">
        <v>19</v>
      </c>
      <c r="G816" t="s">
        <v>18</v>
      </c>
      <c r="H816" t="s">
        <v>20</v>
      </c>
      <c r="I816">
        <v>7</v>
      </c>
      <c r="J816">
        <v>6</v>
      </c>
      <c r="K816" s="1">
        <v>30</v>
      </c>
      <c r="L816" t="s">
        <v>41</v>
      </c>
      <c r="M816" t="s">
        <v>23</v>
      </c>
      <c r="N816" t="s">
        <v>24</v>
      </c>
      <c r="O816" t="s">
        <v>205</v>
      </c>
      <c r="P816" t="s">
        <v>2383</v>
      </c>
      <c r="Q816">
        <f t="shared" si="216"/>
        <v>4</v>
      </c>
      <c r="R816">
        <f t="shared" si="217"/>
        <v>3</v>
      </c>
      <c r="S816">
        <f t="shared" si="218"/>
        <v>4</v>
      </c>
      <c r="T816">
        <f t="shared" si="219"/>
        <v>2</v>
      </c>
      <c r="U816">
        <v>30</v>
      </c>
      <c r="V816">
        <f t="shared" si="220"/>
        <v>0</v>
      </c>
      <c r="W816">
        <f t="shared" si="221"/>
        <v>0</v>
      </c>
      <c r="X816">
        <f t="shared" si="222"/>
        <v>0</v>
      </c>
      <c r="Y816">
        <f t="shared" si="223"/>
        <v>0</v>
      </c>
      <c r="Z816">
        <f t="shared" si="224"/>
        <v>1</v>
      </c>
      <c r="AA816">
        <f t="shared" si="225"/>
        <v>1</v>
      </c>
      <c r="AB816">
        <f t="shared" si="226"/>
        <v>0</v>
      </c>
      <c r="AC816">
        <f t="shared" si="227"/>
        <v>0</v>
      </c>
      <c r="AD816">
        <f t="shared" si="228"/>
        <v>0</v>
      </c>
      <c r="AE816">
        <f t="shared" si="229"/>
        <v>0</v>
      </c>
      <c r="AF816">
        <f t="shared" si="230"/>
        <v>0</v>
      </c>
      <c r="AG816">
        <f t="shared" si="231"/>
        <v>0</v>
      </c>
      <c r="AH816">
        <f t="shared" si="232"/>
        <v>1</v>
      </c>
      <c r="AI816">
        <f t="shared" si="233"/>
        <v>0</v>
      </c>
    </row>
    <row r="817" spans="1:35" ht="51" x14ac:dyDescent="0.2">
      <c r="A817">
        <v>374</v>
      </c>
      <c r="B817" t="s">
        <v>16</v>
      </c>
      <c r="C817">
        <v>3</v>
      </c>
      <c r="D817" s="3" t="s">
        <v>2384</v>
      </c>
      <c r="E817" t="s">
        <v>18</v>
      </c>
      <c r="F817" t="s">
        <v>20</v>
      </c>
      <c r="G817" t="s">
        <v>20</v>
      </c>
      <c r="H817" t="s">
        <v>39</v>
      </c>
      <c r="I817">
        <v>3</v>
      </c>
      <c r="J817">
        <v>3</v>
      </c>
      <c r="K817" t="s">
        <v>2385</v>
      </c>
      <c r="L817" t="s">
        <v>53</v>
      </c>
      <c r="M817" t="s">
        <v>42</v>
      </c>
      <c r="N817" t="s">
        <v>36</v>
      </c>
      <c r="O817" t="s">
        <v>2386</v>
      </c>
      <c r="P817" t="s">
        <v>2387</v>
      </c>
      <c r="Q817">
        <f t="shared" si="216"/>
        <v>4</v>
      </c>
      <c r="R817">
        <f t="shared" si="217"/>
        <v>2</v>
      </c>
      <c r="S817">
        <f t="shared" si="218"/>
        <v>2</v>
      </c>
      <c r="T817">
        <f t="shared" si="219"/>
        <v>5</v>
      </c>
      <c r="V817">
        <f t="shared" si="220"/>
        <v>0</v>
      </c>
      <c r="W817">
        <f t="shared" si="221"/>
        <v>0</v>
      </c>
      <c r="X817">
        <f t="shared" si="222"/>
        <v>1</v>
      </c>
      <c r="Y817">
        <f t="shared" si="223"/>
        <v>0</v>
      </c>
      <c r="Z817">
        <f t="shared" si="224"/>
        <v>0</v>
      </c>
      <c r="AA817">
        <f t="shared" si="225"/>
        <v>0</v>
      </c>
      <c r="AB817">
        <f t="shared" si="226"/>
        <v>1</v>
      </c>
      <c r="AC817">
        <f t="shared" si="227"/>
        <v>0</v>
      </c>
      <c r="AD817">
        <f t="shared" si="228"/>
        <v>0</v>
      </c>
      <c r="AE817">
        <f t="shared" si="229"/>
        <v>0</v>
      </c>
      <c r="AF817">
        <f t="shared" si="230"/>
        <v>0</v>
      </c>
      <c r="AG817">
        <f t="shared" si="231"/>
        <v>0</v>
      </c>
      <c r="AH817">
        <f t="shared" si="232"/>
        <v>0</v>
      </c>
      <c r="AI817">
        <f t="shared" si="233"/>
        <v>1</v>
      </c>
    </row>
    <row r="818" spans="1:35" x14ac:dyDescent="0.2">
      <c r="A818">
        <v>375</v>
      </c>
      <c r="B818" t="s">
        <v>16</v>
      </c>
      <c r="C818">
        <v>8</v>
      </c>
      <c r="D818" t="s">
        <v>2388</v>
      </c>
      <c r="E818" t="s">
        <v>18</v>
      </c>
      <c r="F818" t="s">
        <v>20</v>
      </c>
      <c r="G818" t="s">
        <v>19</v>
      </c>
      <c r="H818" t="s">
        <v>18</v>
      </c>
      <c r="I818">
        <v>5</v>
      </c>
      <c r="J818">
        <v>3</v>
      </c>
      <c r="K818" s="1">
        <v>80</v>
      </c>
      <c r="L818" t="s">
        <v>75</v>
      </c>
      <c r="M818" t="s">
        <v>587</v>
      </c>
      <c r="N818" t="s">
        <v>84</v>
      </c>
      <c r="O818" t="s">
        <v>2183</v>
      </c>
      <c r="P818" t="s">
        <v>2389</v>
      </c>
      <c r="Q818">
        <f t="shared" si="216"/>
        <v>4</v>
      </c>
      <c r="R818">
        <f t="shared" si="217"/>
        <v>2</v>
      </c>
      <c r="S818">
        <f t="shared" si="218"/>
        <v>3</v>
      </c>
      <c r="T818">
        <f t="shared" si="219"/>
        <v>4</v>
      </c>
      <c r="U818">
        <v>80</v>
      </c>
      <c r="V818">
        <f t="shared" si="220"/>
        <v>0</v>
      </c>
      <c r="W818">
        <f t="shared" si="221"/>
        <v>0</v>
      </c>
      <c r="X818">
        <f t="shared" si="222"/>
        <v>1</v>
      </c>
      <c r="Y818">
        <f t="shared" si="223"/>
        <v>1</v>
      </c>
      <c r="Z818">
        <f t="shared" si="224"/>
        <v>0</v>
      </c>
      <c r="AA818">
        <f t="shared" si="225"/>
        <v>0</v>
      </c>
      <c r="AB818">
        <f t="shared" si="226"/>
        <v>1</v>
      </c>
      <c r="AC818">
        <f t="shared" si="227"/>
        <v>0</v>
      </c>
      <c r="AD818">
        <f t="shared" si="228"/>
        <v>1</v>
      </c>
      <c r="AE818">
        <f t="shared" si="229"/>
        <v>1</v>
      </c>
      <c r="AF818">
        <f t="shared" si="230"/>
        <v>0</v>
      </c>
      <c r="AG818">
        <f t="shared" si="231"/>
        <v>1</v>
      </c>
      <c r="AH818">
        <f t="shared" si="232"/>
        <v>0</v>
      </c>
      <c r="AI818">
        <f t="shared" si="233"/>
        <v>0</v>
      </c>
    </row>
    <row r="819" spans="1:35" ht="51" x14ac:dyDescent="0.2">
      <c r="A819">
        <v>376</v>
      </c>
      <c r="B819" t="s">
        <v>16</v>
      </c>
      <c r="C819">
        <v>5</v>
      </c>
      <c r="D819" s="3" t="s">
        <v>2390</v>
      </c>
      <c r="E819" t="s">
        <v>19</v>
      </c>
      <c r="F819" t="s">
        <v>20</v>
      </c>
      <c r="G819" t="s">
        <v>20</v>
      </c>
      <c r="H819" t="s">
        <v>18</v>
      </c>
      <c r="I819">
        <v>8</v>
      </c>
      <c r="J819">
        <v>5</v>
      </c>
      <c r="K819" s="1">
        <v>30</v>
      </c>
      <c r="L819" t="s">
        <v>53</v>
      </c>
      <c r="M819" t="s">
        <v>42</v>
      </c>
      <c r="N819" t="s">
        <v>84</v>
      </c>
      <c r="O819" t="s">
        <v>2391</v>
      </c>
      <c r="P819" t="s">
        <v>2392</v>
      </c>
      <c r="Q819">
        <f t="shared" si="216"/>
        <v>3</v>
      </c>
      <c r="R819">
        <f t="shared" si="217"/>
        <v>2</v>
      </c>
      <c r="S819">
        <f t="shared" si="218"/>
        <v>2</v>
      </c>
      <c r="T819">
        <f t="shared" si="219"/>
        <v>4</v>
      </c>
      <c r="U819">
        <v>30</v>
      </c>
      <c r="V819">
        <f t="shared" si="220"/>
        <v>0</v>
      </c>
      <c r="W819">
        <f t="shared" si="221"/>
        <v>0</v>
      </c>
      <c r="X819">
        <f t="shared" si="222"/>
        <v>1</v>
      </c>
      <c r="Y819">
        <f t="shared" si="223"/>
        <v>0</v>
      </c>
      <c r="Z819">
        <f t="shared" si="224"/>
        <v>0</v>
      </c>
      <c r="AA819">
        <f t="shared" si="225"/>
        <v>0</v>
      </c>
      <c r="AB819">
        <f t="shared" si="226"/>
        <v>1</v>
      </c>
      <c r="AC819">
        <f t="shared" si="227"/>
        <v>0</v>
      </c>
      <c r="AD819">
        <f t="shared" si="228"/>
        <v>0</v>
      </c>
      <c r="AE819">
        <f t="shared" si="229"/>
        <v>0</v>
      </c>
      <c r="AF819">
        <f t="shared" si="230"/>
        <v>0</v>
      </c>
      <c r="AG819">
        <f t="shared" si="231"/>
        <v>1</v>
      </c>
      <c r="AH819">
        <f t="shared" si="232"/>
        <v>0</v>
      </c>
      <c r="AI819">
        <f t="shared" si="233"/>
        <v>0</v>
      </c>
    </row>
    <row r="820" spans="1:35" x14ac:dyDescent="0.2">
      <c r="A820">
        <v>377</v>
      </c>
      <c r="B820" t="s">
        <v>16</v>
      </c>
      <c r="C820">
        <v>6</v>
      </c>
      <c r="D820" t="s">
        <v>2393</v>
      </c>
      <c r="E820" t="s">
        <v>39</v>
      </c>
      <c r="F820" t="s">
        <v>21</v>
      </c>
      <c r="G820" t="s">
        <v>20</v>
      </c>
      <c r="H820" t="s">
        <v>18</v>
      </c>
      <c r="I820">
        <v>4</v>
      </c>
      <c r="J820">
        <v>3</v>
      </c>
      <c r="K820" s="1">
        <v>0</v>
      </c>
      <c r="L820" t="s">
        <v>22</v>
      </c>
      <c r="M820" t="s">
        <v>219</v>
      </c>
      <c r="N820" t="s">
        <v>215</v>
      </c>
      <c r="O820" t="s">
        <v>2394</v>
      </c>
      <c r="P820" t="s">
        <v>2395</v>
      </c>
      <c r="Q820">
        <f t="shared" si="216"/>
        <v>5</v>
      </c>
      <c r="R820">
        <f t="shared" si="217"/>
        <v>1</v>
      </c>
      <c r="S820">
        <f t="shared" si="218"/>
        <v>2</v>
      </c>
      <c r="T820">
        <f t="shared" si="219"/>
        <v>4</v>
      </c>
      <c r="U820">
        <v>0</v>
      </c>
      <c r="V820">
        <f t="shared" si="220"/>
        <v>1</v>
      </c>
      <c r="W820">
        <f t="shared" si="221"/>
        <v>0</v>
      </c>
      <c r="X820">
        <f t="shared" si="222"/>
        <v>0</v>
      </c>
      <c r="Y820">
        <f t="shared" si="223"/>
        <v>0</v>
      </c>
      <c r="Z820">
        <f t="shared" si="224"/>
        <v>0</v>
      </c>
      <c r="AA820">
        <f t="shared" si="225"/>
        <v>0</v>
      </c>
      <c r="AB820">
        <f t="shared" si="226"/>
        <v>0</v>
      </c>
      <c r="AC820">
        <f t="shared" si="227"/>
        <v>0</v>
      </c>
      <c r="AD820">
        <f t="shared" si="228"/>
        <v>0</v>
      </c>
      <c r="AE820">
        <f t="shared" si="229"/>
        <v>1</v>
      </c>
      <c r="AF820">
        <f t="shared" si="230"/>
        <v>1</v>
      </c>
      <c r="AG820">
        <f t="shared" si="231"/>
        <v>0</v>
      </c>
      <c r="AH820">
        <f t="shared" si="232"/>
        <v>0</v>
      </c>
      <c r="AI820">
        <f t="shared" si="233"/>
        <v>0</v>
      </c>
    </row>
    <row r="821" spans="1:35" x14ac:dyDescent="0.2">
      <c r="A821">
        <v>378</v>
      </c>
      <c r="B821" t="s">
        <v>16</v>
      </c>
      <c r="C821">
        <v>7</v>
      </c>
      <c r="D821" t="s">
        <v>2396</v>
      </c>
      <c r="E821" t="s">
        <v>19</v>
      </c>
      <c r="F821" t="s">
        <v>20</v>
      </c>
      <c r="G821" t="s">
        <v>18</v>
      </c>
      <c r="H821" t="s">
        <v>18</v>
      </c>
      <c r="I821">
        <v>7</v>
      </c>
      <c r="J821">
        <v>3</v>
      </c>
      <c r="K821" t="s">
        <v>989</v>
      </c>
      <c r="L821" t="s">
        <v>47</v>
      </c>
      <c r="M821" t="s">
        <v>587</v>
      </c>
      <c r="N821" t="s">
        <v>84</v>
      </c>
      <c r="O821" t="s">
        <v>2397</v>
      </c>
      <c r="P821" t="s">
        <v>2398</v>
      </c>
      <c r="Q821">
        <f t="shared" si="216"/>
        <v>3</v>
      </c>
      <c r="R821">
        <f t="shared" si="217"/>
        <v>2</v>
      </c>
      <c r="S821">
        <f t="shared" si="218"/>
        <v>4</v>
      </c>
      <c r="T821">
        <f t="shared" si="219"/>
        <v>4</v>
      </c>
      <c r="U821">
        <v>500</v>
      </c>
      <c r="V821">
        <f t="shared" si="220"/>
        <v>0</v>
      </c>
      <c r="W821">
        <f t="shared" si="221"/>
        <v>0</v>
      </c>
      <c r="X821">
        <f t="shared" si="222"/>
        <v>1</v>
      </c>
      <c r="Y821">
        <f t="shared" si="223"/>
        <v>0</v>
      </c>
      <c r="Z821">
        <f t="shared" si="224"/>
        <v>1</v>
      </c>
      <c r="AA821">
        <f t="shared" si="225"/>
        <v>0</v>
      </c>
      <c r="AB821">
        <f t="shared" si="226"/>
        <v>1</v>
      </c>
      <c r="AC821">
        <f t="shared" si="227"/>
        <v>0</v>
      </c>
      <c r="AD821">
        <f t="shared" si="228"/>
        <v>1</v>
      </c>
      <c r="AE821">
        <f t="shared" si="229"/>
        <v>1</v>
      </c>
      <c r="AF821">
        <f t="shared" si="230"/>
        <v>0</v>
      </c>
      <c r="AG821">
        <f t="shared" si="231"/>
        <v>1</v>
      </c>
      <c r="AH821">
        <f t="shared" si="232"/>
        <v>0</v>
      </c>
      <c r="AI821">
        <f t="shared" si="233"/>
        <v>0</v>
      </c>
    </row>
    <row r="822" spans="1:35" x14ac:dyDescent="0.2">
      <c r="A822">
        <v>379</v>
      </c>
      <c r="B822" t="s">
        <v>16</v>
      </c>
      <c r="C822">
        <v>8</v>
      </c>
      <c r="D822" t="s">
        <v>2399</v>
      </c>
      <c r="E822" t="s">
        <v>18</v>
      </c>
      <c r="F822" t="s">
        <v>19</v>
      </c>
      <c r="G822" t="s">
        <v>20</v>
      </c>
      <c r="H822" t="s">
        <v>18</v>
      </c>
      <c r="I822">
        <v>10</v>
      </c>
      <c r="J822">
        <v>7</v>
      </c>
      <c r="K822" s="1">
        <v>50</v>
      </c>
      <c r="L822" t="s">
        <v>53</v>
      </c>
      <c r="M822" t="s">
        <v>179</v>
      </c>
      <c r="N822" t="s">
        <v>24</v>
      </c>
      <c r="O822" t="s">
        <v>2400</v>
      </c>
      <c r="P822" t="s">
        <v>2401</v>
      </c>
      <c r="Q822">
        <f t="shared" si="216"/>
        <v>4</v>
      </c>
      <c r="R822">
        <f t="shared" si="217"/>
        <v>3</v>
      </c>
      <c r="S822">
        <f t="shared" si="218"/>
        <v>2</v>
      </c>
      <c r="T822">
        <f t="shared" si="219"/>
        <v>4</v>
      </c>
      <c r="U822">
        <v>50</v>
      </c>
      <c r="V822">
        <f t="shared" si="220"/>
        <v>0</v>
      </c>
      <c r="W822">
        <f t="shared" si="221"/>
        <v>0</v>
      </c>
      <c r="X822">
        <f t="shared" si="222"/>
        <v>1</v>
      </c>
      <c r="Y822">
        <f t="shared" si="223"/>
        <v>0</v>
      </c>
      <c r="Z822">
        <f t="shared" si="224"/>
        <v>0</v>
      </c>
      <c r="AA822">
        <f t="shared" si="225"/>
        <v>0</v>
      </c>
      <c r="AB822">
        <f t="shared" si="226"/>
        <v>0</v>
      </c>
      <c r="AC822">
        <f t="shared" si="227"/>
        <v>0</v>
      </c>
      <c r="AD822">
        <f t="shared" si="228"/>
        <v>1</v>
      </c>
      <c r="AE822">
        <f t="shared" si="229"/>
        <v>1</v>
      </c>
      <c r="AF822">
        <f t="shared" si="230"/>
        <v>0</v>
      </c>
      <c r="AG822">
        <f t="shared" si="231"/>
        <v>0</v>
      </c>
      <c r="AH822">
        <f t="shared" si="232"/>
        <v>1</v>
      </c>
      <c r="AI822">
        <f t="shared" si="233"/>
        <v>0</v>
      </c>
    </row>
    <row r="823" spans="1:35" x14ac:dyDescent="0.2">
      <c r="A823">
        <v>380</v>
      </c>
      <c r="B823" t="s">
        <v>16</v>
      </c>
      <c r="C823">
        <v>8</v>
      </c>
      <c r="D823" t="s">
        <v>2402</v>
      </c>
      <c r="E823" t="s">
        <v>39</v>
      </c>
      <c r="F823" t="s">
        <v>20</v>
      </c>
      <c r="G823" t="s">
        <v>19</v>
      </c>
      <c r="H823" t="s">
        <v>18</v>
      </c>
      <c r="I823">
        <v>5</v>
      </c>
      <c r="J823">
        <v>3</v>
      </c>
      <c r="K823" t="s">
        <v>2403</v>
      </c>
      <c r="L823" t="s">
        <v>41</v>
      </c>
      <c r="M823" t="s">
        <v>23</v>
      </c>
      <c r="N823" t="s">
        <v>84</v>
      </c>
      <c r="O823" t="s">
        <v>2404</v>
      </c>
      <c r="P823" t="s">
        <v>2405</v>
      </c>
      <c r="Q823">
        <f t="shared" si="216"/>
        <v>5</v>
      </c>
      <c r="R823">
        <f t="shared" si="217"/>
        <v>2</v>
      </c>
      <c r="S823">
        <f t="shared" si="218"/>
        <v>3</v>
      </c>
      <c r="T823">
        <f t="shared" si="219"/>
        <v>4</v>
      </c>
      <c r="U823">
        <v>3000000</v>
      </c>
      <c r="V823">
        <f t="shared" si="220"/>
        <v>0</v>
      </c>
      <c r="W823">
        <f t="shared" si="221"/>
        <v>0</v>
      </c>
      <c r="X823">
        <f t="shared" si="222"/>
        <v>0</v>
      </c>
      <c r="Y823">
        <f t="shared" si="223"/>
        <v>0</v>
      </c>
      <c r="Z823">
        <f t="shared" si="224"/>
        <v>1</v>
      </c>
      <c r="AA823">
        <f t="shared" si="225"/>
        <v>1</v>
      </c>
      <c r="AB823">
        <f t="shared" si="226"/>
        <v>0</v>
      </c>
      <c r="AC823">
        <f t="shared" si="227"/>
        <v>0</v>
      </c>
      <c r="AD823">
        <f t="shared" si="228"/>
        <v>0</v>
      </c>
      <c r="AE823">
        <f t="shared" si="229"/>
        <v>0</v>
      </c>
      <c r="AF823">
        <f t="shared" si="230"/>
        <v>0</v>
      </c>
      <c r="AG823">
        <f t="shared" si="231"/>
        <v>1</v>
      </c>
      <c r="AH823">
        <f t="shared" si="232"/>
        <v>0</v>
      </c>
      <c r="AI823">
        <f t="shared" si="233"/>
        <v>0</v>
      </c>
    </row>
    <row r="824" spans="1:35" x14ac:dyDescent="0.2">
      <c r="A824">
        <v>381</v>
      </c>
      <c r="B824" t="s">
        <v>16</v>
      </c>
      <c r="C824">
        <v>8</v>
      </c>
      <c r="D824" t="s">
        <v>2406</v>
      </c>
      <c r="E824" t="s">
        <v>18</v>
      </c>
      <c r="F824" t="s">
        <v>20</v>
      </c>
      <c r="G824" t="s">
        <v>20</v>
      </c>
      <c r="H824" t="s">
        <v>19</v>
      </c>
      <c r="I824">
        <v>4</v>
      </c>
      <c r="J824">
        <v>4</v>
      </c>
      <c r="K824">
        <v>50</v>
      </c>
      <c r="L824" t="s">
        <v>47</v>
      </c>
      <c r="M824" t="s">
        <v>1354</v>
      </c>
      <c r="N824" t="s">
        <v>49</v>
      </c>
      <c r="O824" t="s">
        <v>2407</v>
      </c>
      <c r="P824" t="s">
        <v>2408</v>
      </c>
      <c r="Q824">
        <f t="shared" si="216"/>
        <v>4</v>
      </c>
      <c r="R824">
        <f t="shared" si="217"/>
        <v>2</v>
      </c>
      <c r="S824">
        <f t="shared" si="218"/>
        <v>2</v>
      </c>
      <c r="T824">
        <f t="shared" si="219"/>
        <v>3</v>
      </c>
      <c r="U824">
        <v>50</v>
      </c>
      <c r="V824">
        <f t="shared" si="220"/>
        <v>0</v>
      </c>
      <c r="W824">
        <f t="shared" si="221"/>
        <v>0</v>
      </c>
      <c r="X824">
        <f t="shared" si="222"/>
        <v>1</v>
      </c>
      <c r="Y824">
        <f t="shared" si="223"/>
        <v>0</v>
      </c>
      <c r="Z824">
        <f t="shared" si="224"/>
        <v>1</v>
      </c>
      <c r="AA824">
        <f t="shared" si="225"/>
        <v>0</v>
      </c>
      <c r="AB824">
        <f t="shared" si="226"/>
        <v>1</v>
      </c>
      <c r="AC824">
        <f t="shared" si="227"/>
        <v>1</v>
      </c>
      <c r="AD824">
        <f t="shared" si="228"/>
        <v>0</v>
      </c>
      <c r="AE824">
        <f t="shared" si="229"/>
        <v>1</v>
      </c>
      <c r="AF824">
        <f t="shared" si="230"/>
        <v>0</v>
      </c>
      <c r="AG824">
        <f t="shared" si="231"/>
        <v>1</v>
      </c>
      <c r="AH824">
        <f t="shared" si="232"/>
        <v>1</v>
      </c>
      <c r="AI824">
        <f t="shared" si="233"/>
        <v>0</v>
      </c>
    </row>
    <row r="825" spans="1:35" x14ac:dyDescent="0.2">
      <c r="A825">
        <v>382</v>
      </c>
      <c r="B825" t="s">
        <v>16</v>
      </c>
      <c r="C825">
        <v>8</v>
      </c>
      <c r="D825" t="s">
        <v>2409</v>
      </c>
      <c r="E825" t="s">
        <v>18</v>
      </c>
      <c r="F825" t="s">
        <v>21</v>
      </c>
      <c r="G825" t="s">
        <v>20</v>
      </c>
      <c r="H825" t="s">
        <v>18</v>
      </c>
      <c r="I825">
        <v>4</v>
      </c>
      <c r="J825">
        <v>5</v>
      </c>
      <c r="K825">
        <v>300</v>
      </c>
      <c r="L825" t="s">
        <v>53</v>
      </c>
      <c r="M825" t="s">
        <v>48</v>
      </c>
      <c r="N825" t="s">
        <v>84</v>
      </c>
      <c r="O825" t="s">
        <v>2410</v>
      </c>
      <c r="P825" t="s">
        <v>2411</v>
      </c>
      <c r="Q825">
        <f t="shared" si="216"/>
        <v>4</v>
      </c>
      <c r="R825">
        <f t="shared" si="217"/>
        <v>1</v>
      </c>
      <c r="S825">
        <f t="shared" si="218"/>
        <v>2</v>
      </c>
      <c r="T825">
        <f t="shared" si="219"/>
        <v>4</v>
      </c>
      <c r="U825">
        <v>300</v>
      </c>
      <c r="V825">
        <f t="shared" si="220"/>
        <v>0</v>
      </c>
      <c r="W825">
        <f t="shared" si="221"/>
        <v>0</v>
      </c>
      <c r="X825">
        <f t="shared" si="222"/>
        <v>1</v>
      </c>
      <c r="Y825">
        <f t="shared" si="223"/>
        <v>0</v>
      </c>
      <c r="Z825">
        <f t="shared" si="224"/>
        <v>0</v>
      </c>
      <c r="AA825">
        <f t="shared" si="225"/>
        <v>1</v>
      </c>
      <c r="AB825">
        <f t="shared" si="226"/>
        <v>1</v>
      </c>
      <c r="AC825">
        <f t="shared" si="227"/>
        <v>1</v>
      </c>
      <c r="AD825">
        <f t="shared" si="228"/>
        <v>0</v>
      </c>
      <c r="AE825">
        <f t="shared" si="229"/>
        <v>0</v>
      </c>
      <c r="AF825">
        <f t="shared" si="230"/>
        <v>0</v>
      </c>
      <c r="AG825">
        <f t="shared" si="231"/>
        <v>1</v>
      </c>
      <c r="AH825">
        <f t="shared" si="232"/>
        <v>0</v>
      </c>
      <c r="AI825">
        <f t="shared" si="233"/>
        <v>0</v>
      </c>
    </row>
    <row r="826" spans="1:35" x14ac:dyDescent="0.2">
      <c r="A826">
        <v>383</v>
      </c>
      <c r="B826" t="s">
        <v>16</v>
      </c>
      <c r="C826">
        <v>6</v>
      </c>
      <c r="D826" t="s">
        <v>2412</v>
      </c>
      <c r="E826" t="s">
        <v>18</v>
      </c>
      <c r="F826" t="s">
        <v>21</v>
      </c>
      <c r="G826" t="s">
        <v>20</v>
      </c>
      <c r="H826" t="s">
        <v>18</v>
      </c>
      <c r="I826">
        <v>4</v>
      </c>
      <c r="J826">
        <v>5</v>
      </c>
      <c r="K826">
        <v>0</v>
      </c>
      <c r="L826" t="s">
        <v>22</v>
      </c>
      <c r="M826" t="s">
        <v>23</v>
      </c>
      <c r="N826" t="s">
        <v>36</v>
      </c>
      <c r="O826" t="s">
        <v>2413</v>
      </c>
      <c r="P826" t="s">
        <v>2414</v>
      </c>
      <c r="Q826">
        <f t="shared" si="216"/>
        <v>4</v>
      </c>
      <c r="R826">
        <f t="shared" si="217"/>
        <v>1</v>
      </c>
      <c r="S826">
        <f t="shared" si="218"/>
        <v>2</v>
      </c>
      <c r="T826">
        <f t="shared" si="219"/>
        <v>4</v>
      </c>
      <c r="U826">
        <v>0</v>
      </c>
      <c r="V826">
        <f t="shared" si="220"/>
        <v>1</v>
      </c>
      <c r="W826">
        <f t="shared" si="221"/>
        <v>0</v>
      </c>
      <c r="X826">
        <f t="shared" si="222"/>
        <v>0</v>
      </c>
      <c r="Y826">
        <f t="shared" si="223"/>
        <v>0</v>
      </c>
      <c r="Z826">
        <f t="shared" si="224"/>
        <v>0</v>
      </c>
      <c r="AA826">
        <f t="shared" si="225"/>
        <v>1</v>
      </c>
      <c r="AB826">
        <f t="shared" si="226"/>
        <v>0</v>
      </c>
      <c r="AC826">
        <f t="shared" si="227"/>
        <v>0</v>
      </c>
      <c r="AD826">
        <f t="shared" si="228"/>
        <v>0</v>
      </c>
      <c r="AE826">
        <f t="shared" si="229"/>
        <v>0</v>
      </c>
      <c r="AF826">
        <f t="shared" si="230"/>
        <v>0</v>
      </c>
      <c r="AG826">
        <f t="shared" si="231"/>
        <v>0</v>
      </c>
      <c r="AH826">
        <f t="shared" si="232"/>
        <v>0</v>
      </c>
      <c r="AI826">
        <f t="shared" si="233"/>
        <v>1</v>
      </c>
    </row>
    <row r="827" spans="1:35" x14ac:dyDescent="0.2">
      <c r="A827">
        <v>384</v>
      </c>
      <c r="B827" t="s">
        <v>16</v>
      </c>
      <c r="C827">
        <v>2</v>
      </c>
      <c r="D827" t="s">
        <v>2415</v>
      </c>
      <c r="E827" t="s">
        <v>18</v>
      </c>
      <c r="F827" t="s">
        <v>20</v>
      </c>
      <c r="G827" t="s">
        <v>20</v>
      </c>
      <c r="H827" t="s">
        <v>18</v>
      </c>
      <c r="I827">
        <v>2</v>
      </c>
      <c r="J827">
        <v>3</v>
      </c>
      <c r="K827">
        <v>10</v>
      </c>
      <c r="L827" t="s">
        <v>53</v>
      </c>
      <c r="M827" t="s">
        <v>23</v>
      </c>
      <c r="N827" t="s">
        <v>24</v>
      </c>
      <c r="O827" t="s">
        <v>1143</v>
      </c>
      <c r="P827" t="s">
        <v>2233</v>
      </c>
      <c r="Q827">
        <f t="shared" si="216"/>
        <v>4</v>
      </c>
      <c r="R827">
        <f t="shared" si="217"/>
        <v>2</v>
      </c>
      <c r="S827">
        <f t="shared" si="218"/>
        <v>2</v>
      </c>
      <c r="T827">
        <f t="shared" si="219"/>
        <v>4</v>
      </c>
      <c r="U827">
        <v>10</v>
      </c>
      <c r="V827">
        <f t="shared" si="220"/>
        <v>0</v>
      </c>
      <c r="W827">
        <f t="shared" si="221"/>
        <v>0</v>
      </c>
      <c r="X827">
        <f t="shared" si="222"/>
        <v>1</v>
      </c>
      <c r="Y827">
        <f t="shared" si="223"/>
        <v>0</v>
      </c>
      <c r="Z827">
        <f t="shared" si="224"/>
        <v>0</v>
      </c>
      <c r="AA827">
        <f t="shared" si="225"/>
        <v>1</v>
      </c>
      <c r="AB827">
        <f t="shared" si="226"/>
        <v>0</v>
      </c>
      <c r="AC827">
        <f t="shared" si="227"/>
        <v>0</v>
      </c>
      <c r="AD827">
        <f t="shared" si="228"/>
        <v>0</v>
      </c>
      <c r="AE827">
        <f t="shared" si="229"/>
        <v>0</v>
      </c>
      <c r="AF827">
        <f t="shared" si="230"/>
        <v>0</v>
      </c>
      <c r="AG827">
        <f t="shared" si="231"/>
        <v>0</v>
      </c>
      <c r="AH827">
        <f t="shared" si="232"/>
        <v>1</v>
      </c>
      <c r="AI827">
        <f t="shared" si="233"/>
        <v>0</v>
      </c>
    </row>
    <row r="828" spans="1:35" x14ac:dyDescent="0.2">
      <c r="A828">
        <v>385</v>
      </c>
      <c r="B828" t="s">
        <v>16</v>
      </c>
      <c r="C828">
        <v>10</v>
      </c>
      <c r="D828" t="s">
        <v>2416</v>
      </c>
      <c r="E828" t="s">
        <v>39</v>
      </c>
      <c r="F828" t="s">
        <v>19</v>
      </c>
      <c r="G828" t="s">
        <v>21</v>
      </c>
      <c r="H828" t="s">
        <v>39</v>
      </c>
      <c r="I828">
        <v>4</v>
      </c>
      <c r="J828">
        <v>5</v>
      </c>
      <c r="K828" s="1">
        <v>100000</v>
      </c>
      <c r="L828" t="s">
        <v>494</v>
      </c>
      <c r="M828" t="s">
        <v>135</v>
      </c>
      <c r="N828" t="s">
        <v>24</v>
      </c>
      <c r="O828" t="s">
        <v>2417</v>
      </c>
      <c r="P828" t="s">
        <v>2418</v>
      </c>
      <c r="Q828">
        <f t="shared" si="216"/>
        <v>5</v>
      </c>
      <c r="R828">
        <f t="shared" si="217"/>
        <v>3</v>
      </c>
      <c r="S828">
        <f t="shared" si="218"/>
        <v>1</v>
      </c>
      <c r="T828">
        <f t="shared" si="219"/>
        <v>5</v>
      </c>
      <c r="U828">
        <v>100000</v>
      </c>
      <c r="V828">
        <f t="shared" si="220"/>
        <v>0</v>
      </c>
      <c r="W828">
        <f t="shared" si="221"/>
        <v>1</v>
      </c>
      <c r="X828">
        <f t="shared" si="222"/>
        <v>1</v>
      </c>
      <c r="Y828">
        <f t="shared" si="223"/>
        <v>1</v>
      </c>
      <c r="Z828">
        <f t="shared" si="224"/>
        <v>1</v>
      </c>
      <c r="AA828">
        <f t="shared" si="225"/>
        <v>1</v>
      </c>
      <c r="AB828">
        <f t="shared" si="226"/>
        <v>1</v>
      </c>
      <c r="AC828">
        <f t="shared" si="227"/>
        <v>0</v>
      </c>
      <c r="AD828">
        <f t="shared" si="228"/>
        <v>0</v>
      </c>
      <c r="AE828">
        <f t="shared" si="229"/>
        <v>0</v>
      </c>
      <c r="AF828">
        <f t="shared" si="230"/>
        <v>0</v>
      </c>
      <c r="AG828">
        <f t="shared" si="231"/>
        <v>0</v>
      </c>
      <c r="AH828">
        <f t="shared" si="232"/>
        <v>1</v>
      </c>
      <c r="AI828">
        <f t="shared" si="233"/>
        <v>0</v>
      </c>
    </row>
    <row r="829" spans="1:35" x14ac:dyDescent="0.2">
      <c r="A829">
        <v>386</v>
      </c>
      <c r="B829" t="s">
        <v>16</v>
      </c>
      <c r="C829">
        <v>4</v>
      </c>
      <c r="D829" t="s">
        <v>2419</v>
      </c>
      <c r="E829" t="s">
        <v>18</v>
      </c>
      <c r="F829" t="s">
        <v>20</v>
      </c>
      <c r="G829" t="s">
        <v>18</v>
      </c>
      <c r="H829" t="s">
        <v>19</v>
      </c>
      <c r="I829">
        <v>3</v>
      </c>
      <c r="J829">
        <v>4</v>
      </c>
      <c r="K829" s="1">
        <v>400000</v>
      </c>
      <c r="L829" t="s">
        <v>41</v>
      </c>
      <c r="M829" t="s">
        <v>123</v>
      </c>
      <c r="N829" t="s">
        <v>24</v>
      </c>
      <c r="O829" t="s">
        <v>859</v>
      </c>
      <c r="P829" t="s">
        <v>2420</v>
      </c>
      <c r="Q829">
        <f t="shared" si="216"/>
        <v>4</v>
      </c>
      <c r="R829">
        <f t="shared" si="217"/>
        <v>2</v>
      </c>
      <c r="S829">
        <f t="shared" si="218"/>
        <v>4</v>
      </c>
      <c r="T829">
        <f t="shared" si="219"/>
        <v>3</v>
      </c>
      <c r="U829">
        <v>400000</v>
      </c>
      <c r="V829">
        <f t="shared" si="220"/>
        <v>0</v>
      </c>
      <c r="W829">
        <f t="shared" si="221"/>
        <v>0</v>
      </c>
      <c r="X829">
        <f t="shared" si="222"/>
        <v>0</v>
      </c>
      <c r="Y829">
        <f t="shared" si="223"/>
        <v>0</v>
      </c>
      <c r="Z829">
        <f t="shared" si="224"/>
        <v>1</v>
      </c>
      <c r="AA829">
        <f t="shared" si="225"/>
        <v>0</v>
      </c>
      <c r="AB829">
        <f t="shared" si="226"/>
        <v>1</v>
      </c>
      <c r="AC829">
        <f t="shared" si="227"/>
        <v>1</v>
      </c>
      <c r="AD829">
        <f t="shared" si="228"/>
        <v>0</v>
      </c>
      <c r="AE829">
        <f t="shared" si="229"/>
        <v>0</v>
      </c>
      <c r="AF829">
        <f t="shared" si="230"/>
        <v>0</v>
      </c>
      <c r="AG829">
        <f t="shared" si="231"/>
        <v>0</v>
      </c>
      <c r="AH829">
        <f t="shared" si="232"/>
        <v>1</v>
      </c>
      <c r="AI829">
        <f t="shared" si="233"/>
        <v>0</v>
      </c>
    </row>
    <row r="830" spans="1:35" x14ac:dyDescent="0.2">
      <c r="A830">
        <v>387</v>
      </c>
      <c r="B830" t="s">
        <v>16</v>
      </c>
      <c r="C830">
        <v>3</v>
      </c>
      <c r="D830" t="s">
        <v>2421</v>
      </c>
      <c r="E830" t="s">
        <v>18</v>
      </c>
      <c r="F830" t="s">
        <v>20</v>
      </c>
      <c r="G830" t="s">
        <v>18</v>
      </c>
      <c r="H830" t="s">
        <v>18</v>
      </c>
      <c r="I830">
        <v>4</v>
      </c>
      <c r="J830">
        <v>5</v>
      </c>
      <c r="K830" s="1">
        <v>10</v>
      </c>
      <c r="L830" t="s">
        <v>22</v>
      </c>
      <c r="M830" t="s">
        <v>23</v>
      </c>
      <c r="N830" t="s">
        <v>651</v>
      </c>
      <c r="O830" t="s">
        <v>2422</v>
      </c>
      <c r="P830" t="s">
        <v>2423</v>
      </c>
      <c r="Q830">
        <f t="shared" si="216"/>
        <v>4</v>
      </c>
      <c r="R830">
        <f t="shared" si="217"/>
        <v>2</v>
      </c>
      <c r="S830">
        <f t="shared" si="218"/>
        <v>4</v>
      </c>
      <c r="T830">
        <f t="shared" si="219"/>
        <v>4</v>
      </c>
      <c r="U830">
        <v>10</v>
      </c>
      <c r="V830">
        <f t="shared" si="220"/>
        <v>1</v>
      </c>
      <c r="W830">
        <f t="shared" si="221"/>
        <v>0</v>
      </c>
      <c r="X830">
        <f t="shared" si="222"/>
        <v>0</v>
      </c>
      <c r="Y830">
        <f t="shared" si="223"/>
        <v>0</v>
      </c>
      <c r="Z830">
        <f t="shared" si="224"/>
        <v>0</v>
      </c>
      <c r="AA830">
        <f t="shared" si="225"/>
        <v>1</v>
      </c>
      <c r="AB830">
        <f t="shared" si="226"/>
        <v>0</v>
      </c>
      <c r="AC830">
        <f t="shared" si="227"/>
        <v>0</v>
      </c>
      <c r="AD830">
        <f t="shared" si="228"/>
        <v>0</v>
      </c>
      <c r="AE830">
        <f t="shared" si="229"/>
        <v>0</v>
      </c>
      <c r="AF830">
        <f t="shared" si="230"/>
        <v>1</v>
      </c>
      <c r="AG830">
        <f t="shared" si="231"/>
        <v>0</v>
      </c>
      <c r="AH830">
        <f t="shared" si="232"/>
        <v>1</v>
      </c>
      <c r="AI830">
        <f t="shared" si="233"/>
        <v>0</v>
      </c>
    </row>
    <row r="831" spans="1:35" x14ac:dyDescent="0.2">
      <c r="A831">
        <v>388</v>
      </c>
      <c r="B831" t="s">
        <v>16</v>
      </c>
      <c r="C831">
        <v>7</v>
      </c>
      <c r="D831" t="s">
        <v>2424</v>
      </c>
      <c r="E831" t="s">
        <v>21</v>
      </c>
      <c r="F831" t="s">
        <v>19</v>
      </c>
      <c r="G831" t="s">
        <v>20</v>
      </c>
      <c r="H831" t="s">
        <v>18</v>
      </c>
      <c r="I831">
        <v>6</v>
      </c>
      <c r="J831">
        <v>5</v>
      </c>
      <c r="K831">
        <v>100</v>
      </c>
      <c r="L831" t="s">
        <v>47</v>
      </c>
      <c r="M831" t="s">
        <v>980</v>
      </c>
      <c r="N831" t="s">
        <v>84</v>
      </c>
      <c r="O831" t="s">
        <v>2425</v>
      </c>
      <c r="P831" t="s">
        <v>2426</v>
      </c>
      <c r="Q831">
        <f t="shared" si="216"/>
        <v>1</v>
      </c>
      <c r="R831">
        <f t="shared" si="217"/>
        <v>3</v>
      </c>
      <c r="S831">
        <f t="shared" si="218"/>
        <v>2</v>
      </c>
      <c r="T831">
        <f t="shared" si="219"/>
        <v>4</v>
      </c>
      <c r="U831">
        <v>100</v>
      </c>
      <c r="V831">
        <f t="shared" si="220"/>
        <v>0</v>
      </c>
      <c r="W831">
        <f t="shared" si="221"/>
        <v>0</v>
      </c>
      <c r="X831">
        <f t="shared" si="222"/>
        <v>1</v>
      </c>
      <c r="Y831">
        <f t="shared" si="223"/>
        <v>0</v>
      </c>
      <c r="Z831">
        <f t="shared" si="224"/>
        <v>1</v>
      </c>
      <c r="AA831">
        <f t="shared" si="225"/>
        <v>1</v>
      </c>
      <c r="AB831">
        <f t="shared" si="226"/>
        <v>0</v>
      </c>
      <c r="AC831">
        <f t="shared" si="227"/>
        <v>1</v>
      </c>
      <c r="AD831">
        <f t="shared" si="228"/>
        <v>1</v>
      </c>
      <c r="AE831">
        <f t="shared" si="229"/>
        <v>0</v>
      </c>
      <c r="AF831">
        <f t="shared" si="230"/>
        <v>0</v>
      </c>
      <c r="AG831">
        <f t="shared" si="231"/>
        <v>1</v>
      </c>
      <c r="AH831">
        <f t="shared" si="232"/>
        <v>0</v>
      </c>
      <c r="AI831">
        <f t="shared" si="233"/>
        <v>0</v>
      </c>
    </row>
    <row r="832" spans="1:35" x14ac:dyDescent="0.2">
      <c r="A832">
        <v>389</v>
      </c>
      <c r="B832" t="s">
        <v>16</v>
      </c>
      <c r="C832">
        <v>5</v>
      </c>
      <c r="D832" t="s">
        <v>2427</v>
      </c>
      <c r="E832" t="s">
        <v>18</v>
      </c>
      <c r="F832" t="s">
        <v>19</v>
      </c>
      <c r="G832" t="s">
        <v>18</v>
      </c>
      <c r="H832" t="s">
        <v>18</v>
      </c>
      <c r="I832">
        <v>3</v>
      </c>
      <c r="J832">
        <v>6</v>
      </c>
      <c r="K832">
        <v>300</v>
      </c>
      <c r="L832" t="s">
        <v>53</v>
      </c>
      <c r="M832" t="s">
        <v>23</v>
      </c>
      <c r="N832" t="s">
        <v>24</v>
      </c>
      <c r="O832" t="s">
        <v>959</v>
      </c>
      <c r="P832" t="s">
        <v>2428</v>
      </c>
      <c r="Q832">
        <f t="shared" si="216"/>
        <v>4</v>
      </c>
      <c r="R832">
        <f t="shared" si="217"/>
        <v>3</v>
      </c>
      <c r="S832">
        <f t="shared" si="218"/>
        <v>4</v>
      </c>
      <c r="T832">
        <f t="shared" si="219"/>
        <v>4</v>
      </c>
      <c r="U832">
        <v>300</v>
      </c>
      <c r="V832">
        <f t="shared" si="220"/>
        <v>0</v>
      </c>
      <c r="W832">
        <f t="shared" si="221"/>
        <v>0</v>
      </c>
      <c r="X832">
        <f t="shared" si="222"/>
        <v>1</v>
      </c>
      <c r="Y832">
        <f t="shared" si="223"/>
        <v>0</v>
      </c>
      <c r="Z832">
        <f t="shared" si="224"/>
        <v>0</v>
      </c>
      <c r="AA832">
        <f t="shared" si="225"/>
        <v>1</v>
      </c>
      <c r="AB832">
        <f t="shared" si="226"/>
        <v>0</v>
      </c>
      <c r="AC832">
        <f t="shared" si="227"/>
        <v>0</v>
      </c>
      <c r="AD832">
        <f t="shared" si="228"/>
        <v>0</v>
      </c>
      <c r="AE832">
        <f t="shared" si="229"/>
        <v>0</v>
      </c>
      <c r="AF832">
        <f t="shared" si="230"/>
        <v>0</v>
      </c>
      <c r="AG832">
        <f t="shared" si="231"/>
        <v>0</v>
      </c>
      <c r="AH832">
        <f t="shared" si="232"/>
        <v>1</v>
      </c>
      <c r="AI832">
        <f t="shared" si="233"/>
        <v>0</v>
      </c>
    </row>
    <row r="833" spans="1:35" x14ac:dyDescent="0.2">
      <c r="A833">
        <v>390</v>
      </c>
      <c r="B833" t="s">
        <v>16</v>
      </c>
      <c r="C833">
        <v>7</v>
      </c>
      <c r="D833" t="s">
        <v>2429</v>
      </c>
      <c r="E833" t="s">
        <v>39</v>
      </c>
      <c r="F833" t="s">
        <v>20</v>
      </c>
      <c r="G833" t="s">
        <v>21</v>
      </c>
      <c r="H833" t="s">
        <v>39</v>
      </c>
      <c r="I833">
        <v>4</v>
      </c>
      <c r="J833">
        <v>5</v>
      </c>
      <c r="K833">
        <v>300</v>
      </c>
      <c r="L833" t="s">
        <v>53</v>
      </c>
      <c r="M833" t="s">
        <v>23</v>
      </c>
      <c r="N833" t="s">
        <v>84</v>
      </c>
      <c r="O833" t="s">
        <v>1590</v>
      </c>
      <c r="P833" t="s">
        <v>2430</v>
      </c>
      <c r="Q833">
        <f t="shared" si="216"/>
        <v>5</v>
      </c>
      <c r="R833">
        <f t="shared" si="217"/>
        <v>2</v>
      </c>
      <c r="S833">
        <f t="shared" si="218"/>
        <v>1</v>
      </c>
      <c r="T833">
        <f t="shared" si="219"/>
        <v>5</v>
      </c>
      <c r="U833">
        <v>300</v>
      </c>
      <c r="V833">
        <f t="shared" si="220"/>
        <v>0</v>
      </c>
      <c r="W833">
        <f t="shared" si="221"/>
        <v>0</v>
      </c>
      <c r="X833">
        <f t="shared" si="222"/>
        <v>1</v>
      </c>
      <c r="Y833">
        <f t="shared" si="223"/>
        <v>0</v>
      </c>
      <c r="Z833">
        <f t="shared" si="224"/>
        <v>0</v>
      </c>
      <c r="AA833">
        <f t="shared" si="225"/>
        <v>1</v>
      </c>
      <c r="AB833">
        <f t="shared" si="226"/>
        <v>0</v>
      </c>
      <c r="AC833">
        <f t="shared" si="227"/>
        <v>0</v>
      </c>
      <c r="AD833">
        <f t="shared" si="228"/>
        <v>0</v>
      </c>
      <c r="AE833">
        <f t="shared" si="229"/>
        <v>0</v>
      </c>
      <c r="AF833">
        <f t="shared" si="230"/>
        <v>0</v>
      </c>
      <c r="AG833">
        <f t="shared" si="231"/>
        <v>1</v>
      </c>
      <c r="AH833">
        <f t="shared" si="232"/>
        <v>0</v>
      </c>
      <c r="AI833">
        <f t="shared" si="233"/>
        <v>0</v>
      </c>
    </row>
    <row r="834" spans="1:35" x14ac:dyDescent="0.2">
      <c r="A834">
        <v>391</v>
      </c>
      <c r="B834" t="s">
        <v>16</v>
      </c>
      <c r="C834">
        <v>6</v>
      </c>
      <c r="D834" t="s">
        <v>2431</v>
      </c>
      <c r="E834" t="s">
        <v>39</v>
      </c>
      <c r="F834" t="s">
        <v>21</v>
      </c>
      <c r="G834" t="s">
        <v>20</v>
      </c>
      <c r="H834" t="s">
        <v>39</v>
      </c>
      <c r="I834">
        <v>4</v>
      </c>
      <c r="J834">
        <v>4</v>
      </c>
      <c r="K834">
        <v>10</v>
      </c>
      <c r="L834" t="s">
        <v>22</v>
      </c>
      <c r="M834" t="s">
        <v>23</v>
      </c>
      <c r="N834" t="s">
        <v>84</v>
      </c>
      <c r="O834" t="s">
        <v>195</v>
      </c>
      <c r="P834" t="s">
        <v>2432</v>
      </c>
      <c r="Q834">
        <f t="shared" si="216"/>
        <v>5</v>
      </c>
      <c r="R834">
        <f t="shared" si="217"/>
        <v>1</v>
      </c>
      <c r="S834">
        <f t="shared" si="218"/>
        <v>2</v>
      </c>
      <c r="T834">
        <f t="shared" si="219"/>
        <v>5</v>
      </c>
      <c r="U834">
        <v>10</v>
      </c>
      <c r="V834">
        <f t="shared" si="220"/>
        <v>1</v>
      </c>
      <c r="W834">
        <f t="shared" si="221"/>
        <v>0</v>
      </c>
      <c r="X834">
        <f t="shared" si="222"/>
        <v>0</v>
      </c>
      <c r="Y834">
        <f t="shared" si="223"/>
        <v>0</v>
      </c>
      <c r="Z834">
        <f t="shared" si="224"/>
        <v>0</v>
      </c>
      <c r="AA834">
        <f t="shared" si="225"/>
        <v>1</v>
      </c>
      <c r="AB834">
        <f t="shared" si="226"/>
        <v>0</v>
      </c>
      <c r="AC834">
        <f t="shared" si="227"/>
        <v>0</v>
      </c>
      <c r="AD834">
        <f t="shared" si="228"/>
        <v>0</v>
      </c>
      <c r="AE834">
        <f t="shared" si="229"/>
        <v>0</v>
      </c>
      <c r="AF834">
        <f t="shared" si="230"/>
        <v>0</v>
      </c>
      <c r="AG834">
        <f t="shared" si="231"/>
        <v>1</v>
      </c>
      <c r="AH834">
        <f t="shared" si="232"/>
        <v>0</v>
      </c>
      <c r="AI834">
        <f t="shared" si="233"/>
        <v>0</v>
      </c>
    </row>
    <row r="835" spans="1:35" x14ac:dyDescent="0.2">
      <c r="A835">
        <v>392</v>
      </c>
      <c r="B835" t="s">
        <v>16</v>
      </c>
      <c r="C835">
        <v>7</v>
      </c>
      <c r="D835" t="s">
        <v>2433</v>
      </c>
      <c r="E835" t="s">
        <v>39</v>
      </c>
      <c r="F835" t="s">
        <v>20</v>
      </c>
      <c r="G835" t="s">
        <v>20</v>
      </c>
      <c r="H835" t="s">
        <v>18</v>
      </c>
      <c r="I835">
        <v>5</v>
      </c>
      <c r="J835">
        <v>7</v>
      </c>
      <c r="K835">
        <v>1000000</v>
      </c>
      <c r="L835" t="s">
        <v>79</v>
      </c>
      <c r="M835" t="s">
        <v>468</v>
      </c>
      <c r="N835" t="s">
        <v>24</v>
      </c>
      <c r="O835" t="s">
        <v>1133</v>
      </c>
      <c r="P835" t="s">
        <v>2434</v>
      </c>
      <c r="Q835">
        <f t="shared" ref="Q835:Q898" si="234">IF(E835="", "", LEFT(E835, 1) * 1)</f>
        <v>5</v>
      </c>
      <c r="R835">
        <f t="shared" ref="R835:R898" si="235">IF(F835="","",VALUE(LEFT(F835,FIND(" ",F835)-1)))</f>
        <v>2</v>
      </c>
      <c r="S835">
        <f t="shared" ref="S835:S898" si="236">IF(G835="","",VALUE(LEFT(G835,FIND(" ",G835)-1)))</f>
        <v>2</v>
      </c>
      <c r="T835">
        <f t="shared" ref="T835:T898" si="237">IF(H835="","",VALUE(LEFT(H835,FIND(" ",H835)-1)))</f>
        <v>4</v>
      </c>
      <c r="U835">
        <v>1000000</v>
      </c>
      <c r="V835">
        <f t="shared" ref="V835:V898" si="238">IF(L835="",0,IF(ISNUMBER(SEARCH("Bathroom",L835)),1,0))</f>
        <v>0</v>
      </c>
      <c r="W835">
        <f t="shared" ref="W835:W898" si="239">IF(L835="",0,IF(ISNUMBER(SEARCH("Dining room",L835)),1,0))</f>
        <v>1</v>
      </c>
      <c r="X835">
        <f t="shared" ref="X835:X898" si="240">IF(L835="",0,IF(ISNUMBER(SEARCH("Office",L835)),1,0))</f>
        <v>0</v>
      </c>
      <c r="Y835">
        <f t="shared" ref="Y835:Y898" si="241">IF(L835="",0,IF(ISNUMBER(SEARCH("Bedroom",L835)),1,0))</f>
        <v>0</v>
      </c>
      <c r="Z835">
        <f t="shared" ref="Z835:Z898" si="242">IF(L835="",0,IF(ISNUMBER(SEARCH("Living room",L835)),1,0))</f>
        <v>1</v>
      </c>
      <c r="AA835">
        <f t="shared" ref="AA835:AA898" si="243">IF(M835="",0, IF(ISNUMBER(SEARCH("By yourself",M835)), 1, 0))</f>
        <v>1</v>
      </c>
      <c r="AB835">
        <f t="shared" ref="AB835:AB898" si="244">IF(M835="", 0, IF(ISNUMBER(SEARCH("Friends", M835)), 1, 0))</f>
        <v>1</v>
      </c>
      <c r="AC835">
        <f t="shared" ref="AC835:AC898" si="245">IF(M835="",0,IF(ISNUMBER(SEARCH("Family members", M835)), 1, 0))</f>
        <v>1</v>
      </c>
      <c r="AD835">
        <f t="shared" ref="AD835:AD898" si="246">IF(M835="", 0, IF(ISNUMBER(SEARCH("Coworkers/Classmates", M835)), 1, 0))</f>
        <v>1</v>
      </c>
      <c r="AE835">
        <f t="shared" ref="AE835:AE898" si="247">IF(M835="", 0, IF(ISNUMBER(SEARCH("Strangers", M835)), 1, 0))</f>
        <v>1</v>
      </c>
      <c r="AF835">
        <f t="shared" ref="AF835:AF898" si="248">IF(N835="", 0, IF(ISNUMBER(SEARCH("Spring", N835)), 1, 0))</f>
        <v>0</v>
      </c>
      <c r="AG835">
        <f t="shared" ref="AG835:AG898" si="249">IF(N835="", 0, IF(ISNUMBER(SEARCH("Summer", N835)), 1, 0))</f>
        <v>0</v>
      </c>
      <c r="AH835">
        <f t="shared" ref="AH835:AH898" si="250">IF(N835="", 0, IF(ISNUMBER(SEARCH("Fall", N835)), 1, 0))</f>
        <v>1</v>
      </c>
      <c r="AI835">
        <f t="shared" ref="AI835:AI898" si="251">IF(N835="", 0, IF(ISNUMBER(SEARCH("Winter", N835)), 1, 0))</f>
        <v>0</v>
      </c>
    </row>
    <row r="836" spans="1:35" x14ac:dyDescent="0.2">
      <c r="A836">
        <v>393</v>
      </c>
      <c r="B836" t="s">
        <v>16</v>
      </c>
      <c r="C836">
        <v>6</v>
      </c>
      <c r="D836" t="s">
        <v>2435</v>
      </c>
      <c r="E836" t="s">
        <v>19</v>
      </c>
      <c r="F836" t="s">
        <v>20</v>
      </c>
      <c r="G836" t="s">
        <v>18</v>
      </c>
      <c r="H836" t="s">
        <v>39</v>
      </c>
      <c r="I836">
        <v>5</v>
      </c>
      <c r="J836">
        <v>4</v>
      </c>
      <c r="K836">
        <v>25</v>
      </c>
      <c r="L836" t="s">
        <v>22</v>
      </c>
      <c r="M836" t="s">
        <v>42</v>
      </c>
      <c r="N836" t="s">
        <v>84</v>
      </c>
      <c r="O836" t="s">
        <v>2436</v>
      </c>
      <c r="P836" t="s">
        <v>2437</v>
      </c>
      <c r="Q836">
        <f t="shared" si="234"/>
        <v>3</v>
      </c>
      <c r="R836">
        <f t="shared" si="235"/>
        <v>2</v>
      </c>
      <c r="S836">
        <f t="shared" si="236"/>
        <v>4</v>
      </c>
      <c r="T836">
        <f t="shared" si="237"/>
        <v>5</v>
      </c>
      <c r="U836">
        <v>25</v>
      </c>
      <c r="V836">
        <f t="shared" si="238"/>
        <v>1</v>
      </c>
      <c r="W836">
        <f t="shared" si="239"/>
        <v>0</v>
      </c>
      <c r="X836">
        <f t="shared" si="240"/>
        <v>0</v>
      </c>
      <c r="Y836">
        <f t="shared" si="241"/>
        <v>0</v>
      </c>
      <c r="Z836">
        <f t="shared" si="242"/>
        <v>0</v>
      </c>
      <c r="AA836">
        <f t="shared" si="243"/>
        <v>0</v>
      </c>
      <c r="AB836">
        <f t="shared" si="244"/>
        <v>1</v>
      </c>
      <c r="AC836">
        <f t="shared" si="245"/>
        <v>0</v>
      </c>
      <c r="AD836">
        <f t="shared" si="246"/>
        <v>0</v>
      </c>
      <c r="AE836">
        <f t="shared" si="247"/>
        <v>0</v>
      </c>
      <c r="AF836">
        <f t="shared" si="248"/>
        <v>0</v>
      </c>
      <c r="AG836">
        <f t="shared" si="249"/>
        <v>1</v>
      </c>
      <c r="AH836">
        <f t="shared" si="250"/>
        <v>0</v>
      </c>
      <c r="AI836">
        <f t="shared" si="251"/>
        <v>0</v>
      </c>
    </row>
    <row r="837" spans="1:35" x14ac:dyDescent="0.2">
      <c r="A837">
        <v>394</v>
      </c>
      <c r="B837" t="s">
        <v>16</v>
      </c>
      <c r="C837">
        <v>5</v>
      </c>
      <c r="D837" t="s">
        <v>2438</v>
      </c>
      <c r="E837" t="s">
        <v>18</v>
      </c>
      <c r="F837" t="s">
        <v>20</v>
      </c>
      <c r="G837" t="s">
        <v>19</v>
      </c>
      <c r="H837" t="s">
        <v>20</v>
      </c>
      <c r="I837">
        <v>5</v>
      </c>
      <c r="J837">
        <v>5</v>
      </c>
      <c r="K837" s="1">
        <v>5</v>
      </c>
      <c r="L837" t="s">
        <v>22</v>
      </c>
      <c r="M837" t="s">
        <v>42</v>
      </c>
      <c r="N837" t="s">
        <v>24</v>
      </c>
      <c r="O837" t="s">
        <v>2439</v>
      </c>
      <c r="P837" t="s">
        <v>2440</v>
      </c>
      <c r="Q837">
        <f t="shared" si="234"/>
        <v>4</v>
      </c>
      <c r="R837">
        <f t="shared" si="235"/>
        <v>2</v>
      </c>
      <c r="S837">
        <f t="shared" si="236"/>
        <v>3</v>
      </c>
      <c r="T837">
        <f t="shared" si="237"/>
        <v>2</v>
      </c>
      <c r="U837">
        <v>5</v>
      </c>
      <c r="V837">
        <f t="shared" si="238"/>
        <v>1</v>
      </c>
      <c r="W837">
        <f t="shared" si="239"/>
        <v>0</v>
      </c>
      <c r="X837">
        <f t="shared" si="240"/>
        <v>0</v>
      </c>
      <c r="Y837">
        <f t="shared" si="241"/>
        <v>0</v>
      </c>
      <c r="Z837">
        <f t="shared" si="242"/>
        <v>0</v>
      </c>
      <c r="AA837">
        <f t="shared" si="243"/>
        <v>0</v>
      </c>
      <c r="AB837">
        <f t="shared" si="244"/>
        <v>1</v>
      </c>
      <c r="AC837">
        <f t="shared" si="245"/>
        <v>0</v>
      </c>
      <c r="AD837">
        <f t="shared" si="246"/>
        <v>0</v>
      </c>
      <c r="AE837">
        <f t="shared" si="247"/>
        <v>0</v>
      </c>
      <c r="AF837">
        <f t="shared" si="248"/>
        <v>0</v>
      </c>
      <c r="AG837">
        <f t="shared" si="249"/>
        <v>0</v>
      </c>
      <c r="AH837">
        <f t="shared" si="250"/>
        <v>1</v>
      </c>
      <c r="AI837">
        <f t="shared" si="251"/>
        <v>0</v>
      </c>
    </row>
    <row r="838" spans="1:35" x14ac:dyDescent="0.2">
      <c r="A838">
        <v>395</v>
      </c>
      <c r="B838" t="s">
        <v>16</v>
      </c>
      <c r="C838">
        <v>4</v>
      </c>
      <c r="D838" t="s">
        <v>2441</v>
      </c>
      <c r="E838" t="s">
        <v>39</v>
      </c>
      <c r="F838" t="s">
        <v>20</v>
      </c>
      <c r="G838" t="s">
        <v>19</v>
      </c>
      <c r="H838" t="s">
        <v>18</v>
      </c>
      <c r="I838">
        <v>4</v>
      </c>
      <c r="J838">
        <v>4</v>
      </c>
      <c r="K838">
        <v>80</v>
      </c>
      <c r="L838" t="s">
        <v>714</v>
      </c>
      <c r="M838" t="s">
        <v>48</v>
      </c>
      <c r="N838" t="s">
        <v>651</v>
      </c>
      <c r="O838" t="s">
        <v>2442</v>
      </c>
      <c r="P838" t="s">
        <v>2443</v>
      </c>
      <c r="Q838">
        <f t="shared" si="234"/>
        <v>5</v>
      </c>
      <c r="R838">
        <f t="shared" si="235"/>
        <v>2</v>
      </c>
      <c r="S838">
        <f t="shared" si="236"/>
        <v>3</v>
      </c>
      <c r="T838">
        <f t="shared" si="237"/>
        <v>4</v>
      </c>
      <c r="U838">
        <v>80</v>
      </c>
      <c r="V838">
        <f t="shared" si="238"/>
        <v>0</v>
      </c>
      <c r="W838">
        <f t="shared" si="239"/>
        <v>0</v>
      </c>
      <c r="X838">
        <f t="shared" si="240"/>
        <v>1</v>
      </c>
      <c r="Y838">
        <f t="shared" si="241"/>
        <v>1</v>
      </c>
      <c r="Z838">
        <f t="shared" si="242"/>
        <v>1</v>
      </c>
      <c r="AA838">
        <f t="shared" si="243"/>
        <v>1</v>
      </c>
      <c r="AB838">
        <f t="shared" si="244"/>
        <v>1</v>
      </c>
      <c r="AC838">
        <f t="shared" si="245"/>
        <v>1</v>
      </c>
      <c r="AD838">
        <f t="shared" si="246"/>
        <v>0</v>
      </c>
      <c r="AE838">
        <f t="shared" si="247"/>
        <v>0</v>
      </c>
      <c r="AF838">
        <f t="shared" si="248"/>
        <v>1</v>
      </c>
      <c r="AG838">
        <f t="shared" si="249"/>
        <v>0</v>
      </c>
      <c r="AH838">
        <f t="shared" si="250"/>
        <v>1</v>
      </c>
      <c r="AI838">
        <f t="shared" si="251"/>
        <v>0</v>
      </c>
    </row>
    <row r="839" spans="1:35" x14ac:dyDescent="0.2">
      <c r="A839">
        <v>396</v>
      </c>
      <c r="B839" t="s">
        <v>16</v>
      </c>
      <c r="C839">
        <v>1</v>
      </c>
      <c r="D839" t="s">
        <v>2444</v>
      </c>
      <c r="E839" t="s">
        <v>19</v>
      </c>
      <c r="F839" t="s">
        <v>19</v>
      </c>
      <c r="G839" t="s">
        <v>19</v>
      </c>
      <c r="H839" t="s">
        <v>19</v>
      </c>
      <c r="I839">
        <v>5</v>
      </c>
      <c r="J839">
        <v>11</v>
      </c>
      <c r="K839" s="5">
        <v>0</v>
      </c>
      <c r="L839" t="s">
        <v>53</v>
      </c>
      <c r="M839" t="s">
        <v>219</v>
      </c>
      <c r="N839" t="s">
        <v>84</v>
      </c>
      <c r="O839" t="s">
        <v>148</v>
      </c>
      <c r="P839" t="s">
        <v>2445</v>
      </c>
      <c r="Q839">
        <f t="shared" si="234"/>
        <v>3</v>
      </c>
      <c r="R839">
        <f t="shared" si="235"/>
        <v>3</v>
      </c>
      <c r="S839">
        <f t="shared" si="236"/>
        <v>3</v>
      </c>
      <c r="T839">
        <f t="shared" si="237"/>
        <v>3</v>
      </c>
      <c r="U839">
        <v>0</v>
      </c>
      <c r="V839">
        <f t="shared" si="238"/>
        <v>0</v>
      </c>
      <c r="W839">
        <f t="shared" si="239"/>
        <v>0</v>
      </c>
      <c r="X839">
        <f t="shared" si="240"/>
        <v>1</v>
      </c>
      <c r="Y839">
        <f t="shared" si="241"/>
        <v>0</v>
      </c>
      <c r="Z839">
        <f t="shared" si="242"/>
        <v>0</v>
      </c>
      <c r="AA839">
        <f t="shared" si="243"/>
        <v>0</v>
      </c>
      <c r="AB839">
        <f t="shared" si="244"/>
        <v>0</v>
      </c>
      <c r="AC839">
        <f t="shared" si="245"/>
        <v>0</v>
      </c>
      <c r="AD839">
        <f t="shared" si="246"/>
        <v>0</v>
      </c>
      <c r="AE839">
        <f t="shared" si="247"/>
        <v>1</v>
      </c>
      <c r="AF839">
        <f t="shared" si="248"/>
        <v>0</v>
      </c>
      <c r="AG839">
        <f t="shared" si="249"/>
        <v>1</v>
      </c>
      <c r="AH839">
        <f t="shared" si="250"/>
        <v>0</v>
      </c>
      <c r="AI839">
        <f t="shared" si="251"/>
        <v>0</v>
      </c>
    </row>
    <row r="840" spans="1:35" x14ac:dyDescent="0.2">
      <c r="A840">
        <v>397</v>
      </c>
      <c r="B840" t="s">
        <v>16</v>
      </c>
      <c r="C840">
        <v>9</v>
      </c>
      <c r="D840" t="s">
        <v>2446</v>
      </c>
      <c r="E840" t="s">
        <v>39</v>
      </c>
      <c r="F840" t="s">
        <v>21</v>
      </c>
      <c r="G840" t="s">
        <v>21</v>
      </c>
      <c r="H840" t="s">
        <v>39</v>
      </c>
      <c r="I840">
        <v>2</v>
      </c>
      <c r="J840">
        <v>5</v>
      </c>
      <c r="K840">
        <v>50</v>
      </c>
      <c r="L840" t="s">
        <v>53</v>
      </c>
      <c r="M840" t="s">
        <v>99</v>
      </c>
      <c r="N840" t="s">
        <v>24</v>
      </c>
      <c r="O840" t="s">
        <v>515</v>
      </c>
      <c r="P840" t="s">
        <v>2447</v>
      </c>
      <c r="Q840">
        <f t="shared" si="234"/>
        <v>5</v>
      </c>
      <c r="R840">
        <f t="shared" si="235"/>
        <v>1</v>
      </c>
      <c r="S840">
        <f t="shared" si="236"/>
        <v>1</v>
      </c>
      <c r="T840">
        <f t="shared" si="237"/>
        <v>5</v>
      </c>
      <c r="U840">
        <v>50</v>
      </c>
      <c r="V840">
        <f t="shared" si="238"/>
        <v>0</v>
      </c>
      <c r="W840">
        <f t="shared" si="239"/>
        <v>0</v>
      </c>
      <c r="X840">
        <f t="shared" si="240"/>
        <v>1</v>
      </c>
      <c r="Y840">
        <f t="shared" si="241"/>
        <v>0</v>
      </c>
      <c r="Z840">
        <f t="shared" si="242"/>
        <v>0</v>
      </c>
      <c r="AA840">
        <f t="shared" si="243"/>
        <v>1</v>
      </c>
      <c r="AB840">
        <f t="shared" si="244"/>
        <v>0</v>
      </c>
      <c r="AC840">
        <f t="shared" si="245"/>
        <v>0</v>
      </c>
      <c r="AD840">
        <f t="shared" si="246"/>
        <v>0</v>
      </c>
      <c r="AE840">
        <f t="shared" si="247"/>
        <v>1</v>
      </c>
      <c r="AF840">
        <f t="shared" si="248"/>
        <v>0</v>
      </c>
      <c r="AG840">
        <f t="shared" si="249"/>
        <v>0</v>
      </c>
      <c r="AH840">
        <f t="shared" si="250"/>
        <v>1</v>
      </c>
      <c r="AI840">
        <f t="shared" si="251"/>
        <v>0</v>
      </c>
    </row>
    <row r="841" spans="1:35" x14ac:dyDescent="0.2">
      <c r="A841">
        <v>398</v>
      </c>
      <c r="B841" t="s">
        <v>16</v>
      </c>
      <c r="C841">
        <v>7</v>
      </c>
      <c r="D841" t="s">
        <v>2448</v>
      </c>
      <c r="E841" t="s">
        <v>39</v>
      </c>
      <c r="F841" t="s">
        <v>20</v>
      </c>
      <c r="G841" t="s">
        <v>18</v>
      </c>
      <c r="H841" t="s">
        <v>18</v>
      </c>
      <c r="I841">
        <v>4</v>
      </c>
      <c r="J841">
        <v>4</v>
      </c>
      <c r="K841">
        <v>30</v>
      </c>
      <c r="L841" t="s">
        <v>2449</v>
      </c>
      <c r="M841" t="s">
        <v>1982</v>
      </c>
      <c r="N841" t="s">
        <v>147</v>
      </c>
      <c r="O841" t="s">
        <v>67</v>
      </c>
      <c r="P841" t="s">
        <v>2450</v>
      </c>
      <c r="Q841">
        <f t="shared" si="234"/>
        <v>5</v>
      </c>
      <c r="R841">
        <f t="shared" si="235"/>
        <v>2</v>
      </c>
      <c r="S841">
        <f t="shared" si="236"/>
        <v>4</v>
      </c>
      <c r="T841">
        <f t="shared" si="237"/>
        <v>4</v>
      </c>
      <c r="U841">
        <v>30</v>
      </c>
      <c r="V841">
        <f t="shared" si="238"/>
        <v>1</v>
      </c>
      <c r="W841">
        <f t="shared" si="239"/>
        <v>1</v>
      </c>
      <c r="X841">
        <f t="shared" si="240"/>
        <v>1</v>
      </c>
      <c r="Y841">
        <f t="shared" si="241"/>
        <v>0</v>
      </c>
      <c r="Z841">
        <f t="shared" si="242"/>
        <v>0</v>
      </c>
      <c r="AA841">
        <f t="shared" si="243"/>
        <v>1</v>
      </c>
      <c r="AB841">
        <f t="shared" si="244"/>
        <v>1</v>
      </c>
      <c r="AC841">
        <f t="shared" si="245"/>
        <v>0</v>
      </c>
      <c r="AD841">
        <f t="shared" si="246"/>
        <v>1</v>
      </c>
      <c r="AE841">
        <f t="shared" si="247"/>
        <v>1</v>
      </c>
      <c r="AF841">
        <f t="shared" si="248"/>
        <v>0</v>
      </c>
      <c r="AG841">
        <f t="shared" si="249"/>
        <v>0</v>
      </c>
      <c r="AH841">
        <f t="shared" si="250"/>
        <v>1</v>
      </c>
      <c r="AI841">
        <f t="shared" si="251"/>
        <v>1</v>
      </c>
    </row>
    <row r="842" spans="1:35" x14ac:dyDescent="0.2">
      <c r="A842">
        <v>399</v>
      </c>
      <c r="B842" t="s">
        <v>16</v>
      </c>
      <c r="C842">
        <v>6</v>
      </c>
      <c r="D842" t="s">
        <v>2097</v>
      </c>
      <c r="E842" t="s">
        <v>18</v>
      </c>
      <c r="F842" t="s">
        <v>21</v>
      </c>
      <c r="G842" t="s">
        <v>19</v>
      </c>
      <c r="H842" t="s">
        <v>18</v>
      </c>
      <c r="I842">
        <v>4</v>
      </c>
      <c r="J842">
        <v>5</v>
      </c>
      <c r="K842">
        <v>20000</v>
      </c>
      <c r="L842" t="s">
        <v>435</v>
      </c>
      <c r="M842" t="s">
        <v>23</v>
      </c>
      <c r="N842" t="s">
        <v>24</v>
      </c>
      <c r="O842" t="s">
        <v>2451</v>
      </c>
      <c r="P842" t="s">
        <v>2452</v>
      </c>
      <c r="Q842">
        <f t="shared" si="234"/>
        <v>4</v>
      </c>
      <c r="R842">
        <f t="shared" si="235"/>
        <v>1</v>
      </c>
      <c r="S842">
        <f t="shared" si="236"/>
        <v>3</v>
      </c>
      <c r="T842">
        <f t="shared" si="237"/>
        <v>4</v>
      </c>
      <c r="U842">
        <v>20000</v>
      </c>
      <c r="V842">
        <f t="shared" si="238"/>
        <v>1</v>
      </c>
      <c r="W842">
        <f t="shared" si="239"/>
        <v>0</v>
      </c>
      <c r="X842">
        <f t="shared" si="240"/>
        <v>0</v>
      </c>
      <c r="Y842">
        <f t="shared" si="241"/>
        <v>0</v>
      </c>
      <c r="Z842">
        <f t="shared" si="242"/>
        <v>1</v>
      </c>
      <c r="AA842">
        <f t="shared" si="243"/>
        <v>1</v>
      </c>
      <c r="AB842">
        <f t="shared" si="244"/>
        <v>0</v>
      </c>
      <c r="AC842">
        <f t="shared" si="245"/>
        <v>0</v>
      </c>
      <c r="AD842">
        <f t="shared" si="246"/>
        <v>0</v>
      </c>
      <c r="AE842">
        <f t="shared" si="247"/>
        <v>0</v>
      </c>
      <c r="AF842">
        <f t="shared" si="248"/>
        <v>0</v>
      </c>
      <c r="AG842">
        <f t="shared" si="249"/>
        <v>0</v>
      </c>
      <c r="AH842">
        <f t="shared" si="250"/>
        <v>1</v>
      </c>
      <c r="AI842">
        <f t="shared" si="251"/>
        <v>0</v>
      </c>
    </row>
    <row r="843" spans="1:35" x14ac:dyDescent="0.2">
      <c r="A843">
        <v>400</v>
      </c>
      <c r="B843" t="s">
        <v>16</v>
      </c>
      <c r="C843">
        <v>3</v>
      </c>
      <c r="D843" t="s">
        <v>2453</v>
      </c>
      <c r="E843" t="s">
        <v>20</v>
      </c>
      <c r="F843" t="s">
        <v>20</v>
      </c>
      <c r="G843" t="s">
        <v>19</v>
      </c>
      <c r="H843" t="s">
        <v>18</v>
      </c>
      <c r="I843">
        <v>5</v>
      </c>
      <c r="J843">
        <v>5</v>
      </c>
      <c r="K843">
        <v>100</v>
      </c>
      <c r="L843" t="s">
        <v>53</v>
      </c>
      <c r="M843" t="s">
        <v>23</v>
      </c>
      <c r="N843" t="s">
        <v>24</v>
      </c>
      <c r="O843" t="s">
        <v>2454</v>
      </c>
      <c r="P843" t="s">
        <v>2455</v>
      </c>
      <c r="Q843">
        <f t="shared" si="234"/>
        <v>2</v>
      </c>
      <c r="R843">
        <f t="shared" si="235"/>
        <v>2</v>
      </c>
      <c r="S843">
        <f t="shared" si="236"/>
        <v>3</v>
      </c>
      <c r="T843">
        <f t="shared" si="237"/>
        <v>4</v>
      </c>
      <c r="U843">
        <v>100</v>
      </c>
      <c r="V843">
        <f t="shared" si="238"/>
        <v>0</v>
      </c>
      <c r="W843">
        <f t="shared" si="239"/>
        <v>0</v>
      </c>
      <c r="X843">
        <f t="shared" si="240"/>
        <v>1</v>
      </c>
      <c r="Y843">
        <f t="shared" si="241"/>
        <v>0</v>
      </c>
      <c r="Z843">
        <f t="shared" si="242"/>
        <v>0</v>
      </c>
      <c r="AA843">
        <f t="shared" si="243"/>
        <v>1</v>
      </c>
      <c r="AB843">
        <f t="shared" si="244"/>
        <v>0</v>
      </c>
      <c r="AC843">
        <f t="shared" si="245"/>
        <v>0</v>
      </c>
      <c r="AD843">
        <f t="shared" si="246"/>
        <v>0</v>
      </c>
      <c r="AE843">
        <f t="shared" si="247"/>
        <v>0</v>
      </c>
      <c r="AF843">
        <f t="shared" si="248"/>
        <v>0</v>
      </c>
      <c r="AG843">
        <f t="shared" si="249"/>
        <v>0</v>
      </c>
      <c r="AH843">
        <f t="shared" si="250"/>
        <v>1</v>
      </c>
      <c r="AI843">
        <f t="shared" si="251"/>
        <v>0</v>
      </c>
    </row>
    <row r="844" spans="1:35" x14ac:dyDescent="0.2">
      <c r="A844">
        <v>401</v>
      </c>
      <c r="B844" t="s">
        <v>16</v>
      </c>
      <c r="C844">
        <v>8</v>
      </c>
      <c r="D844" t="s">
        <v>2456</v>
      </c>
      <c r="E844" t="s">
        <v>19</v>
      </c>
      <c r="F844" t="s">
        <v>20</v>
      </c>
      <c r="G844" t="s">
        <v>20</v>
      </c>
      <c r="H844" t="s">
        <v>39</v>
      </c>
      <c r="I844">
        <v>3</v>
      </c>
      <c r="J844">
        <v>3</v>
      </c>
      <c r="K844" s="1">
        <v>50</v>
      </c>
      <c r="L844" t="s">
        <v>22</v>
      </c>
      <c r="M844" t="s">
        <v>219</v>
      </c>
      <c r="N844" t="s">
        <v>24</v>
      </c>
      <c r="O844" t="s">
        <v>2457</v>
      </c>
      <c r="P844" t="s">
        <v>2458</v>
      </c>
      <c r="Q844">
        <f t="shared" si="234"/>
        <v>3</v>
      </c>
      <c r="R844">
        <f t="shared" si="235"/>
        <v>2</v>
      </c>
      <c r="S844">
        <f t="shared" si="236"/>
        <v>2</v>
      </c>
      <c r="T844">
        <f t="shared" si="237"/>
        <v>5</v>
      </c>
      <c r="U844">
        <v>50</v>
      </c>
      <c r="V844">
        <f t="shared" si="238"/>
        <v>1</v>
      </c>
      <c r="W844">
        <f t="shared" si="239"/>
        <v>0</v>
      </c>
      <c r="X844">
        <f t="shared" si="240"/>
        <v>0</v>
      </c>
      <c r="Y844">
        <f t="shared" si="241"/>
        <v>0</v>
      </c>
      <c r="Z844">
        <f t="shared" si="242"/>
        <v>0</v>
      </c>
      <c r="AA844">
        <f t="shared" si="243"/>
        <v>0</v>
      </c>
      <c r="AB844">
        <f t="shared" si="244"/>
        <v>0</v>
      </c>
      <c r="AC844">
        <f t="shared" si="245"/>
        <v>0</v>
      </c>
      <c r="AD844">
        <f t="shared" si="246"/>
        <v>0</v>
      </c>
      <c r="AE844">
        <f t="shared" si="247"/>
        <v>1</v>
      </c>
      <c r="AF844">
        <f t="shared" si="248"/>
        <v>0</v>
      </c>
      <c r="AG844">
        <f t="shared" si="249"/>
        <v>0</v>
      </c>
      <c r="AH844">
        <f t="shared" si="250"/>
        <v>1</v>
      </c>
      <c r="AI844">
        <f t="shared" si="251"/>
        <v>0</v>
      </c>
    </row>
    <row r="845" spans="1:35" x14ac:dyDescent="0.2">
      <c r="A845">
        <v>402</v>
      </c>
      <c r="B845" t="s">
        <v>16</v>
      </c>
      <c r="C845">
        <v>7</v>
      </c>
      <c r="D845" t="s">
        <v>2459</v>
      </c>
      <c r="E845" t="s">
        <v>18</v>
      </c>
      <c r="F845" t="s">
        <v>20</v>
      </c>
      <c r="G845" t="s">
        <v>19</v>
      </c>
      <c r="H845" t="s">
        <v>39</v>
      </c>
      <c r="I845">
        <v>4</v>
      </c>
      <c r="J845">
        <v>5</v>
      </c>
      <c r="K845">
        <v>200</v>
      </c>
      <c r="L845" t="s">
        <v>128</v>
      </c>
      <c r="M845" t="s">
        <v>23</v>
      </c>
      <c r="N845" t="s">
        <v>147</v>
      </c>
      <c r="O845" t="s">
        <v>2460</v>
      </c>
      <c r="P845" t="s">
        <v>2461</v>
      </c>
      <c r="Q845">
        <f t="shared" si="234"/>
        <v>4</v>
      </c>
      <c r="R845">
        <f t="shared" si="235"/>
        <v>2</v>
      </c>
      <c r="S845">
        <f t="shared" si="236"/>
        <v>3</v>
      </c>
      <c r="T845">
        <f t="shared" si="237"/>
        <v>5</v>
      </c>
      <c r="U845">
        <v>200</v>
      </c>
      <c r="V845">
        <f t="shared" si="238"/>
        <v>1</v>
      </c>
      <c r="W845">
        <f t="shared" si="239"/>
        <v>0</v>
      </c>
      <c r="X845">
        <f t="shared" si="240"/>
        <v>1</v>
      </c>
      <c r="Y845">
        <f t="shared" si="241"/>
        <v>0</v>
      </c>
      <c r="Z845">
        <f t="shared" si="242"/>
        <v>0</v>
      </c>
      <c r="AA845">
        <f t="shared" si="243"/>
        <v>1</v>
      </c>
      <c r="AB845">
        <f t="shared" si="244"/>
        <v>0</v>
      </c>
      <c r="AC845">
        <f t="shared" si="245"/>
        <v>0</v>
      </c>
      <c r="AD845">
        <f t="shared" si="246"/>
        <v>0</v>
      </c>
      <c r="AE845">
        <f t="shared" si="247"/>
        <v>0</v>
      </c>
      <c r="AF845">
        <f t="shared" si="248"/>
        <v>0</v>
      </c>
      <c r="AG845">
        <f t="shared" si="249"/>
        <v>0</v>
      </c>
      <c r="AH845">
        <f t="shared" si="250"/>
        <v>1</v>
      </c>
      <c r="AI845">
        <f t="shared" si="251"/>
        <v>1</v>
      </c>
    </row>
    <row r="846" spans="1:35" x14ac:dyDescent="0.2">
      <c r="A846">
        <v>403</v>
      </c>
      <c r="B846" t="s">
        <v>16</v>
      </c>
      <c r="C846">
        <v>8</v>
      </c>
      <c r="D846" t="s">
        <v>2462</v>
      </c>
      <c r="E846" t="s">
        <v>18</v>
      </c>
      <c r="F846" t="s">
        <v>20</v>
      </c>
      <c r="G846" t="s">
        <v>19</v>
      </c>
      <c r="H846" t="s">
        <v>20</v>
      </c>
      <c r="I846">
        <v>7</v>
      </c>
      <c r="J846">
        <v>5</v>
      </c>
      <c r="K846" t="s">
        <v>2463</v>
      </c>
      <c r="L846" t="s">
        <v>47</v>
      </c>
      <c r="M846" t="s">
        <v>161</v>
      </c>
      <c r="N846" t="s">
        <v>36</v>
      </c>
      <c r="O846" t="s">
        <v>2464</v>
      </c>
      <c r="P846" t="s">
        <v>2465</v>
      </c>
      <c r="Q846">
        <f t="shared" si="234"/>
        <v>4</v>
      </c>
      <c r="R846">
        <f t="shared" si="235"/>
        <v>2</v>
      </c>
      <c r="S846">
        <f t="shared" si="236"/>
        <v>3</v>
      </c>
      <c r="T846">
        <f t="shared" si="237"/>
        <v>2</v>
      </c>
      <c r="U846">
        <v>1000</v>
      </c>
      <c r="V846">
        <f t="shared" si="238"/>
        <v>0</v>
      </c>
      <c r="W846">
        <f t="shared" si="239"/>
        <v>0</v>
      </c>
      <c r="X846">
        <f t="shared" si="240"/>
        <v>1</v>
      </c>
      <c r="Y846">
        <f t="shared" si="241"/>
        <v>0</v>
      </c>
      <c r="Z846">
        <f t="shared" si="242"/>
        <v>1</v>
      </c>
      <c r="AA846">
        <f t="shared" si="243"/>
        <v>1</v>
      </c>
      <c r="AB846">
        <f t="shared" si="244"/>
        <v>1</v>
      </c>
      <c r="AC846">
        <f t="shared" si="245"/>
        <v>1</v>
      </c>
      <c r="AD846">
        <f t="shared" si="246"/>
        <v>1</v>
      </c>
      <c r="AE846">
        <f t="shared" si="247"/>
        <v>0</v>
      </c>
      <c r="AF846">
        <f t="shared" si="248"/>
        <v>0</v>
      </c>
      <c r="AG846">
        <f t="shared" si="249"/>
        <v>0</v>
      </c>
      <c r="AH846">
        <f t="shared" si="250"/>
        <v>0</v>
      </c>
      <c r="AI846">
        <f t="shared" si="251"/>
        <v>1</v>
      </c>
    </row>
    <row r="847" spans="1:35" x14ac:dyDescent="0.2">
      <c r="A847">
        <v>404</v>
      </c>
      <c r="B847" t="s">
        <v>16</v>
      </c>
      <c r="C847">
        <v>8</v>
      </c>
      <c r="D847" t="s">
        <v>2466</v>
      </c>
      <c r="E847" t="s">
        <v>39</v>
      </c>
      <c r="F847" t="s">
        <v>20</v>
      </c>
      <c r="G847" t="s">
        <v>19</v>
      </c>
      <c r="H847" t="s">
        <v>18</v>
      </c>
      <c r="I847">
        <v>3</v>
      </c>
      <c r="J847">
        <v>6</v>
      </c>
      <c r="K847">
        <v>0</v>
      </c>
      <c r="L847" t="s">
        <v>494</v>
      </c>
      <c r="M847" t="s">
        <v>161</v>
      </c>
      <c r="N847" t="s">
        <v>24</v>
      </c>
      <c r="O847" t="s">
        <v>2467</v>
      </c>
      <c r="P847" t="s">
        <v>2468</v>
      </c>
      <c r="Q847">
        <f t="shared" si="234"/>
        <v>5</v>
      </c>
      <c r="R847">
        <f t="shared" si="235"/>
        <v>2</v>
      </c>
      <c r="S847">
        <f t="shared" si="236"/>
        <v>3</v>
      </c>
      <c r="T847">
        <f t="shared" si="237"/>
        <v>4</v>
      </c>
      <c r="U847">
        <v>0</v>
      </c>
      <c r="V847">
        <f t="shared" si="238"/>
        <v>0</v>
      </c>
      <c r="W847">
        <f t="shared" si="239"/>
        <v>1</v>
      </c>
      <c r="X847">
        <f t="shared" si="240"/>
        <v>1</v>
      </c>
      <c r="Y847">
        <f t="shared" si="241"/>
        <v>1</v>
      </c>
      <c r="Z847">
        <f t="shared" si="242"/>
        <v>1</v>
      </c>
      <c r="AA847">
        <f t="shared" si="243"/>
        <v>1</v>
      </c>
      <c r="AB847">
        <f t="shared" si="244"/>
        <v>1</v>
      </c>
      <c r="AC847">
        <f t="shared" si="245"/>
        <v>1</v>
      </c>
      <c r="AD847">
        <f t="shared" si="246"/>
        <v>1</v>
      </c>
      <c r="AE847">
        <f t="shared" si="247"/>
        <v>0</v>
      </c>
      <c r="AF847">
        <f t="shared" si="248"/>
        <v>0</v>
      </c>
      <c r="AG847">
        <f t="shared" si="249"/>
        <v>0</v>
      </c>
      <c r="AH847">
        <f t="shared" si="250"/>
        <v>1</v>
      </c>
      <c r="AI847">
        <f t="shared" si="251"/>
        <v>0</v>
      </c>
    </row>
    <row r="848" spans="1:35" x14ac:dyDescent="0.2">
      <c r="A848">
        <v>405</v>
      </c>
      <c r="B848" t="s">
        <v>16</v>
      </c>
      <c r="C848">
        <v>2</v>
      </c>
      <c r="D848" t="s">
        <v>2469</v>
      </c>
      <c r="E848" t="s">
        <v>18</v>
      </c>
      <c r="F848" t="s">
        <v>20</v>
      </c>
      <c r="G848" t="s">
        <v>19</v>
      </c>
      <c r="H848" t="s">
        <v>18</v>
      </c>
      <c r="I848">
        <v>3</v>
      </c>
      <c r="J848">
        <v>4</v>
      </c>
      <c r="K848" s="1">
        <v>10</v>
      </c>
      <c r="L848" t="s">
        <v>53</v>
      </c>
      <c r="M848" t="s">
        <v>980</v>
      </c>
      <c r="N848" t="s">
        <v>147</v>
      </c>
      <c r="O848" t="s">
        <v>2470</v>
      </c>
      <c r="P848" t="s">
        <v>2471</v>
      </c>
      <c r="Q848">
        <f t="shared" si="234"/>
        <v>4</v>
      </c>
      <c r="R848">
        <f t="shared" si="235"/>
        <v>2</v>
      </c>
      <c r="S848">
        <f t="shared" si="236"/>
        <v>3</v>
      </c>
      <c r="T848">
        <f t="shared" si="237"/>
        <v>4</v>
      </c>
      <c r="U848">
        <v>10</v>
      </c>
      <c r="V848">
        <f t="shared" si="238"/>
        <v>0</v>
      </c>
      <c r="W848">
        <f t="shared" si="239"/>
        <v>0</v>
      </c>
      <c r="X848">
        <f t="shared" si="240"/>
        <v>1</v>
      </c>
      <c r="Y848">
        <f t="shared" si="241"/>
        <v>0</v>
      </c>
      <c r="Z848">
        <f t="shared" si="242"/>
        <v>0</v>
      </c>
      <c r="AA848">
        <f t="shared" si="243"/>
        <v>1</v>
      </c>
      <c r="AB848">
        <f t="shared" si="244"/>
        <v>0</v>
      </c>
      <c r="AC848">
        <f t="shared" si="245"/>
        <v>1</v>
      </c>
      <c r="AD848">
        <f t="shared" si="246"/>
        <v>1</v>
      </c>
      <c r="AE848">
        <f t="shared" si="247"/>
        <v>0</v>
      </c>
      <c r="AF848">
        <f t="shared" si="248"/>
        <v>0</v>
      </c>
      <c r="AG848">
        <f t="shared" si="249"/>
        <v>0</v>
      </c>
      <c r="AH848">
        <f t="shared" si="250"/>
        <v>1</v>
      </c>
      <c r="AI848">
        <f t="shared" si="251"/>
        <v>1</v>
      </c>
    </row>
    <row r="849" spans="1:35" x14ac:dyDescent="0.2">
      <c r="A849">
        <v>406</v>
      </c>
      <c r="B849" t="s">
        <v>16</v>
      </c>
      <c r="C849">
        <v>8</v>
      </c>
      <c r="D849" t="s">
        <v>2472</v>
      </c>
      <c r="E849" t="s">
        <v>21</v>
      </c>
      <c r="F849" t="s">
        <v>20</v>
      </c>
      <c r="G849" t="s">
        <v>20</v>
      </c>
      <c r="H849" t="s">
        <v>39</v>
      </c>
      <c r="I849">
        <v>3</v>
      </c>
      <c r="J849">
        <v>4</v>
      </c>
      <c r="K849">
        <v>1000000</v>
      </c>
      <c r="L849" t="s">
        <v>41</v>
      </c>
      <c r="M849" t="s">
        <v>42</v>
      </c>
      <c r="N849" t="s">
        <v>84</v>
      </c>
      <c r="O849" t="s">
        <v>195</v>
      </c>
      <c r="P849" t="s">
        <v>2473</v>
      </c>
      <c r="Q849">
        <f t="shared" si="234"/>
        <v>1</v>
      </c>
      <c r="R849">
        <f t="shared" si="235"/>
        <v>2</v>
      </c>
      <c r="S849">
        <f t="shared" si="236"/>
        <v>2</v>
      </c>
      <c r="T849">
        <f t="shared" si="237"/>
        <v>5</v>
      </c>
      <c r="U849">
        <v>1000000</v>
      </c>
      <c r="V849">
        <f t="shared" si="238"/>
        <v>0</v>
      </c>
      <c r="W849">
        <f t="shared" si="239"/>
        <v>0</v>
      </c>
      <c r="X849">
        <f t="shared" si="240"/>
        <v>0</v>
      </c>
      <c r="Y849">
        <f t="shared" si="241"/>
        <v>0</v>
      </c>
      <c r="Z849">
        <f t="shared" si="242"/>
        <v>1</v>
      </c>
      <c r="AA849">
        <f t="shared" si="243"/>
        <v>0</v>
      </c>
      <c r="AB849">
        <f t="shared" si="244"/>
        <v>1</v>
      </c>
      <c r="AC849">
        <f t="shared" si="245"/>
        <v>0</v>
      </c>
      <c r="AD849">
        <f t="shared" si="246"/>
        <v>0</v>
      </c>
      <c r="AE849">
        <f t="shared" si="247"/>
        <v>0</v>
      </c>
      <c r="AF849">
        <f t="shared" si="248"/>
        <v>0</v>
      </c>
      <c r="AG849">
        <f t="shared" si="249"/>
        <v>1</v>
      </c>
      <c r="AH849">
        <f t="shared" si="250"/>
        <v>0</v>
      </c>
      <c r="AI849">
        <f t="shared" si="251"/>
        <v>0</v>
      </c>
    </row>
    <row r="850" spans="1:35" x14ac:dyDescent="0.2">
      <c r="A850">
        <v>407</v>
      </c>
      <c r="B850" t="s">
        <v>16</v>
      </c>
      <c r="C850">
        <v>6</v>
      </c>
      <c r="D850" t="s">
        <v>2474</v>
      </c>
      <c r="E850" t="s">
        <v>18</v>
      </c>
      <c r="F850" t="s">
        <v>20</v>
      </c>
      <c r="G850" t="s">
        <v>21</v>
      </c>
      <c r="H850" t="s">
        <v>39</v>
      </c>
      <c r="I850">
        <v>11</v>
      </c>
      <c r="J850">
        <v>12</v>
      </c>
      <c r="K850" s="1">
        <v>75</v>
      </c>
      <c r="L850" t="s">
        <v>122</v>
      </c>
      <c r="M850" t="s">
        <v>1098</v>
      </c>
      <c r="N850" t="s">
        <v>24</v>
      </c>
      <c r="O850" t="s">
        <v>2475</v>
      </c>
      <c r="P850" t="s">
        <v>2476</v>
      </c>
      <c r="Q850">
        <f t="shared" si="234"/>
        <v>4</v>
      </c>
      <c r="R850">
        <f t="shared" si="235"/>
        <v>2</v>
      </c>
      <c r="S850">
        <f t="shared" si="236"/>
        <v>1</v>
      </c>
      <c r="T850">
        <f t="shared" si="237"/>
        <v>5</v>
      </c>
      <c r="U850">
        <v>75</v>
      </c>
      <c r="V850">
        <f t="shared" si="238"/>
        <v>1</v>
      </c>
      <c r="W850">
        <f t="shared" si="239"/>
        <v>0</v>
      </c>
      <c r="X850">
        <f t="shared" si="240"/>
        <v>1</v>
      </c>
      <c r="Y850">
        <f t="shared" si="241"/>
        <v>0</v>
      </c>
      <c r="Z850">
        <f t="shared" si="242"/>
        <v>1</v>
      </c>
      <c r="AA850">
        <f t="shared" si="243"/>
        <v>1</v>
      </c>
      <c r="AB850">
        <f t="shared" si="244"/>
        <v>1</v>
      </c>
      <c r="AC850">
        <f t="shared" si="245"/>
        <v>1</v>
      </c>
      <c r="AD850">
        <f t="shared" si="246"/>
        <v>0</v>
      </c>
      <c r="AE850">
        <f t="shared" si="247"/>
        <v>1</v>
      </c>
      <c r="AF850">
        <f t="shared" si="248"/>
        <v>0</v>
      </c>
      <c r="AG850">
        <f t="shared" si="249"/>
        <v>0</v>
      </c>
      <c r="AH850">
        <f t="shared" si="250"/>
        <v>1</v>
      </c>
      <c r="AI850">
        <f t="shared" si="251"/>
        <v>0</v>
      </c>
    </row>
    <row r="851" spans="1:35" x14ac:dyDescent="0.2">
      <c r="A851">
        <v>408</v>
      </c>
      <c r="B851" t="s">
        <v>16</v>
      </c>
      <c r="C851">
        <v>8</v>
      </c>
      <c r="D851" t="s">
        <v>2477</v>
      </c>
      <c r="E851" t="s">
        <v>20</v>
      </c>
      <c r="F851" t="s">
        <v>18</v>
      </c>
      <c r="G851" t="s">
        <v>18</v>
      </c>
      <c r="H851" t="s">
        <v>20</v>
      </c>
      <c r="I851">
        <v>7</v>
      </c>
      <c r="J851">
        <v>6</v>
      </c>
      <c r="K851" s="1">
        <v>100</v>
      </c>
      <c r="L851" t="s">
        <v>562</v>
      </c>
      <c r="M851" t="s">
        <v>468</v>
      </c>
      <c r="N851" t="s">
        <v>84</v>
      </c>
      <c r="O851" t="s">
        <v>124</v>
      </c>
      <c r="P851" t="s">
        <v>2478</v>
      </c>
      <c r="Q851">
        <f t="shared" si="234"/>
        <v>2</v>
      </c>
      <c r="R851">
        <f t="shared" si="235"/>
        <v>4</v>
      </c>
      <c r="S851">
        <f t="shared" si="236"/>
        <v>4</v>
      </c>
      <c r="T851">
        <f t="shared" si="237"/>
        <v>2</v>
      </c>
      <c r="U851">
        <v>100</v>
      </c>
      <c r="V851">
        <f t="shared" si="238"/>
        <v>0</v>
      </c>
      <c r="W851">
        <f t="shared" si="239"/>
        <v>1</v>
      </c>
      <c r="X851">
        <f t="shared" si="240"/>
        <v>1</v>
      </c>
      <c r="Y851">
        <f t="shared" si="241"/>
        <v>0</v>
      </c>
      <c r="Z851">
        <f t="shared" si="242"/>
        <v>1</v>
      </c>
      <c r="AA851">
        <f t="shared" si="243"/>
        <v>1</v>
      </c>
      <c r="AB851">
        <f t="shared" si="244"/>
        <v>1</v>
      </c>
      <c r="AC851">
        <f t="shared" si="245"/>
        <v>1</v>
      </c>
      <c r="AD851">
        <f t="shared" si="246"/>
        <v>1</v>
      </c>
      <c r="AE851">
        <f t="shared" si="247"/>
        <v>1</v>
      </c>
      <c r="AF851">
        <f t="shared" si="248"/>
        <v>0</v>
      </c>
      <c r="AG851">
        <f t="shared" si="249"/>
        <v>1</v>
      </c>
      <c r="AH851">
        <f t="shared" si="250"/>
        <v>0</v>
      </c>
      <c r="AI851">
        <f t="shared" si="251"/>
        <v>0</v>
      </c>
    </row>
    <row r="852" spans="1:35" x14ac:dyDescent="0.2">
      <c r="A852">
        <v>409</v>
      </c>
      <c r="B852" t="s">
        <v>16</v>
      </c>
      <c r="C852">
        <v>5</v>
      </c>
      <c r="D852" t="s">
        <v>2479</v>
      </c>
      <c r="E852" t="s">
        <v>18</v>
      </c>
      <c r="F852" t="s">
        <v>20</v>
      </c>
      <c r="G852" t="s">
        <v>19</v>
      </c>
      <c r="H852" t="s">
        <v>18</v>
      </c>
      <c r="I852">
        <v>3</v>
      </c>
      <c r="J852">
        <v>4</v>
      </c>
      <c r="K852">
        <v>2000</v>
      </c>
      <c r="L852" t="s">
        <v>47</v>
      </c>
      <c r="M852" t="s">
        <v>29</v>
      </c>
      <c r="N852" t="s">
        <v>24</v>
      </c>
      <c r="O852" t="s">
        <v>409</v>
      </c>
      <c r="P852" t="s">
        <v>2480</v>
      </c>
      <c r="Q852">
        <f t="shared" si="234"/>
        <v>4</v>
      </c>
      <c r="R852">
        <f t="shared" si="235"/>
        <v>2</v>
      </c>
      <c r="S852">
        <f t="shared" si="236"/>
        <v>3</v>
      </c>
      <c r="T852">
        <f t="shared" si="237"/>
        <v>4</v>
      </c>
      <c r="U852">
        <v>2000</v>
      </c>
      <c r="V852">
        <f t="shared" si="238"/>
        <v>0</v>
      </c>
      <c r="W852">
        <f t="shared" si="239"/>
        <v>0</v>
      </c>
      <c r="X852">
        <f t="shared" si="240"/>
        <v>1</v>
      </c>
      <c r="Y852">
        <f t="shared" si="241"/>
        <v>0</v>
      </c>
      <c r="Z852">
        <f t="shared" si="242"/>
        <v>1</v>
      </c>
      <c r="AA852">
        <f t="shared" si="243"/>
        <v>1</v>
      </c>
      <c r="AB852">
        <f t="shared" si="244"/>
        <v>0</v>
      </c>
      <c r="AC852">
        <f t="shared" si="245"/>
        <v>0</v>
      </c>
      <c r="AD852">
        <f t="shared" si="246"/>
        <v>1</v>
      </c>
      <c r="AE852">
        <f t="shared" si="247"/>
        <v>0</v>
      </c>
      <c r="AF852">
        <f t="shared" si="248"/>
        <v>0</v>
      </c>
      <c r="AG852">
        <f t="shared" si="249"/>
        <v>0</v>
      </c>
      <c r="AH852">
        <f t="shared" si="250"/>
        <v>1</v>
      </c>
      <c r="AI852">
        <f t="shared" si="251"/>
        <v>0</v>
      </c>
    </row>
    <row r="853" spans="1:35" x14ac:dyDescent="0.2">
      <c r="A853">
        <v>410</v>
      </c>
      <c r="B853" t="s">
        <v>16</v>
      </c>
      <c r="C853">
        <v>3</v>
      </c>
      <c r="D853" t="s">
        <v>2040</v>
      </c>
      <c r="E853" t="s">
        <v>19</v>
      </c>
      <c r="F853" t="s">
        <v>21</v>
      </c>
      <c r="G853" t="s">
        <v>20</v>
      </c>
      <c r="H853" t="s">
        <v>20</v>
      </c>
      <c r="I853">
        <v>2</v>
      </c>
      <c r="J853">
        <v>5</v>
      </c>
      <c r="K853" t="s">
        <v>2481</v>
      </c>
      <c r="L853" t="s">
        <v>53</v>
      </c>
      <c r="M853" t="s">
        <v>23</v>
      </c>
      <c r="N853" t="s">
        <v>36</v>
      </c>
      <c r="O853" t="s">
        <v>2482</v>
      </c>
      <c r="P853" t="s">
        <v>2483</v>
      </c>
      <c r="Q853">
        <f t="shared" si="234"/>
        <v>3</v>
      </c>
      <c r="R853">
        <f t="shared" si="235"/>
        <v>1</v>
      </c>
      <c r="S853">
        <f t="shared" si="236"/>
        <v>2</v>
      </c>
      <c r="T853">
        <f t="shared" si="237"/>
        <v>2</v>
      </c>
      <c r="U853">
        <v>10</v>
      </c>
      <c r="V853">
        <f t="shared" si="238"/>
        <v>0</v>
      </c>
      <c r="W853">
        <f t="shared" si="239"/>
        <v>0</v>
      </c>
      <c r="X853">
        <f t="shared" si="240"/>
        <v>1</v>
      </c>
      <c r="Y853">
        <f t="shared" si="241"/>
        <v>0</v>
      </c>
      <c r="Z853">
        <f t="shared" si="242"/>
        <v>0</v>
      </c>
      <c r="AA853">
        <f t="shared" si="243"/>
        <v>1</v>
      </c>
      <c r="AB853">
        <f t="shared" si="244"/>
        <v>0</v>
      </c>
      <c r="AC853">
        <f t="shared" si="245"/>
        <v>0</v>
      </c>
      <c r="AD853">
        <f t="shared" si="246"/>
        <v>0</v>
      </c>
      <c r="AE853">
        <f t="shared" si="247"/>
        <v>0</v>
      </c>
      <c r="AF853">
        <f t="shared" si="248"/>
        <v>0</v>
      </c>
      <c r="AG853">
        <f t="shared" si="249"/>
        <v>0</v>
      </c>
      <c r="AH853">
        <f t="shared" si="250"/>
        <v>0</v>
      </c>
      <c r="AI853">
        <f t="shared" si="251"/>
        <v>1</v>
      </c>
    </row>
    <row r="854" spans="1:35" x14ac:dyDescent="0.2">
      <c r="A854">
        <v>411</v>
      </c>
      <c r="B854" t="s">
        <v>16</v>
      </c>
      <c r="C854">
        <v>8</v>
      </c>
      <c r="D854" t="s">
        <v>2484</v>
      </c>
      <c r="E854" t="s">
        <v>18</v>
      </c>
      <c r="F854" t="s">
        <v>21</v>
      </c>
      <c r="G854" t="s">
        <v>18</v>
      </c>
      <c r="H854" t="s">
        <v>18</v>
      </c>
      <c r="I854">
        <v>4</v>
      </c>
      <c r="J854">
        <v>4</v>
      </c>
      <c r="K854">
        <v>30</v>
      </c>
      <c r="L854" t="s">
        <v>75</v>
      </c>
      <c r="M854" t="s">
        <v>99</v>
      </c>
      <c r="N854" t="s">
        <v>24</v>
      </c>
      <c r="O854" t="s">
        <v>2442</v>
      </c>
      <c r="P854" t="s">
        <v>2485</v>
      </c>
      <c r="Q854">
        <f t="shared" si="234"/>
        <v>4</v>
      </c>
      <c r="R854">
        <f t="shared" si="235"/>
        <v>1</v>
      </c>
      <c r="S854">
        <f t="shared" si="236"/>
        <v>4</v>
      </c>
      <c r="T854">
        <f t="shared" si="237"/>
        <v>4</v>
      </c>
      <c r="U854">
        <v>30</v>
      </c>
      <c r="V854">
        <f t="shared" si="238"/>
        <v>0</v>
      </c>
      <c r="W854">
        <f t="shared" si="239"/>
        <v>0</v>
      </c>
      <c r="X854">
        <f t="shared" si="240"/>
        <v>1</v>
      </c>
      <c r="Y854">
        <f t="shared" si="241"/>
        <v>1</v>
      </c>
      <c r="Z854">
        <f t="shared" si="242"/>
        <v>0</v>
      </c>
      <c r="AA854">
        <f t="shared" si="243"/>
        <v>1</v>
      </c>
      <c r="AB854">
        <f t="shared" si="244"/>
        <v>0</v>
      </c>
      <c r="AC854">
        <f t="shared" si="245"/>
        <v>0</v>
      </c>
      <c r="AD854">
        <f t="shared" si="246"/>
        <v>0</v>
      </c>
      <c r="AE854">
        <f t="shared" si="247"/>
        <v>1</v>
      </c>
      <c r="AF854">
        <f t="shared" si="248"/>
        <v>0</v>
      </c>
      <c r="AG854">
        <f t="shared" si="249"/>
        <v>0</v>
      </c>
      <c r="AH854">
        <f t="shared" si="250"/>
        <v>1</v>
      </c>
      <c r="AI854">
        <f t="shared" si="251"/>
        <v>0</v>
      </c>
    </row>
    <row r="855" spans="1:35" x14ac:dyDescent="0.2">
      <c r="A855">
        <v>412</v>
      </c>
      <c r="B855" t="s">
        <v>16</v>
      </c>
      <c r="C855">
        <v>2</v>
      </c>
      <c r="D855" t="s">
        <v>2486</v>
      </c>
      <c r="E855" t="s">
        <v>18</v>
      </c>
      <c r="F855" t="s">
        <v>20</v>
      </c>
      <c r="G855" t="s">
        <v>19</v>
      </c>
      <c r="H855" t="s">
        <v>18</v>
      </c>
      <c r="I855">
        <v>3</v>
      </c>
      <c r="J855">
        <v>7</v>
      </c>
      <c r="K855" s="1">
        <v>50</v>
      </c>
      <c r="L855" t="s">
        <v>66</v>
      </c>
      <c r="M855" t="s">
        <v>23</v>
      </c>
      <c r="N855" t="s">
        <v>24</v>
      </c>
      <c r="O855" t="s">
        <v>2487</v>
      </c>
      <c r="P855" t="s">
        <v>2488</v>
      </c>
      <c r="Q855">
        <f t="shared" si="234"/>
        <v>4</v>
      </c>
      <c r="R855">
        <f t="shared" si="235"/>
        <v>2</v>
      </c>
      <c r="S855">
        <f t="shared" si="236"/>
        <v>3</v>
      </c>
      <c r="T855">
        <f t="shared" si="237"/>
        <v>4</v>
      </c>
      <c r="U855">
        <v>50</v>
      </c>
      <c r="V855">
        <f t="shared" si="238"/>
        <v>0</v>
      </c>
      <c r="W855">
        <f t="shared" si="239"/>
        <v>1</v>
      </c>
      <c r="X855">
        <f t="shared" si="240"/>
        <v>1</v>
      </c>
      <c r="Y855">
        <f t="shared" si="241"/>
        <v>0</v>
      </c>
      <c r="Z855">
        <f t="shared" si="242"/>
        <v>0</v>
      </c>
      <c r="AA855">
        <f t="shared" si="243"/>
        <v>1</v>
      </c>
      <c r="AB855">
        <f t="shared" si="244"/>
        <v>0</v>
      </c>
      <c r="AC855">
        <f t="shared" si="245"/>
        <v>0</v>
      </c>
      <c r="AD855">
        <f t="shared" si="246"/>
        <v>0</v>
      </c>
      <c r="AE855">
        <f t="shared" si="247"/>
        <v>0</v>
      </c>
      <c r="AF855">
        <f t="shared" si="248"/>
        <v>0</v>
      </c>
      <c r="AG855">
        <f t="shared" si="249"/>
        <v>0</v>
      </c>
      <c r="AH855">
        <f t="shared" si="250"/>
        <v>1</v>
      </c>
      <c r="AI855">
        <f t="shared" si="251"/>
        <v>0</v>
      </c>
    </row>
    <row r="856" spans="1:35" x14ac:dyDescent="0.2">
      <c r="A856">
        <v>413</v>
      </c>
      <c r="B856" t="s">
        <v>16</v>
      </c>
      <c r="C856">
        <v>3</v>
      </c>
      <c r="D856" t="s">
        <v>2489</v>
      </c>
      <c r="E856" t="s">
        <v>18</v>
      </c>
      <c r="F856" t="s">
        <v>21</v>
      </c>
      <c r="G856" t="s">
        <v>19</v>
      </c>
      <c r="H856" t="s">
        <v>18</v>
      </c>
      <c r="I856">
        <v>3</v>
      </c>
      <c r="J856">
        <v>7</v>
      </c>
      <c r="K856">
        <v>0</v>
      </c>
      <c r="L856" t="s">
        <v>53</v>
      </c>
      <c r="M856" t="s">
        <v>123</v>
      </c>
      <c r="N856" t="s">
        <v>36</v>
      </c>
      <c r="O856" t="s">
        <v>2386</v>
      </c>
      <c r="P856" t="s">
        <v>2490</v>
      </c>
      <c r="Q856">
        <f t="shared" si="234"/>
        <v>4</v>
      </c>
      <c r="R856">
        <f t="shared" si="235"/>
        <v>1</v>
      </c>
      <c r="S856">
        <f t="shared" si="236"/>
        <v>3</v>
      </c>
      <c r="T856">
        <f t="shared" si="237"/>
        <v>4</v>
      </c>
      <c r="U856">
        <v>0</v>
      </c>
      <c r="V856">
        <f t="shared" si="238"/>
        <v>0</v>
      </c>
      <c r="W856">
        <f t="shared" si="239"/>
        <v>0</v>
      </c>
      <c r="X856">
        <f t="shared" si="240"/>
        <v>1</v>
      </c>
      <c r="Y856">
        <f t="shared" si="241"/>
        <v>0</v>
      </c>
      <c r="Z856">
        <f t="shared" si="242"/>
        <v>0</v>
      </c>
      <c r="AA856">
        <f t="shared" si="243"/>
        <v>0</v>
      </c>
      <c r="AB856">
        <f t="shared" si="244"/>
        <v>1</v>
      </c>
      <c r="AC856">
        <f t="shared" si="245"/>
        <v>1</v>
      </c>
      <c r="AD856">
        <f t="shared" si="246"/>
        <v>0</v>
      </c>
      <c r="AE856">
        <f t="shared" si="247"/>
        <v>0</v>
      </c>
      <c r="AF856">
        <f t="shared" si="248"/>
        <v>0</v>
      </c>
      <c r="AG856">
        <f t="shared" si="249"/>
        <v>0</v>
      </c>
      <c r="AH856">
        <f t="shared" si="250"/>
        <v>0</v>
      </c>
      <c r="AI856">
        <f t="shared" si="251"/>
        <v>1</v>
      </c>
    </row>
    <row r="857" spans="1:35" x14ac:dyDescent="0.2">
      <c r="A857">
        <v>414</v>
      </c>
      <c r="B857" t="s">
        <v>16</v>
      </c>
      <c r="C857">
        <v>5</v>
      </c>
      <c r="D857" t="s">
        <v>2491</v>
      </c>
      <c r="E857" t="s">
        <v>19</v>
      </c>
      <c r="F857" t="s">
        <v>19</v>
      </c>
      <c r="G857" t="s">
        <v>18</v>
      </c>
      <c r="H857" t="s">
        <v>20</v>
      </c>
      <c r="I857">
        <v>5</v>
      </c>
      <c r="J857">
        <v>4</v>
      </c>
      <c r="K857">
        <v>10</v>
      </c>
      <c r="L857" t="s">
        <v>22</v>
      </c>
      <c r="M857" t="s">
        <v>99</v>
      </c>
      <c r="N857" t="s">
        <v>84</v>
      </c>
      <c r="O857" t="s">
        <v>2492</v>
      </c>
      <c r="P857" t="s">
        <v>2493</v>
      </c>
      <c r="Q857">
        <f t="shared" si="234"/>
        <v>3</v>
      </c>
      <c r="R857">
        <f t="shared" si="235"/>
        <v>3</v>
      </c>
      <c r="S857">
        <f t="shared" si="236"/>
        <v>4</v>
      </c>
      <c r="T857">
        <f t="shared" si="237"/>
        <v>2</v>
      </c>
      <c r="U857">
        <v>10</v>
      </c>
      <c r="V857">
        <f t="shared" si="238"/>
        <v>1</v>
      </c>
      <c r="W857">
        <f t="shared" si="239"/>
        <v>0</v>
      </c>
      <c r="X857">
        <f t="shared" si="240"/>
        <v>0</v>
      </c>
      <c r="Y857">
        <f t="shared" si="241"/>
        <v>0</v>
      </c>
      <c r="Z857">
        <f t="shared" si="242"/>
        <v>0</v>
      </c>
      <c r="AA857">
        <f t="shared" si="243"/>
        <v>1</v>
      </c>
      <c r="AB857">
        <f t="shared" si="244"/>
        <v>0</v>
      </c>
      <c r="AC857">
        <f t="shared" si="245"/>
        <v>0</v>
      </c>
      <c r="AD857">
        <f t="shared" si="246"/>
        <v>0</v>
      </c>
      <c r="AE857">
        <f t="shared" si="247"/>
        <v>1</v>
      </c>
      <c r="AF857">
        <f t="shared" si="248"/>
        <v>0</v>
      </c>
      <c r="AG857">
        <f t="shared" si="249"/>
        <v>1</v>
      </c>
      <c r="AH857">
        <f t="shared" si="250"/>
        <v>0</v>
      </c>
      <c r="AI857">
        <f t="shared" si="251"/>
        <v>0</v>
      </c>
    </row>
    <row r="858" spans="1:35" x14ac:dyDescent="0.2">
      <c r="A858">
        <v>415</v>
      </c>
      <c r="B858" t="s">
        <v>16</v>
      </c>
      <c r="C858">
        <v>7</v>
      </c>
      <c r="D858" t="s">
        <v>2494</v>
      </c>
      <c r="E858" t="s">
        <v>18</v>
      </c>
      <c r="F858" t="s">
        <v>20</v>
      </c>
      <c r="G858" t="s">
        <v>18</v>
      </c>
      <c r="H858" t="s">
        <v>21</v>
      </c>
      <c r="I858">
        <v>3</v>
      </c>
      <c r="J858">
        <v>2</v>
      </c>
      <c r="K858" s="1">
        <v>2</v>
      </c>
      <c r="L858" t="s">
        <v>41</v>
      </c>
      <c r="M858" t="s">
        <v>42</v>
      </c>
      <c r="N858" t="s">
        <v>84</v>
      </c>
      <c r="O858" t="s">
        <v>2495</v>
      </c>
      <c r="P858" t="s">
        <v>2496</v>
      </c>
      <c r="Q858">
        <f t="shared" si="234"/>
        <v>4</v>
      </c>
      <c r="R858">
        <f t="shared" si="235"/>
        <v>2</v>
      </c>
      <c r="S858">
        <f t="shared" si="236"/>
        <v>4</v>
      </c>
      <c r="T858">
        <f t="shared" si="237"/>
        <v>1</v>
      </c>
      <c r="U858">
        <v>2</v>
      </c>
      <c r="V858">
        <f t="shared" si="238"/>
        <v>0</v>
      </c>
      <c r="W858">
        <f t="shared" si="239"/>
        <v>0</v>
      </c>
      <c r="X858">
        <f t="shared" si="240"/>
        <v>0</v>
      </c>
      <c r="Y858">
        <f t="shared" si="241"/>
        <v>0</v>
      </c>
      <c r="Z858">
        <f t="shared" si="242"/>
        <v>1</v>
      </c>
      <c r="AA858">
        <f t="shared" si="243"/>
        <v>0</v>
      </c>
      <c r="AB858">
        <f t="shared" si="244"/>
        <v>1</v>
      </c>
      <c r="AC858">
        <f t="shared" si="245"/>
        <v>0</v>
      </c>
      <c r="AD858">
        <f t="shared" si="246"/>
        <v>0</v>
      </c>
      <c r="AE858">
        <f t="shared" si="247"/>
        <v>0</v>
      </c>
      <c r="AF858">
        <f t="shared" si="248"/>
        <v>0</v>
      </c>
      <c r="AG858">
        <f t="shared" si="249"/>
        <v>1</v>
      </c>
      <c r="AH858">
        <f t="shared" si="250"/>
        <v>0</v>
      </c>
      <c r="AI858">
        <f t="shared" si="251"/>
        <v>0</v>
      </c>
    </row>
    <row r="859" spans="1:35" x14ac:dyDescent="0.2">
      <c r="A859">
        <v>416</v>
      </c>
      <c r="B859" t="s">
        <v>16</v>
      </c>
      <c r="C859">
        <v>8</v>
      </c>
      <c r="D859" t="s">
        <v>2233</v>
      </c>
      <c r="E859" t="s">
        <v>18</v>
      </c>
      <c r="F859" t="s">
        <v>19</v>
      </c>
      <c r="G859" t="s">
        <v>20</v>
      </c>
      <c r="H859" t="s">
        <v>18</v>
      </c>
      <c r="I859">
        <v>6</v>
      </c>
      <c r="J859">
        <v>7</v>
      </c>
      <c r="K859">
        <v>50</v>
      </c>
      <c r="L859" t="s">
        <v>41</v>
      </c>
      <c r="M859" t="s">
        <v>23</v>
      </c>
      <c r="N859" t="s">
        <v>84</v>
      </c>
      <c r="O859" t="s">
        <v>183</v>
      </c>
      <c r="P859" t="s">
        <v>2497</v>
      </c>
      <c r="Q859">
        <f t="shared" si="234"/>
        <v>4</v>
      </c>
      <c r="R859">
        <f t="shared" si="235"/>
        <v>3</v>
      </c>
      <c r="S859">
        <f t="shared" si="236"/>
        <v>2</v>
      </c>
      <c r="T859">
        <f t="shared" si="237"/>
        <v>4</v>
      </c>
      <c r="U859">
        <v>50</v>
      </c>
      <c r="V859">
        <f t="shared" si="238"/>
        <v>0</v>
      </c>
      <c r="W859">
        <f t="shared" si="239"/>
        <v>0</v>
      </c>
      <c r="X859">
        <f t="shared" si="240"/>
        <v>0</v>
      </c>
      <c r="Y859">
        <f t="shared" si="241"/>
        <v>0</v>
      </c>
      <c r="Z859">
        <f t="shared" si="242"/>
        <v>1</v>
      </c>
      <c r="AA859">
        <f t="shared" si="243"/>
        <v>1</v>
      </c>
      <c r="AB859">
        <f t="shared" si="244"/>
        <v>0</v>
      </c>
      <c r="AC859">
        <f t="shared" si="245"/>
        <v>0</v>
      </c>
      <c r="AD859">
        <f t="shared" si="246"/>
        <v>0</v>
      </c>
      <c r="AE859">
        <f t="shared" si="247"/>
        <v>0</v>
      </c>
      <c r="AF859">
        <f t="shared" si="248"/>
        <v>0</v>
      </c>
      <c r="AG859">
        <f t="shared" si="249"/>
        <v>1</v>
      </c>
      <c r="AH859">
        <f t="shared" si="250"/>
        <v>0</v>
      </c>
      <c r="AI859">
        <f t="shared" si="251"/>
        <v>0</v>
      </c>
    </row>
    <row r="860" spans="1:35" x14ac:dyDescent="0.2">
      <c r="A860">
        <v>417</v>
      </c>
      <c r="B860" t="s">
        <v>16</v>
      </c>
      <c r="C860">
        <v>6</v>
      </c>
      <c r="D860" t="s">
        <v>2498</v>
      </c>
      <c r="E860" t="s">
        <v>18</v>
      </c>
      <c r="F860" t="s">
        <v>20</v>
      </c>
      <c r="G860" t="s">
        <v>19</v>
      </c>
      <c r="H860" t="s">
        <v>19</v>
      </c>
      <c r="I860">
        <v>4</v>
      </c>
      <c r="J860">
        <v>4</v>
      </c>
      <c r="K860">
        <v>30</v>
      </c>
      <c r="L860" t="s">
        <v>98</v>
      </c>
      <c r="M860" t="s">
        <v>291</v>
      </c>
      <c r="N860" t="s">
        <v>147</v>
      </c>
      <c r="O860" t="s">
        <v>2499</v>
      </c>
      <c r="P860" t="s">
        <v>2500</v>
      </c>
      <c r="Q860">
        <f t="shared" si="234"/>
        <v>4</v>
      </c>
      <c r="R860">
        <f t="shared" si="235"/>
        <v>2</v>
      </c>
      <c r="S860">
        <f t="shared" si="236"/>
        <v>3</v>
      </c>
      <c r="T860">
        <f t="shared" si="237"/>
        <v>3</v>
      </c>
      <c r="U860">
        <v>30</v>
      </c>
      <c r="V860">
        <f t="shared" si="238"/>
        <v>0</v>
      </c>
      <c r="W860">
        <f t="shared" si="239"/>
        <v>1</v>
      </c>
      <c r="X860">
        <f t="shared" si="240"/>
        <v>0</v>
      </c>
      <c r="Y860">
        <f t="shared" si="241"/>
        <v>0</v>
      </c>
      <c r="Z860">
        <f t="shared" si="242"/>
        <v>0</v>
      </c>
      <c r="AA860">
        <f t="shared" si="243"/>
        <v>0</v>
      </c>
      <c r="AB860">
        <f t="shared" si="244"/>
        <v>1</v>
      </c>
      <c r="AC860">
        <f t="shared" si="245"/>
        <v>0</v>
      </c>
      <c r="AD860">
        <f t="shared" si="246"/>
        <v>1</v>
      </c>
      <c r="AE860">
        <f t="shared" si="247"/>
        <v>0</v>
      </c>
      <c r="AF860">
        <f t="shared" si="248"/>
        <v>0</v>
      </c>
      <c r="AG860">
        <f t="shared" si="249"/>
        <v>0</v>
      </c>
      <c r="AH860">
        <f t="shared" si="250"/>
        <v>1</v>
      </c>
      <c r="AI860">
        <f t="shared" si="251"/>
        <v>1</v>
      </c>
    </row>
    <row r="861" spans="1:35" x14ac:dyDescent="0.2">
      <c r="A861">
        <v>418</v>
      </c>
      <c r="B861" t="s">
        <v>16</v>
      </c>
      <c r="C861">
        <v>6</v>
      </c>
      <c r="D861" t="s">
        <v>2501</v>
      </c>
      <c r="E861" t="s">
        <v>18</v>
      </c>
      <c r="F861" t="s">
        <v>19</v>
      </c>
      <c r="G861" t="s">
        <v>19</v>
      </c>
      <c r="H861" t="s">
        <v>18</v>
      </c>
      <c r="I861">
        <v>5</v>
      </c>
      <c r="J861">
        <v>3</v>
      </c>
      <c r="K861" s="1">
        <v>20</v>
      </c>
      <c r="L861" t="s">
        <v>41</v>
      </c>
      <c r="M861" t="s">
        <v>23</v>
      </c>
      <c r="N861" t="s">
        <v>215</v>
      </c>
      <c r="O861" t="s">
        <v>2502</v>
      </c>
      <c r="P861" t="s">
        <v>2503</v>
      </c>
      <c r="Q861">
        <f t="shared" si="234"/>
        <v>4</v>
      </c>
      <c r="R861">
        <f t="shared" si="235"/>
        <v>3</v>
      </c>
      <c r="S861">
        <f t="shared" si="236"/>
        <v>3</v>
      </c>
      <c r="T861">
        <f t="shared" si="237"/>
        <v>4</v>
      </c>
      <c r="U861">
        <v>20</v>
      </c>
      <c r="V861">
        <f t="shared" si="238"/>
        <v>0</v>
      </c>
      <c r="W861">
        <f t="shared" si="239"/>
        <v>0</v>
      </c>
      <c r="X861">
        <f t="shared" si="240"/>
        <v>0</v>
      </c>
      <c r="Y861">
        <f t="shared" si="241"/>
        <v>0</v>
      </c>
      <c r="Z861">
        <f t="shared" si="242"/>
        <v>1</v>
      </c>
      <c r="AA861">
        <f t="shared" si="243"/>
        <v>1</v>
      </c>
      <c r="AB861">
        <f t="shared" si="244"/>
        <v>0</v>
      </c>
      <c r="AC861">
        <f t="shared" si="245"/>
        <v>0</v>
      </c>
      <c r="AD861">
        <f t="shared" si="246"/>
        <v>0</v>
      </c>
      <c r="AE861">
        <f t="shared" si="247"/>
        <v>0</v>
      </c>
      <c r="AF861">
        <f t="shared" si="248"/>
        <v>1</v>
      </c>
      <c r="AG861">
        <f t="shared" si="249"/>
        <v>0</v>
      </c>
      <c r="AH861">
        <f t="shared" si="250"/>
        <v>0</v>
      </c>
      <c r="AI861">
        <f t="shared" si="251"/>
        <v>0</v>
      </c>
    </row>
    <row r="862" spans="1:35" x14ac:dyDescent="0.2">
      <c r="A862">
        <v>419</v>
      </c>
      <c r="B862" t="s">
        <v>16</v>
      </c>
      <c r="C862">
        <v>2</v>
      </c>
      <c r="D862" t="s">
        <v>2504</v>
      </c>
      <c r="E862" t="s">
        <v>18</v>
      </c>
      <c r="F862" t="s">
        <v>21</v>
      </c>
      <c r="G862" t="s">
        <v>19</v>
      </c>
      <c r="H862" t="s">
        <v>18</v>
      </c>
      <c r="I862">
        <v>4</v>
      </c>
      <c r="J862">
        <v>6</v>
      </c>
      <c r="K862" s="1">
        <v>10</v>
      </c>
      <c r="L862" t="s">
        <v>53</v>
      </c>
      <c r="M862" t="s">
        <v>23</v>
      </c>
      <c r="N862" t="s">
        <v>84</v>
      </c>
      <c r="O862" t="s">
        <v>2505</v>
      </c>
      <c r="P862" t="s">
        <v>2506</v>
      </c>
      <c r="Q862">
        <f t="shared" si="234"/>
        <v>4</v>
      </c>
      <c r="R862">
        <f t="shared" si="235"/>
        <v>1</v>
      </c>
      <c r="S862">
        <f t="shared" si="236"/>
        <v>3</v>
      </c>
      <c r="T862">
        <f t="shared" si="237"/>
        <v>4</v>
      </c>
      <c r="U862">
        <v>10</v>
      </c>
      <c r="V862">
        <f t="shared" si="238"/>
        <v>0</v>
      </c>
      <c r="W862">
        <f t="shared" si="239"/>
        <v>0</v>
      </c>
      <c r="X862">
        <f t="shared" si="240"/>
        <v>1</v>
      </c>
      <c r="Y862">
        <f t="shared" si="241"/>
        <v>0</v>
      </c>
      <c r="Z862">
        <f t="shared" si="242"/>
        <v>0</v>
      </c>
      <c r="AA862">
        <f t="shared" si="243"/>
        <v>1</v>
      </c>
      <c r="AB862">
        <f t="shared" si="244"/>
        <v>0</v>
      </c>
      <c r="AC862">
        <f t="shared" si="245"/>
        <v>0</v>
      </c>
      <c r="AD862">
        <f t="shared" si="246"/>
        <v>0</v>
      </c>
      <c r="AE862">
        <f t="shared" si="247"/>
        <v>0</v>
      </c>
      <c r="AF862">
        <f t="shared" si="248"/>
        <v>0</v>
      </c>
      <c r="AG862">
        <f t="shared" si="249"/>
        <v>1</v>
      </c>
      <c r="AH862">
        <f t="shared" si="250"/>
        <v>0</v>
      </c>
      <c r="AI862">
        <f t="shared" si="251"/>
        <v>0</v>
      </c>
    </row>
    <row r="863" spans="1:35" x14ac:dyDescent="0.2">
      <c r="A863">
        <v>420</v>
      </c>
      <c r="B863" t="s">
        <v>16</v>
      </c>
      <c r="C863">
        <v>9</v>
      </c>
      <c r="D863" t="s">
        <v>2507</v>
      </c>
      <c r="E863" t="s">
        <v>21</v>
      </c>
      <c r="F863" t="s">
        <v>19</v>
      </c>
      <c r="G863" t="s">
        <v>18</v>
      </c>
      <c r="H863" t="s">
        <v>20</v>
      </c>
      <c r="I863">
        <v>4</v>
      </c>
      <c r="J863">
        <v>7</v>
      </c>
      <c r="K863" t="s">
        <v>2508</v>
      </c>
      <c r="L863" t="s">
        <v>53</v>
      </c>
      <c r="M863" t="s">
        <v>23</v>
      </c>
      <c r="N863" t="s">
        <v>24</v>
      </c>
      <c r="O863" t="s">
        <v>2509</v>
      </c>
      <c r="P863" t="s">
        <v>2510</v>
      </c>
      <c r="Q863">
        <f t="shared" si="234"/>
        <v>1</v>
      </c>
      <c r="R863">
        <f t="shared" si="235"/>
        <v>3</v>
      </c>
      <c r="S863">
        <f t="shared" si="236"/>
        <v>4</v>
      </c>
      <c r="T863">
        <f t="shared" si="237"/>
        <v>2</v>
      </c>
      <c r="U863">
        <v>150000000</v>
      </c>
      <c r="V863">
        <f t="shared" si="238"/>
        <v>0</v>
      </c>
      <c r="W863">
        <f t="shared" si="239"/>
        <v>0</v>
      </c>
      <c r="X863">
        <f t="shared" si="240"/>
        <v>1</v>
      </c>
      <c r="Y863">
        <f t="shared" si="241"/>
        <v>0</v>
      </c>
      <c r="Z863">
        <f t="shared" si="242"/>
        <v>0</v>
      </c>
      <c r="AA863">
        <f t="shared" si="243"/>
        <v>1</v>
      </c>
      <c r="AB863">
        <f t="shared" si="244"/>
        <v>0</v>
      </c>
      <c r="AC863">
        <f t="shared" si="245"/>
        <v>0</v>
      </c>
      <c r="AD863">
        <f t="shared" si="246"/>
        <v>0</v>
      </c>
      <c r="AE863">
        <f t="shared" si="247"/>
        <v>0</v>
      </c>
      <c r="AF863">
        <f t="shared" si="248"/>
        <v>0</v>
      </c>
      <c r="AG863">
        <f t="shared" si="249"/>
        <v>0</v>
      </c>
      <c r="AH863">
        <f t="shared" si="250"/>
        <v>1</v>
      </c>
      <c r="AI863">
        <f t="shared" si="251"/>
        <v>0</v>
      </c>
    </row>
    <row r="864" spans="1:35" x14ac:dyDescent="0.2">
      <c r="A864">
        <v>421</v>
      </c>
      <c r="B864" t="s">
        <v>16</v>
      </c>
      <c r="C864">
        <v>7</v>
      </c>
      <c r="D864" t="s">
        <v>2511</v>
      </c>
      <c r="E864" t="s">
        <v>39</v>
      </c>
      <c r="F864" t="s">
        <v>20</v>
      </c>
      <c r="G864" t="s">
        <v>19</v>
      </c>
      <c r="H864" t="s">
        <v>18</v>
      </c>
      <c r="I864">
        <v>5</v>
      </c>
      <c r="J864">
        <v>11</v>
      </c>
      <c r="K864">
        <v>20000</v>
      </c>
      <c r="L864" t="s">
        <v>714</v>
      </c>
      <c r="M864" t="s">
        <v>48</v>
      </c>
      <c r="N864" t="s">
        <v>147</v>
      </c>
      <c r="O864" t="s">
        <v>2512</v>
      </c>
      <c r="P864" t="s">
        <v>2513</v>
      </c>
      <c r="Q864">
        <f t="shared" si="234"/>
        <v>5</v>
      </c>
      <c r="R864">
        <f t="shared" si="235"/>
        <v>2</v>
      </c>
      <c r="S864">
        <f t="shared" si="236"/>
        <v>3</v>
      </c>
      <c r="T864">
        <f t="shared" si="237"/>
        <v>4</v>
      </c>
      <c r="U864">
        <v>20000</v>
      </c>
      <c r="V864">
        <f t="shared" si="238"/>
        <v>0</v>
      </c>
      <c r="W864">
        <f t="shared" si="239"/>
        <v>0</v>
      </c>
      <c r="X864">
        <f t="shared" si="240"/>
        <v>1</v>
      </c>
      <c r="Y864">
        <f t="shared" si="241"/>
        <v>1</v>
      </c>
      <c r="Z864">
        <f t="shared" si="242"/>
        <v>1</v>
      </c>
      <c r="AA864">
        <f t="shared" si="243"/>
        <v>1</v>
      </c>
      <c r="AB864">
        <f t="shared" si="244"/>
        <v>1</v>
      </c>
      <c r="AC864">
        <f t="shared" si="245"/>
        <v>1</v>
      </c>
      <c r="AD864">
        <f t="shared" si="246"/>
        <v>0</v>
      </c>
      <c r="AE864">
        <f t="shared" si="247"/>
        <v>0</v>
      </c>
      <c r="AF864">
        <f t="shared" si="248"/>
        <v>0</v>
      </c>
      <c r="AG864">
        <f t="shared" si="249"/>
        <v>0</v>
      </c>
      <c r="AH864">
        <f t="shared" si="250"/>
        <v>1</v>
      </c>
      <c r="AI864">
        <f t="shared" si="251"/>
        <v>1</v>
      </c>
    </row>
    <row r="865" spans="1:35" x14ac:dyDescent="0.2">
      <c r="A865">
        <v>422</v>
      </c>
      <c r="B865" t="s">
        <v>16</v>
      </c>
      <c r="C865">
        <v>7</v>
      </c>
      <c r="D865" t="s">
        <v>2514</v>
      </c>
      <c r="E865" t="s">
        <v>39</v>
      </c>
      <c r="F865" t="s">
        <v>19</v>
      </c>
      <c r="G865" t="s">
        <v>18</v>
      </c>
      <c r="H865" t="s">
        <v>39</v>
      </c>
      <c r="I865">
        <v>5</v>
      </c>
      <c r="J865">
        <v>5</v>
      </c>
      <c r="K865">
        <v>20</v>
      </c>
      <c r="L865" t="s">
        <v>66</v>
      </c>
      <c r="M865" t="s">
        <v>135</v>
      </c>
      <c r="N865" t="s">
        <v>24</v>
      </c>
      <c r="O865" t="s">
        <v>2515</v>
      </c>
      <c r="P865" t="s">
        <v>2516</v>
      </c>
      <c r="Q865">
        <f t="shared" si="234"/>
        <v>5</v>
      </c>
      <c r="R865">
        <f t="shared" si="235"/>
        <v>3</v>
      </c>
      <c r="S865">
        <f t="shared" si="236"/>
        <v>4</v>
      </c>
      <c r="T865">
        <f t="shared" si="237"/>
        <v>5</v>
      </c>
      <c r="U865">
        <v>20</v>
      </c>
      <c r="V865">
        <f t="shared" si="238"/>
        <v>0</v>
      </c>
      <c r="W865">
        <f t="shared" si="239"/>
        <v>1</v>
      </c>
      <c r="X865">
        <f t="shared" si="240"/>
        <v>1</v>
      </c>
      <c r="Y865">
        <f t="shared" si="241"/>
        <v>0</v>
      </c>
      <c r="Z865">
        <f t="shared" si="242"/>
        <v>0</v>
      </c>
      <c r="AA865">
        <f t="shared" si="243"/>
        <v>1</v>
      </c>
      <c r="AB865">
        <f t="shared" si="244"/>
        <v>1</v>
      </c>
      <c r="AC865">
        <f t="shared" si="245"/>
        <v>0</v>
      </c>
      <c r="AD865">
        <f t="shared" si="246"/>
        <v>0</v>
      </c>
      <c r="AE865">
        <f t="shared" si="247"/>
        <v>0</v>
      </c>
      <c r="AF865">
        <f t="shared" si="248"/>
        <v>0</v>
      </c>
      <c r="AG865">
        <f t="shared" si="249"/>
        <v>0</v>
      </c>
      <c r="AH865">
        <f t="shared" si="250"/>
        <v>1</v>
      </c>
      <c r="AI865">
        <f t="shared" si="251"/>
        <v>0</v>
      </c>
    </row>
    <row r="866" spans="1:35" x14ac:dyDescent="0.2">
      <c r="A866">
        <v>423</v>
      </c>
      <c r="B866" t="s">
        <v>16</v>
      </c>
      <c r="C866">
        <v>5</v>
      </c>
      <c r="D866" t="s">
        <v>2517</v>
      </c>
      <c r="E866" t="s">
        <v>19</v>
      </c>
      <c r="F866" t="s">
        <v>20</v>
      </c>
      <c r="G866" t="s">
        <v>39</v>
      </c>
      <c r="H866" t="s">
        <v>19</v>
      </c>
      <c r="I866">
        <v>2</v>
      </c>
      <c r="J866">
        <v>2</v>
      </c>
      <c r="K866">
        <v>20</v>
      </c>
      <c r="L866" t="s">
        <v>34</v>
      </c>
      <c r="M866" t="s">
        <v>99</v>
      </c>
      <c r="N866" t="s">
        <v>24</v>
      </c>
      <c r="O866" t="s">
        <v>2518</v>
      </c>
      <c r="P866" t="s">
        <v>2519</v>
      </c>
      <c r="Q866">
        <f t="shared" si="234"/>
        <v>3</v>
      </c>
      <c r="R866">
        <f t="shared" si="235"/>
        <v>2</v>
      </c>
      <c r="S866">
        <f t="shared" si="236"/>
        <v>5</v>
      </c>
      <c r="T866">
        <f t="shared" si="237"/>
        <v>3</v>
      </c>
      <c r="U866">
        <v>20</v>
      </c>
      <c r="V866">
        <f t="shared" si="238"/>
        <v>1</v>
      </c>
      <c r="W866">
        <f t="shared" si="239"/>
        <v>0</v>
      </c>
      <c r="X866">
        <f t="shared" si="240"/>
        <v>0</v>
      </c>
      <c r="Y866">
        <f t="shared" si="241"/>
        <v>1</v>
      </c>
      <c r="Z866">
        <f t="shared" si="242"/>
        <v>0</v>
      </c>
      <c r="AA866">
        <f t="shared" si="243"/>
        <v>1</v>
      </c>
      <c r="AB866">
        <f t="shared" si="244"/>
        <v>0</v>
      </c>
      <c r="AC866">
        <f t="shared" si="245"/>
        <v>0</v>
      </c>
      <c r="AD866">
        <f t="shared" si="246"/>
        <v>0</v>
      </c>
      <c r="AE866">
        <f t="shared" si="247"/>
        <v>1</v>
      </c>
      <c r="AF866">
        <f t="shared" si="248"/>
        <v>0</v>
      </c>
      <c r="AG866">
        <f t="shared" si="249"/>
        <v>0</v>
      </c>
      <c r="AH866">
        <f t="shared" si="250"/>
        <v>1</v>
      </c>
      <c r="AI866">
        <f t="shared" si="251"/>
        <v>0</v>
      </c>
    </row>
    <row r="867" spans="1:35" x14ac:dyDescent="0.2">
      <c r="A867">
        <v>424</v>
      </c>
      <c r="B867" t="s">
        <v>16</v>
      </c>
      <c r="C867">
        <v>8</v>
      </c>
      <c r="D867" t="s">
        <v>2520</v>
      </c>
      <c r="E867" t="s">
        <v>39</v>
      </c>
      <c r="F867" t="s">
        <v>20</v>
      </c>
      <c r="G867" t="s">
        <v>18</v>
      </c>
      <c r="H867" t="s">
        <v>18</v>
      </c>
      <c r="I867">
        <v>3</v>
      </c>
      <c r="J867">
        <v>3</v>
      </c>
      <c r="K867">
        <v>100</v>
      </c>
      <c r="L867" t="s">
        <v>28</v>
      </c>
      <c r="M867" t="s">
        <v>154</v>
      </c>
      <c r="N867" t="s">
        <v>24</v>
      </c>
      <c r="O867" t="s">
        <v>2521</v>
      </c>
      <c r="P867" t="s">
        <v>2522</v>
      </c>
      <c r="Q867">
        <f t="shared" si="234"/>
        <v>5</v>
      </c>
      <c r="R867">
        <f t="shared" si="235"/>
        <v>2</v>
      </c>
      <c r="S867">
        <f t="shared" si="236"/>
        <v>4</v>
      </c>
      <c r="T867">
        <f t="shared" si="237"/>
        <v>4</v>
      </c>
      <c r="U867">
        <v>100</v>
      </c>
      <c r="V867">
        <f t="shared" si="238"/>
        <v>1</v>
      </c>
      <c r="W867">
        <f t="shared" si="239"/>
        <v>1</v>
      </c>
      <c r="X867">
        <f t="shared" si="240"/>
        <v>0</v>
      </c>
      <c r="Y867">
        <f t="shared" si="241"/>
        <v>0</v>
      </c>
      <c r="Z867">
        <f t="shared" si="242"/>
        <v>0</v>
      </c>
      <c r="AA867">
        <f t="shared" si="243"/>
        <v>1</v>
      </c>
      <c r="AB867">
        <f t="shared" si="244"/>
        <v>0</v>
      </c>
      <c r="AC867">
        <f t="shared" si="245"/>
        <v>1</v>
      </c>
      <c r="AD867">
        <f t="shared" si="246"/>
        <v>0</v>
      </c>
      <c r="AE867">
        <f t="shared" si="247"/>
        <v>0</v>
      </c>
      <c r="AF867">
        <f t="shared" si="248"/>
        <v>0</v>
      </c>
      <c r="AG867">
        <f t="shared" si="249"/>
        <v>0</v>
      </c>
      <c r="AH867">
        <f t="shared" si="250"/>
        <v>1</v>
      </c>
      <c r="AI867">
        <f t="shared" si="251"/>
        <v>0</v>
      </c>
    </row>
    <row r="868" spans="1:35" x14ac:dyDescent="0.2">
      <c r="A868">
        <v>425</v>
      </c>
      <c r="B868" t="s">
        <v>16</v>
      </c>
      <c r="C868">
        <v>5</v>
      </c>
      <c r="D868" t="s">
        <v>2523</v>
      </c>
      <c r="E868" t="s">
        <v>18</v>
      </c>
      <c r="F868" t="s">
        <v>21</v>
      </c>
      <c r="G868" t="s">
        <v>18</v>
      </c>
      <c r="H868" t="s">
        <v>20</v>
      </c>
      <c r="I868">
        <v>3</v>
      </c>
      <c r="J868">
        <v>6</v>
      </c>
      <c r="K868">
        <v>50</v>
      </c>
      <c r="L868" t="s">
        <v>41</v>
      </c>
      <c r="M868" t="s">
        <v>23</v>
      </c>
      <c r="N868" t="s">
        <v>24</v>
      </c>
      <c r="O868" t="s">
        <v>2524</v>
      </c>
      <c r="P868" t="s">
        <v>2525</v>
      </c>
      <c r="Q868">
        <f t="shared" si="234"/>
        <v>4</v>
      </c>
      <c r="R868">
        <f t="shared" si="235"/>
        <v>1</v>
      </c>
      <c r="S868">
        <f t="shared" si="236"/>
        <v>4</v>
      </c>
      <c r="T868">
        <f t="shared" si="237"/>
        <v>2</v>
      </c>
      <c r="U868">
        <v>50</v>
      </c>
      <c r="V868">
        <f t="shared" si="238"/>
        <v>0</v>
      </c>
      <c r="W868">
        <f t="shared" si="239"/>
        <v>0</v>
      </c>
      <c r="X868">
        <f t="shared" si="240"/>
        <v>0</v>
      </c>
      <c r="Y868">
        <f t="shared" si="241"/>
        <v>0</v>
      </c>
      <c r="Z868">
        <f t="shared" si="242"/>
        <v>1</v>
      </c>
      <c r="AA868">
        <f t="shared" si="243"/>
        <v>1</v>
      </c>
      <c r="AB868">
        <f t="shared" si="244"/>
        <v>0</v>
      </c>
      <c r="AC868">
        <f t="shared" si="245"/>
        <v>0</v>
      </c>
      <c r="AD868">
        <f t="shared" si="246"/>
        <v>0</v>
      </c>
      <c r="AE868">
        <f t="shared" si="247"/>
        <v>0</v>
      </c>
      <c r="AF868">
        <f t="shared" si="248"/>
        <v>0</v>
      </c>
      <c r="AG868">
        <f t="shared" si="249"/>
        <v>0</v>
      </c>
      <c r="AH868">
        <f t="shared" si="250"/>
        <v>1</v>
      </c>
      <c r="AI868">
        <f t="shared" si="251"/>
        <v>0</v>
      </c>
    </row>
    <row r="869" spans="1:35" x14ac:dyDescent="0.2">
      <c r="A869">
        <v>426</v>
      </c>
      <c r="B869" t="s">
        <v>16</v>
      </c>
      <c r="C869">
        <v>7</v>
      </c>
      <c r="D869" t="s">
        <v>2526</v>
      </c>
      <c r="E869" t="s">
        <v>18</v>
      </c>
      <c r="F869" t="s">
        <v>20</v>
      </c>
      <c r="G869" t="s">
        <v>18</v>
      </c>
      <c r="H869" t="s">
        <v>19</v>
      </c>
      <c r="I869">
        <v>5</v>
      </c>
      <c r="J869">
        <v>7</v>
      </c>
      <c r="K869" s="1">
        <v>4</v>
      </c>
      <c r="L869" t="s">
        <v>22</v>
      </c>
      <c r="M869" t="s">
        <v>219</v>
      </c>
      <c r="N869" t="s">
        <v>24</v>
      </c>
      <c r="O869" t="s">
        <v>60</v>
      </c>
      <c r="P869" t="s">
        <v>2527</v>
      </c>
      <c r="Q869">
        <f t="shared" si="234"/>
        <v>4</v>
      </c>
      <c r="R869">
        <f t="shared" si="235"/>
        <v>2</v>
      </c>
      <c r="S869">
        <f t="shared" si="236"/>
        <v>4</v>
      </c>
      <c r="T869">
        <f t="shared" si="237"/>
        <v>3</v>
      </c>
      <c r="U869">
        <v>4</v>
      </c>
      <c r="V869">
        <f t="shared" si="238"/>
        <v>1</v>
      </c>
      <c r="W869">
        <f t="shared" si="239"/>
        <v>0</v>
      </c>
      <c r="X869">
        <f t="shared" si="240"/>
        <v>0</v>
      </c>
      <c r="Y869">
        <f t="shared" si="241"/>
        <v>0</v>
      </c>
      <c r="Z869">
        <f t="shared" si="242"/>
        <v>0</v>
      </c>
      <c r="AA869">
        <f t="shared" si="243"/>
        <v>0</v>
      </c>
      <c r="AB869">
        <f t="shared" si="244"/>
        <v>0</v>
      </c>
      <c r="AC869">
        <f t="shared" si="245"/>
        <v>0</v>
      </c>
      <c r="AD869">
        <f t="shared" si="246"/>
        <v>0</v>
      </c>
      <c r="AE869">
        <f t="shared" si="247"/>
        <v>1</v>
      </c>
      <c r="AF869">
        <f t="shared" si="248"/>
        <v>0</v>
      </c>
      <c r="AG869">
        <f t="shared" si="249"/>
        <v>0</v>
      </c>
      <c r="AH869">
        <f t="shared" si="250"/>
        <v>1</v>
      </c>
      <c r="AI869">
        <f t="shared" si="251"/>
        <v>0</v>
      </c>
    </row>
    <row r="870" spans="1:35" x14ac:dyDescent="0.2">
      <c r="A870">
        <v>427</v>
      </c>
      <c r="B870" t="s">
        <v>16</v>
      </c>
      <c r="C870">
        <v>7</v>
      </c>
      <c r="D870" t="s">
        <v>2528</v>
      </c>
      <c r="E870" t="s">
        <v>18</v>
      </c>
      <c r="F870" t="s">
        <v>21</v>
      </c>
      <c r="G870" t="s">
        <v>19</v>
      </c>
      <c r="H870" t="s">
        <v>19</v>
      </c>
      <c r="I870">
        <v>4</v>
      </c>
      <c r="J870">
        <v>4</v>
      </c>
      <c r="K870" s="1">
        <v>30</v>
      </c>
      <c r="L870" t="s">
        <v>53</v>
      </c>
      <c r="M870" t="s">
        <v>23</v>
      </c>
      <c r="N870" t="s">
        <v>847</v>
      </c>
      <c r="O870" t="s">
        <v>623</v>
      </c>
      <c r="P870" t="s">
        <v>2529</v>
      </c>
      <c r="Q870">
        <f t="shared" si="234"/>
        <v>4</v>
      </c>
      <c r="R870">
        <f t="shared" si="235"/>
        <v>1</v>
      </c>
      <c r="S870">
        <f t="shared" si="236"/>
        <v>3</v>
      </c>
      <c r="T870">
        <f t="shared" si="237"/>
        <v>3</v>
      </c>
      <c r="U870">
        <v>30</v>
      </c>
      <c r="V870">
        <f t="shared" si="238"/>
        <v>0</v>
      </c>
      <c r="W870">
        <f t="shared" si="239"/>
        <v>0</v>
      </c>
      <c r="X870">
        <f t="shared" si="240"/>
        <v>1</v>
      </c>
      <c r="Y870">
        <f t="shared" si="241"/>
        <v>0</v>
      </c>
      <c r="Z870">
        <f t="shared" si="242"/>
        <v>0</v>
      </c>
      <c r="AA870">
        <f t="shared" si="243"/>
        <v>1</v>
      </c>
      <c r="AB870">
        <f t="shared" si="244"/>
        <v>0</v>
      </c>
      <c r="AC870">
        <f t="shared" si="245"/>
        <v>0</v>
      </c>
      <c r="AD870">
        <f t="shared" si="246"/>
        <v>0</v>
      </c>
      <c r="AE870">
        <f t="shared" si="247"/>
        <v>0</v>
      </c>
      <c r="AF870">
        <f t="shared" si="248"/>
        <v>1</v>
      </c>
      <c r="AG870">
        <f t="shared" si="249"/>
        <v>0</v>
      </c>
      <c r="AH870">
        <f t="shared" si="250"/>
        <v>0</v>
      </c>
      <c r="AI870">
        <f t="shared" si="251"/>
        <v>1</v>
      </c>
    </row>
    <row r="871" spans="1:35" x14ac:dyDescent="0.2">
      <c r="A871">
        <v>428</v>
      </c>
      <c r="B871" t="s">
        <v>16</v>
      </c>
      <c r="C871">
        <v>8</v>
      </c>
      <c r="D871" t="s">
        <v>2530</v>
      </c>
      <c r="E871" t="s">
        <v>18</v>
      </c>
      <c r="F871" t="s">
        <v>19</v>
      </c>
      <c r="G871" t="s">
        <v>18</v>
      </c>
      <c r="H871" t="s">
        <v>20</v>
      </c>
      <c r="I871">
        <v>5</v>
      </c>
      <c r="J871">
        <v>4</v>
      </c>
      <c r="K871">
        <v>500</v>
      </c>
      <c r="L871" t="s">
        <v>305</v>
      </c>
      <c r="M871" t="s">
        <v>135</v>
      </c>
      <c r="N871" t="s">
        <v>147</v>
      </c>
      <c r="O871" t="s">
        <v>1146</v>
      </c>
      <c r="P871" t="s">
        <v>2531</v>
      </c>
      <c r="Q871">
        <f t="shared" si="234"/>
        <v>4</v>
      </c>
      <c r="R871">
        <f t="shared" si="235"/>
        <v>3</v>
      </c>
      <c r="S871">
        <f t="shared" si="236"/>
        <v>4</v>
      </c>
      <c r="T871">
        <f t="shared" si="237"/>
        <v>2</v>
      </c>
      <c r="U871">
        <v>500</v>
      </c>
      <c r="V871">
        <f t="shared" si="238"/>
        <v>1</v>
      </c>
      <c r="W871">
        <f t="shared" si="239"/>
        <v>1</v>
      </c>
      <c r="X871">
        <f t="shared" si="240"/>
        <v>1</v>
      </c>
      <c r="Y871">
        <f t="shared" si="241"/>
        <v>0</v>
      </c>
      <c r="Z871">
        <f t="shared" si="242"/>
        <v>1</v>
      </c>
      <c r="AA871">
        <f t="shared" si="243"/>
        <v>1</v>
      </c>
      <c r="AB871">
        <f t="shared" si="244"/>
        <v>1</v>
      </c>
      <c r="AC871">
        <f t="shared" si="245"/>
        <v>0</v>
      </c>
      <c r="AD871">
        <f t="shared" si="246"/>
        <v>0</v>
      </c>
      <c r="AE871">
        <f t="shared" si="247"/>
        <v>0</v>
      </c>
      <c r="AF871">
        <f t="shared" si="248"/>
        <v>0</v>
      </c>
      <c r="AG871">
        <f t="shared" si="249"/>
        <v>0</v>
      </c>
      <c r="AH871">
        <f t="shared" si="250"/>
        <v>1</v>
      </c>
      <c r="AI871">
        <f t="shared" si="251"/>
        <v>1</v>
      </c>
    </row>
    <row r="872" spans="1:35" x14ac:dyDescent="0.2">
      <c r="A872">
        <v>429</v>
      </c>
      <c r="B872" t="s">
        <v>16</v>
      </c>
      <c r="C872">
        <v>0</v>
      </c>
      <c r="D872" t="s">
        <v>2532</v>
      </c>
      <c r="E872" t="s">
        <v>18</v>
      </c>
      <c r="F872" t="s">
        <v>20</v>
      </c>
      <c r="G872" t="s">
        <v>18</v>
      </c>
      <c r="H872" t="s">
        <v>19</v>
      </c>
      <c r="I872">
        <v>5</v>
      </c>
      <c r="J872">
        <v>7</v>
      </c>
      <c r="K872">
        <v>40</v>
      </c>
      <c r="L872" t="s">
        <v>435</v>
      </c>
      <c r="M872" t="s">
        <v>23</v>
      </c>
      <c r="N872" t="s">
        <v>84</v>
      </c>
      <c r="O872" t="s">
        <v>1143</v>
      </c>
      <c r="P872" t="s">
        <v>2533</v>
      </c>
      <c r="Q872">
        <f t="shared" si="234"/>
        <v>4</v>
      </c>
      <c r="R872">
        <f t="shared" si="235"/>
        <v>2</v>
      </c>
      <c r="S872">
        <f t="shared" si="236"/>
        <v>4</v>
      </c>
      <c r="T872">
        <f t="shared" si="237"/>
        <v>3</v>
      </c>
      <c r="U872">
        <v>40</v>
      </c>
      <c r="V872">
        <f t="shared" si="238"/>
        <v>1</v>
      </c>
      <c r="W872">
        <f t="shared" si="239"/>
        <v>0</v>
      </c>
      <c r="X872">
        <f t="shared" si="240"/>
        <v>0</v>
      </c>
      <c r="Y872">
        <f t="shared" si="241"/>
        <v>0</v>
      </c>
      <c r="Z872">
        <f t="shared" si="242"/>
        <v>1</v>
      </c>
      <c r="AA872">
        <f t="shared" si="243"/>
        <v>1</v>
      </c>
      <c r="AB872">
        <f t="shared" si="244"/>
        <v>0</v>
      </c>
      <c r="AC872">
        <f t="shared" si="245"/>
        <v>0</v>
      </c>
      <c r="AD872">
        <f t="shared" si="246"/>
        <v>0</v>
      </c>
      <c r="AE872">
        <f t="shared" si="247"/>
        <v>0</v>
      </c>
      <c r="AF872">
        <f t="shared" si="248"/>
        <v>0</v>
      </c>
      <c r="AG872">
        <f t="shared" si="249"/>
        <v>1</v>
      </c>
      <c r="AH872">
        <f t="shared" si="250"/>
        <v>0</v>
      </c>
      <c r="AI872">
        <f t="shared" si="251"/>
        <v>0</v>
      </c>
    </row>
    <row r="873" spans="1:35" x14ac:dyDescent="0.2">
      <c r="A873">
        <v>430</v>
      </c>
      <c r="B873" t="s">
        <v>16</v>
      </c>
      <c r="C873">
        <v>2</v>
      </c>
      <c r="D873" t="s">
        <v>2534</v>
      </c>
      <c r="E873" t="s">
        <v>20</v>
      </c>
      <c r="F873" t="s">
        <v>20</v>
      </c>
      <c r="G873" t="s">
        <v>20</v>
      </c>
      <c r="H873" t="s">
        <v>18</v>
      </c>
      <c r="I873">
        <v>9</v>
      </c>
      <c r="J873">
        <v>9</v>
      </c>
      <c r="K873" t="s">
        <v>2535</v>
      </c>
      <c r="L873" t="s">
        <v>128</v>
      </c>
      <c r="M873" t="s">
        <v>179</v>
      </c>
      <c r="N873" t="s">
        <v>49</v>
      </c>
      <c r="O873" t="s">
        <v>2536</v>
      </c>
      <c r="P873" t="s">
        <v>2537</v>
      </c>
      <c r="Q873">
        <f t="shared" si="234"/>
        <v>2</v>
      </c>
      <c r="R873">
        <f t="shared" si="235"/>
        <v>2</v>
      </c>
      <c r="S873">
        <f t="shared" si="236"/>
        <v>2</v>
      </c>
      <c r="T873">
        <f t="shared" si="237"/>
        <v>4</v>
      </c>
      <c r="U873">
        <v>0</v>
      </c>
      <c r="V873">
        <f t="shared" si="238"/>
        <v>1</v>
      </c>
      <c r="W873">
        <f t="shared" si="239"/>
        <v>0</v>
      </c>
      <c r="X873">
        <f t="shared" si="240"/>
        <v>1</v>
      </c>
      <c r="Y873">
        <f t="shared" si="241"/>
        <v>0</v>
      </c>
      <c r="Z873">
        <f t="shared" si="242"/>
        <v>0</v>
      </c>
      <c r="AA873">
        <f t="shared" si="243"/>
        <v>0</v>
      </c>
      <c r="AB873">
        <f t="shared" si="244"/>
        <v>0</v>
      </c>
      <c r="AC873">
        <f t="shared" si="245"/>
        <v>0</v>
      </c>
      <c r="AD873">
        <f t="shared" si="246"/>
        <v>1</v>
      </c>
      <c r="AE873">
        <f t="shared" si="247"/>
        <v>1</v>
      </c>
      <c r="AF873">
        <f t="shared" si="248"/>
        <v>0</v>
      </c>
      <c r="AG873">
        <f t="shared" si="249"/>
        <v>1</v>
      </c>
      <c r="AH873">
        <f t="shared" si="250"/>
        <v>1</v>
      </c>
      <c r="AI873">
        <f t="shared" si="251"/>
        <v>0</v>
      </c>
    </row>
    <row r="874" spans="1:35" x14ac:dyDescent="0.2">
      <c r="A874">
        <v>431</v>
      </c>
      <c r="B874" t="s">
        <v>16</v>
      </c>
      <c r="C874">
        <v>6</v>
      </c>
      <c r="D874" t="s">
        <v>2538</v>
      </c>
      <c r="E874" t="s">
        <v>18</v>
      </c>
      <c r="F874" t="s">
        <v>21</v>
      </c>
      <c r="G874" t="s">
        <v>20</v>
      </c>
      <c r="H874" t="s">
        <v>20</v>
      </c>
      <c r="I874">
        <v>7</v>
      </c>
      <c r="J874">
        <v>5</v>
      </c>
      <c r="K874">
        <v>50</v>
      </c>
      <c r="L874" t="s">
        <v>22</v>
      </c>
      <c r="M874" t="s">
        <v>23</v>
      </c>
      <c r="N874" t="s">
        <v>49</v>
      </c>
      <c r="O874" t="s">
        <v>2539</v>
      </c>
      <c r="P874" t="s">
        <v>2540</v>
      </c>
      <c r="Q874">
        <f t="shared" si="234"/>
        <v>4</v>
      </c>
      <c r="R874">
        <f t="shared" si="235"/>
        <v>1</v>
      </c>
      <c r="S874">
        <f t="shared" si="236"/>
        <v>2</v>
      </c>
      <c r="T874">
        <f t="shared" si="237"/>
        <v>2</v>
      </c>
      <c r="U874">
        <v>50</v>
      </c>
      <c r="V874">
        <f t="shared" si="238"/>
        <v>1</v>
      </c>
      <c r="W874">
        <f t="shared" si="239"/>
        <v>0</v>
      </c>
      <c r="X874">
        <f t="shared" si="240"/>
        <v>0</v>
      </c>
      <c r="Y874">
        <f t="shared" si="241"/>
        <v>0</v>
      </c>
      <c r="Z874">
        <f t="shared" si="242"/>
        <v>0</v>
      </c>
      <c r="AA874">
        <f t="shared" si="243"/>
        <v>1</v>
      </c>
      <c r="AB874">
        <f t="shared" si="244"/>
        <v>0</v>
      </c>
      <c r="AC874">
        <f t="shared" si="245"/>
        <v>0</v>
      </c>
      <c r="AD874">
        <f t="shared" si="246"/>
        <v>0</v>
      </c>
      <c r="AE874">
        <f t="shared" si="247"/>
        <v>0</v>
      </c>
      <c r="AF874">
        <f t="shared" si="248"/>
        <v>0</v>
      </c>
      <c r="AG874">
        <f t="shared" si="249"/>
        <v>1</v>
      </c>
      <c r="AH874">
        <f t="shared" si="250"/>
        <v>1</v>
      </c>
      <c r="AI874">
        <f t="shared" si="251"/>
        <v>0</v>
      </c>
    </row>
    <row r="875" spans="1:35" x14ac:dyDescent="0.2">
      <c r="A875">
        <v>432</v>
      </c>
      <c r="B875" t="s">
        <v>16</v>
      </c>
      <c r="C875">
        <v>8</v>
      </c>
      <c r="D875" t="s">
        <v>2541</v>
      </c>
      <c r="E875" t="s">
        <v>39</v>
      </c>
      <c r="F875" t="s">
        <v>20</v>
      </c>
      <c r="G875" t="s">
        <v>20</v>
      </c>
      <c r="H875" t="s">
        <v>19</v>
      </c>
      <c r="I875">
        <v>5</v>
      </c>
      <c r="J875">
        <v>4</v>
      </c>
      <c r="K875" s="1">
        <v>1000</v>
      </c>
      <c r="L875" t="s">
        <v>98</v>
      </c>
      <c r="M875" t="s">
        <v>123</v>
      </c>
      <c r="N875" t="s">
        <v>84</v>
      </c>
      <c r="O875" t="s">
        <v>2542</v>
      </c>
      <c r="P875" t="s">
        <v>2543</v>
      </c>
      <c r="Q875">
        <f t="shared" si="234"/>
        <v>5</v>
      </c>
      <c r="R875">
        <f t="shared" si="235"/>
        <v>2</v>
      </c>
      <c r="S875">
        <f t="shared" si="236"/>
        <v>2</v>
      </c>
      <c r="T875">
        <f t="shared" si="237"/>
        <v>3</v>
      </c>
      <c r="U875">
        <v>1000</v>
      </c>
      <c r="V875">
        <f t="shared" si="238"/>
        <v>0</v>
      </c>
      <c r="W875">
        <f t="shared" si="239"/>
        <v>1</v>
      </c>
      <c r="X875">
        <f t="shared" si="240"/>
        <v>0</v>
      </c>
      <c r="Y875">
        <f t="shared" si="241"/>
        <v>0</v>
      </c>
      <c r="Z875">
        <f t="shared" si="242"/>
        <v>0</v>
      </c>
      <c r="AA875">
        <f t="shared" si="243"/>
        <v>0</v>
      </c>
      <c r="AB875">
        <f t="shared" si="244"/>
        <v>1</v>
      </c>
      <c r="AC875">
        <f t="shared" si="245"/>
        <v>1</v>
      </c>
      <c r="AD875">
        <f t="shared" si="246"/>
        <v>0</v>
      </c>
      <c r="AE875">
        <f t="shared" si="247"/>
        <v>0</v>
      </c>
      <c r="AF875">
        <f t="shared" si="248"/>
        <v>0</v>
      </c>
      <c r="AG875">
        <f t="shared" si="249"/>
        <v>1</v>
      </c>
      <c r="AH875">
        <f t="shared" si="250"/>
        <v>0</v>
      </c>
      <c r="AI875">
        <f t="shared" si="251"/>
        <v>0</v>
      </c>
    </row>
    <row r="876" spans="1:35" x14ac:dyDescent="0.2">
      <c r="A876">
        <v>433</v>
      </c>
      <c r="B876" t="s">
        <v>16</v>
      </c>
      <c r="C876">
        <v>8</v>
      </c>
      <c r="D876" t="s">
        <v>2544</v>
      </c>
      <c r="E876" t="s">
        <v>18</v>
      </c>
      <c r="F876" t="s">
        <v>19</v>
      </c>
      <c r="G876" t="s">
        <v>18</v>
      </c>
      <c r="H876" t="s">
        <v>39</v>
      </c>
      <c r="I876">
        <v>7</v>
      </c>
      <c r="J876">
        <v>8</v>
      </c>
      <c r="K876" t="s">
        <v>2545</v>
      </c>
      <c r="L876" t="s">
        <v>47</v>
      </c>
      <c r="M876" t="s">
        <v>23</v>
      </c>
      <c r="N876" t="s">
        <v>84</v>
      </c>
      <c r="O876" t="s">
        <v>2546</v>
      </c>
      <c r="P876" t="s">
        <v>2547</v>
      </c>
      <c r="Q876">
        <f t="shared" si="234"/>
        <v>4</v>
      </c>
      <c r="R876">
        <f t="shared" si="235"/>
        <v>3</v>
      </c>
      <c r="S876">
        <f t="shared" si="236"/>
        <v>4</v>
      </c>
      <c r="T876">
        <f t="shared" si="237"/>
        <v>5</v>
      </c>
      <c r="U876">
        <v>30</v>
      </c>
      <c r="V876">
        <f t="shared" si="238"/>
        <v>0</v>
      </c>
      <c r="W876">
        <f t="shared" si="239"/>
        <v>0</v>
      </c>
      <c r="X876">
        <f t="shared" si="240"/>
        <v>1</v>
      </c>
      <c r="Y876">
        <f t="shared" si="241"/>
        <v>0</v>
      </c>
      <c r="Z876">
        <f t="shared" si="242"/>
        <v>1</v>
      </c>
      <c r="AA876">
        <f t="shared" si="243"/>
        <v>1</v>
      </c>
      <c r="AB876">
        <f t="shared" si="244"/>
        <v>0</v>
      </c>
      <c r="AC876">
        <f t="shared" si="245"/>
        <v>0</v>
      </c>
      <c r="AD876">
        <f t="shared" si="246"/>
        <v>0</v>
      </c>
      <c r="AE876">
        <f t="shared" si="247"/>
        <v>0</v>
      </c>
      <c r="AF876">
        <f t="shared" si="248"/>
        <v>0</v>
      </c>
      <c r="AG876">
        <f t="shared" si="249"/>
        <v>1</v>
      </c>
      <c r="AH876">
        <f t="shared" si="250"/>
        <v>0</v>
      </c>
      <c r="AI876">
        <f t="shared" si="251"/>
        <v>0</v>
      </c>
    </row>
    <row r="877" spans="1:35" x14ac:dyDescent="0.2">
      <c r="A877">
        <v>434</v>
      </c>
      <c r="B877" t="s">
        <v>16</v>
      </c>
      <c r="C877">
        <v>8</v>
      </c>
      <c r="D877" t="s">
        <v>2548</v>
      </c>
      <c r="E877" t="s">
        <v>20</v>
      </c>
      <c r="F877" t="s">
        <v>19</v>
      </c>
      <c r="G877" t="s">
        <v>20</v>
      </c>
      <c r="H877" t="s">
        <v>18</v>
      </c>
      <c r="I877">
        <v>3</v>
      </c>
      <c r="J877">
        <v>6</v>
      </c>
      <c r="K877" t="s">
        <v>2549</v>
      </c>
      <c r="L877" t="s">
        <v>53</v>
      </c>
      <c r="M877" t="s">
        <v>80</v>
      </c>
      <c r="N877" t="s">
        <v>84</v>
      </c>
      <c r="O877" t="s">
        <v>2550</v>
      </c>
      <c r="P877" t="s">
        <v>2551</v>
      </c>
      <c r="Q877">
        <f t="shared" si="234"/>
        <v>2</v>
      </c>
      <c r="R877">
        <f t="shared" si="235"/>
        <v>3</v>
      </c>
      <c r="S877">
        <f t="shared" si="236"/>
        <v>2</v>
      </c>
      <c r="T877">
        <f t="shared" si="237"/>
        <v>4</v>
      </c>
      <c r="U877">
        <v>10</v>
      </c>
      <c r="V877">
        <f t="shared" si="238"/>
        <v>0</v>
      </c>
      <c r="W877">
        <f t="shared" si="239"/>
        <v>0</v>
      </c>
      <c r="X877">
        <f t="shared" si="240"/>
        <v>1</v>
      </c>
      <c r="Y877">
        <f t="shared" si="241"/>
        <v>0</v>
      </c>
      <c r="Z877">
        <f t="shared" si="242"/>
        <v>0</v>
      </c>
      <c r="AA877">
        <f t="shared" si="243"/>
        <v>1</v>
      </c>
      <c r="AB877">
        <f t="shared" si="244"/>
        <v>1</v>
      </c>
      <c r="AC877">
        <f t="shared" si="245"/>
        <v>0</v>
      </c>
      <c r="AD877">
        <f t="shared" si="246"/>
        <v>0</v>
      </c>
      <c r="AE877">
        <f t="shared" si="247"/>
        <v>1</v>
      </c>
      <c r="AF877">
        <f t="shared" si="248"/>
        <v>0</v>
      </c>
      <c r="AG877">
        <f t="shared" si="249"/>
        <v>1</v>
      </c>
      <c r="AH877">
        <f t="shared" si="250"/>
        <v>0</v>
      </c>
      <c r="AI877">
        <f t="shared" si="251"/>
        <v>0</v>
      </c>
    </row>
    <row r="878" spans="1:35" x14ac:dyDescent="0.2">
      <c r="A878">
        <v>435</v>
      </c>
      <c r="B878" t="s">
        <v>16</v>
      </c>
      <c r="C878">
        <v>4</v>
      </c>
      <c r="D878" t="s">
        <v>2552</v>
      </c>
      <c r="E878" t="s">
        <v>18</v>
      </c>
      <c r="F878" t="s">
        <v>20</v>
      </c>
      <c r="G878" t="s">
        <v>20</v>
      </c>
      <c r="H878" t="s">
        <v>18</v>
      </c>
      <c r="I878">
        <v>3</v>
      </c>
      <c r="J878">
        <v>5</v>
      </c>
      <c r="K878">
        <v>0</v>
      </c>
      <c r="L878" t="s">
        <v>53</v>
      </c>
      <c r="M878" t="s">
        <v>42</v>
      </c>
      <c r="N878" t="s">
        <v>24</v>
      </c>
      <c r="O878" t="s">
        <v>2192</v>
      </c>
      <c r="P878" t="s">
        <v>2553</v>
      </c>
      <c r="Q878">
        <f t="shared" si="234"/>
        <v>4</v>
      </c>
      <c r="R878">
        <f t="shared" si="235"/>
        <v>2</v>
      </c>
      <c r="S878">
        <f t="shared" si="236"/>
        <v>2</v>
      </c>
      <c r="T878">
        <f t="shared" si="237"/>
        <v>4</v>
      </c>
      <c r="U878">
        <v>0</v>
      </c>
      <c r="V878">
        <f t="shared" si="238"/>
        <v>0</v>
      </c>
      <c r="W878">
        <f t="shared" si="239"/>
        <v>0</v>
      </c>
      <c r="X878">
        <f t="shared" si="240"/>
        <v>1</v>
      </c>
      <c r="Y878">
        <f t="shared" si="241"/>
        <v>0</v>
      </c>
      <c r="Z878">
        <f t="shared" si="242"/>
        <v>0</v>
      </c>
      <c r="AA878">
        <f t="shared" si="243"/>
        <v>0</v>
      </c>
      <c r="AB878">
        <f t="shared" si="244"/>
        <v>1</v>
      </c>
      <c r="AC878">
        <f t="shared" si="245"/>
        <v>0</v>
      </c>
      <c r="AD878">
        <f t="shared" si="246"/>
        <v>0</v>
      </c>
      <c r="AE878">
        <f t="shared" si="247"/>
        <v>0</v>
      </c>
      <c r="AF878">
        <f t="shared" si="248"/>
        <v>0</v>
      </c>
      <c r="AG878">
        <f t="shared" si="249"/>
        <v>0</v>
      </c>
      <c r="AH878">
        <f t="shared" si="250"/>
        <v>1</v>
      </c>
      <c r="AI878">
        <f t="shared" si="251"/>
        <v>0</v>
      </c>
    </row>
    <row r="879" spans="1:35" x14ac:dyDescent="0.2">
      <c r="A879">
        <v>436</v>
      </c>
      <c r="B879" t="s">
        <v>16</v>
      </c>
      <c r="C879">
        <v>7</v>
      </c>
      <c r="D879" t="s">
        <v>2554</v>
      </c>
      <c r="E879" t="s">
        <v>39</v>
      </c>
      <c r="F879" t="s">
        <v>21</v>
      </c>
      <c r="G879" t="s">
        <v>19</v>
      </c>
      <c r="H879" t="s">
        <v>18</v>
      </c>
      <c r="I879">
        <v>3</v>
      </c>
      <c r="J879">
        <v>3</v>
      </c>
      <c r="K879" t="s">
        <v>2376</v>
      </c>
      <c r="L879" t="s">
        <v>22</v>
      </c>
      <c r="M879" t="s">
        <v>23</v>
      </c>
      <c r="N879" t="s">
        <v>147</v>
      </c>
      <c r="O879" t="s">
        <v>2555</v>
      </c>
      <c r="P879" t="s">
        <v>2556</v>
      </c>
      <c r="Q879">
        <f t="shared" si="234"/>
        <v>5</v>
      </c>
      <c r="R879">
        <f t="shared" si="235"/>
        <v>1</v>
      </c>
      <c r="S879">
        <f t="shared" si="236"/>
        <v>3</v>
      </c>
      <c r="T879">
        <f t="shared" si="237"/>
        <v>4</v>
      </c>
      <c r="U879">
        <v>100</v>
      </c>
      <c r="V879">
        <f t="shared" si="238"/>
        <v>1</v>
      </c>
      <c r="W879">
        <f t="shared" si="239"/>
        <v>0</v>
      </c>
      <c r="X879">
        <f t="shared" si="240"/>
        <v>0</v>
      </c>
      <c r="Y879">
        <f t="shared" si="241"/>
        <v>0</v>
      </c>
      <c r="Z879">
        <f t="shared" si="242"/>
        <v>0</v>
      </c>
      <c r="AA879">
        <f t="shared" si="243"/>
        <v>1</v>
      </c>
      <c r="AB879">
        <f t="shared" si="244"/>
        <v>0</v>
      </c>
      <c r="AC879">
        <f t="shared" si="245"/>
        <v>0</v>
      </c>
      <c r="AD879">
        <f t="shared" si="246"/>
        <v>0</v>
      </c>
      <c r="AE879">
        <f t="shared" si="247"/>
        <v>0</v>
      </c>
      <c r="AF879">
        <f t="shared" si="248"/>
        <v>0</v>
      </c>
      <c r="AG879">
        <f t="shared" si="249"/>
        <v>0</v>
      </c>
      <c r="AH879">
        <f t="shared" si="250"/>
        <v>1</v>
      </c>
      <c r="AI879">
        <f t="shared" si="251"/>
        <v>1</v>
      </c>
    </row>
    <row r="880" spans="1:35" x14ac:dyDescent="0.2">
      <c r="A880">
        <v>437</v>
      </c>
      <c r="B880" t="s">
        <v>16</v>
      </c>
      <c r="C880">
        <v>6</v>
      </c>
      <c r="D880" t="s">
        <v>2557</v>
      </c>
      <c r="E880" t="s">
        <v>18</v>
      </c>
      <c r="F880" t="s">
        <v>20</v>
      </c>
      <c r="G880" t="s">
        <v>20</v>
      </c>
      <c r="H880" t="s">
        <v>19</v>
      </c>
      <c r="I880">
        <v>5</v>
      </c>
      <c r="J880">
        <v>7</v>
      </c>
      <c r="K880">
        <v>10000000</v>
      </c>
      <c r="L880" t="s">
        <v>41</v>
      </c>
      <c r="M880" t="s">
        <v>219</v>
      </c>
      <c r="N880" t="s">
        <v>36</v>
      </c>
      <c r="O880" t="s">
        <v>2558</v>
      </c>
      <c r="P880" t="s">
        <v>2559</v>
      </c>
      <c r="Q880">
        <f t="shared" si="234"/>
        <v>4</v>
      </c>
      <c r="R880">
        <f t="shared" si="235"/>
        <v>2</v>
      </c>
      <c r="S880">
        <f t="shared" si="236"/>
        <v>2</v>
      </c>
      <c r="T880">
        <f t="shared" si="237"/>
        <v>3</v>
      </c>
      <c r="U880">
        <v>10000000</v>
      </c>
      <c r="V880">
        <f t="shared" si="238"/>
        <v>0</v>
      </c>
      <c r="W880">
        <f t="shared" si="239"/>
        <v>0</v>
      </c>
      <c r="X880">
        <f t="shared" si="240"/>
        <v>0</v>
      </c>
      <c r="Y880">
        <f t="shared" si="241"/>
        <v>0</v>
      </c>
      <c r="Z880">
        <f t="shared" si="242"/>
        <v>1</v>
      </c>
      <c r="AA880">
        <f t="shared" si="243"/>
        <v>0</v>
      </c>
      <c r="AB880">
        <f t="shared" si="244"/>
        <v>0</v>
      </c>
      <c r="AC880">
        <f t="shared" si="245"/>
        <v>0</v>
      </c>
      <c r="AD880">
        <f t="shared" si="246"/>
        <v>0</v>
      </c>
      <c r="AE880">
        <f t="shared" si="247"/>
        <v>1</v>
      </c>
      <c r="AF880">
        <f t="shared" si="248"/>
        <v>0</v>
      </c>
      <c r="AG880">
        <f t="shared" si="249"/>
        <v>0</v>
      </c>
      <c r="AH880">
        <f t="shared" si="250"/>
        <v>0</v>
      </c>
      <c r="AI880">
        <f t="shared" si="251"/>
        <v>1</v>
      </c>
    </row>
    <row r="881" spans="1:35" x14ac:dyDescent="0.2">
      <c r="A881">
        <v>438</v>
      </c>
      <c r="B881" t="s">
        <v>16</v>
      </c>
      <c r="C881">
        <v>6</v>
      </c>
      <c r="D881" t="s">
        <v>2560</v>
      </c>
      <c r="E881" t="s">
        <v>18</v>
      </c>
      <c r="F881" t="s">
        <v>21</v>
      </c>
      <c r="G881" t="s">
        <v>20</v>
      </c>
      <c r="H881" t="s">
        <v>18</v>
      </c>
      <c r="I881">
        <v>6</v>
      </c>
      <c r="J881">
        <v>9</v>
      </c>
      <c r="K881" s="1">
        <v>20</v>
      </c>
      <c r="L881" t="s">
        <v>22</v>
      </c>
      <c r="M881" t="s">
        <v>23</v>
      </c>
      <c r="N881" t="s">
        <v>24</v>
      </c>
      <c r="O881" t="s">
        <v>2561</v>
      </c>
      <c r="P881" t="s">
        <v>2562</v>
      </c>
      <c r="Q881">
        <f t="shared" si="234"/>
        <v>4</v>
      </c>
      <c r="R881">
        <f t="shared" si="235"/>
        <v>1</v>
      </c>
      <c r="S881">
        <f t="shared" si="236"/>
        <v>2</v>
      </c>
      <c r="T881">
        <f t="shared" si="237"/>
        <v>4</v>
      </c>
      <c r="U881">
        <v>20</v>
      </c>
      <c r="V881">
        <f t="shared" si="238"/>
        <v>1</v>
      </c>
      <c r="W881">
        <f t="shared" si="239"/>
        <v>0</v>
      </c>
      <c r="X881">
        <f t="shared" si="240"/>
        <v>0</v>
      </c>
      <c r="Y881">
        <f t="shared" si="241"/>
        <v>0</v>
      </c>
      <c r="Z881">
        <f t="shared" si="242"/>
        <v>0</v>
      </c>
      <c r="AA881">
        <f t="shared" si="243"/>
        <v>1</v>
      </c>
      <c r="AB881">
        <f t="shared" si="244"/>
        <v>0</v>
      </c>
      <c r="AC881">
        <f t="shared" si="245"/>
        <v>0</v>
      </c>
      <c r="AD881">
        <f t="shared" si="246"/>
        <v>0</v>
      </c>
      <c r="AE881">
        <f t="shared" si="247"/>
        <v>0</v>
      </c>
      <c r="AF881">
        <f t="shared" si="248"/>
        <v>0</v>
      </c>
      <c r="AG881">
        <f t="shared" si="249"/>
        <v>0</v>
      </c>
      <c r="AH881">
        <f t="shared" si="250"/>
        <v>1</v>
      </c>
      <c r="AI881">
        <f t="shared" si="251"/>
        <v>0</v>
      </c>
    </row>
    <row r="882" spans="1:35" x14ac:dyDescent="0.2">
      <c r="A882">
        <v>439</v>
      </c>
      <c r="B882" t="s">
        <v>16</v>
      </c>
      <c r="C882">
        <v>7</v>
      </c>
      <c r="D882" t="s">
        <v>2563</v>
      </c>
      <c r="E882" t="s">
        <v>20</v>
      </c>
      <c r="F882" t="s">
        <v>18</v>
      </c>
      <c r="G882" t="s">
        <v>19</v>
      </c>
      <c r="H882" t="s">
        <v>39</v>
      </c>
      <c r="I882">
        <v>4</v>
      </c>
      <c r="J882">
        <v>5</v>
      </c>
      <c r="K882" t="s">
        <v>2564</v>
      </c>
      <c r="L882" t="s">
        <v>562</v>
      </c>
      <c r="M882" t="s">
        <v>123</v>
      </c>
      <c r="N882" t="s">
        <v>43</v>
      </c>
      <c r="O882" t="s">
        <v>148</v>
      </c>
      <c r="P882" t="s">
        <v>2565</v>
      </c>
      <c r="Q882">
        <f t="shared" si="234"/>
        <v>2</v>
      </c>
      <c r="R882">
        <f t="shared" si="235"/>
        <v>4</v>
      </c>
      <c r="S882">
        <f t="shared" si="236"/>
        <v>3</v>
      </c>
      <c r="T882">
        <f t="shared" si="237"/>
        <v>5</v>
      </c>
      <c r="U882">
        <v>1000000</v>
      </c>
      <c r="V882">
        <f t="shared" si="238"/>
        <v>0</v>
      </c>
      <c r="W882">
        <f t="shared" si="239"/>
        <v>1</v>
      </c>
      <c r="X882">
        <f t="shared" si="240"/>
        <v>1</v>
      </c>
      <c r="Y882">
        <f t="shared" si="241"/>
        <v>0</v>
      </c>
      <c r="Z882">
        <f t="shared" si="242"/>
        <v>1</v>
      </c>
      <c r="AA882">
        <f t="shared" si="243"/>
        <v>0</v>
      </c>
      <c r="AB882">
        <f t="shared" si="244"/>
        <v>1</v>
      </c>
      <c r="AC882">
        <f t="shared" si="245"/>
        <v>1</v>
      </c>
      <c r="AD882">
        <f t="shared" si="246"/>
        <v>0</v>
      </c>
      <c r="AE882">
        <f t="shared" si="247"/>
        <v>0</v>
      </c>
      <c r="AF882">
        <f t="shared" si="248"/>
        <v>1</v>
      </c>
      <c r="AG882">
        <f t="shared" si="249"/>
        <v>1</v>
      </c>
      <c r="AH882">
        <f t="shared" si="250"/>
        <v>0</v>
      </c>
      <c r="AI882">
        <f t="shared" si="251"/>
        <v>0</v>
      </c>
    </row>
    <row r="883" spans="1:35" x14ac:dyDescent="0.2">
      <c r="A883">
        <v>440</v>
      </c>
      <c r="B883" t="s">
        <v>16</v>
      </c>
      <c r="C883">
        <v>4</v>
      </c>
      <c r="D883" t="s">
        <v>2566</v>
      </c>
      <c r="E883" t="s">
        <v>18</v>
      </c>
      <c r="F883" t="s">
        <v>21</v>
      </c>
      <c r="G883" t="s">
        <v>20</v>
      </c>
      <c r="H883" t="s">
        <v>39</v>
      </c>
      <c r="I883">
        <v>3</v>
      </c>
      <c r="J883">
        <v>5</v>
      </c>
      <c r="K883">
        <v>120</v>
      </c>
      <c r="L883" t="s">
        <v>22</v>
      </c>
      <c r="M883" t="s">
        <v>123</v>
      </c>
      <c r="N883" t="s">
        <v>147</v>
      </c>
      <c r="O883" t="s">
        <v>2567</v>
      </c>
      <c r="P883" t="s">
        <v>2568</v>
      </c>
      <c r="Q883">
        <f t="shared" si="234"/>
        <v>4</v>
      </c>
      <c r="R883">
        <f t="shared" si="235"/>
        <v>1</v>
      </c>
      <c r="S883">
        <f t="shared" si="236"/>
        <v>2</v>
      </c>
      <c r="T883">
        <f t="shared" si="237"/>
        <v>5</v>
      </c>
      <c r="U883">
        <v>120</v>
      </c>
      <c r="V883">
        <f t="shared" si="238"/>
        <v>1</v>
      </c>
      <c r="W883">
        <f t="shared" si="239"/>
        <v>0</v>
      </c>
      <c r="X883">
        <f t="shared" si="240"/>
        <v>0</v>
      </c>
      <c r="Y883">
        <f t="shared" si="241"/>
        <v>0</v>
      </c>
      <c r="Z883">
        <f t="shared" si="242"/>
        <v>0</v>
      </c>
      <c r="AA883">
        <f t="shared" si="243"/>
        <v>0</v>
      </c>
      <c r="AB883">
        <f t="shared" si="244"/>
        <v>1</v>
      </c>
      <c r="AC883">
        <f t="shared" si="245"/>
        <v>1</v>
      </c>
      <c r="AD883">
        <f t="shared" si="246"/>
        <v>0</v>
      </c>
      <c r="AE883">
        <f t="shared" si="247"/>
        <v>0</v>
      </c>
      <c r="AF883">
        <f t="shared" si="248"/>
        <v>0</v>
      </c>
      <c r="AG883">
        <f t="shared" si="249"/>
        <v>0</v>
      </c>
      <c r="AH883">
        <f t="shared" si="250"/>
        <v>1</v>
      </c>
      <c r="AI883">
        <f t="shared" si="251"/>
        <v>1</v>
      </c>
    </row>
    <row r="884" spans="1:35" x14ac:dyDescent="0.2">
      <c r="A884">
        <v>441</v>
      </c>
      <c r="B884" t="s">
        <v>16</v>
      </c>
      <c r="C884">
        <v>8</v>
      </c>
      <c r="D884" t="s">
        <v>2569</v>
      </c>
      <c r="E884" t="s">
        <v>18</v>
      </c>
      <c r="F884" t="s">
        <v>20</v>
      </c>
      <c r="G884" t="s">
        <v>20</v>
      </c>
      <c r="H884" t="s">
        <v>18</v>
      </c>
      <c r="I884">
        <v>5</v>
      </c>
      <c r="J884">
        <v>3</v>
      </c>
      <c r="K884">
        <v>100</v>
      </c>
      <c r="L884" t="s">
        <v>22</v>
      </c>
      <c r="M884" t="s">
        <v>781</v>
      </c>
      <c r="N884" t="s">
        <v>49</v>
      </c>
      <c r="O884" t="s">
        <v>148</v>
      </c>
      <c r="P884" t="s">
        <v>2570</v>
      </c>
      <c r="Q884">
        <f t="shared" si="234"/>
        <v>4</v>
      </c>
      <c r="R884">
        <f t="shared" si="235"/>
        <v>2</v>
      </c>
      <c r="S884">
        <f t="shared" si="236"/>
        <v>2</v>
      </c>
      <c r="T884">
        <f t="shared" si="237"/>
        <v>4</v>
      </c>
      <c r="U884">
        <v>100</v>
      </c>
      <c r="V884">
        <f t="shared" si="238"/>
        <v>1</v>
      </c>
      <c r="W884">
        <f t="shared" si="239"/>
        <v>0</v>
      </c>
      <c r="X884">
        <f t="shared" si="240"/>
        <v>0</v>
      </c>
      <c r="Y884">
        <f t="shared" si="241"/>
        <v>0</v>
      </c>
      <c r="Z884">
        <f t="shared" si="242"/>
        <v>0</v>
      </c>
      <c r="AA884">
        <f t="shared" si="243"/>
        <v>0</v>
      </c>
      <c r="AB884">
        <f t="shared" si="244"/>
        <v>1</v>
      </c>
      <c r="AC884">
        <f t="shared" si="245"/>
        <v>1</v>
      </c>
      <c r="AD884">
        <f t="shared" si="246"/>
        <v>1</v>
      </c>
      <c r="AE884">
        <f t="shared" si="247"/>
        <v>1</v>
      </c>
      <c r="AF884">
        <f t="shared" si="248"/>
        <v>0</v>
      </c>
      <c r="AG884">
        <f t="shared" si="249"/>
        <v>1</v>
      </c>
      <c r="AH884">
        <f t="shared" si="250"/>
        <v>1</v>
      </c>
      <c r="AI884">
        <f t="shared" si="251"/>
        <v>0</v>
      </c>
    </row>
    <row r="885" spans="1:35" x14ac:dyDescent="0.2">
      <c r="A885">
        <v>442</v>
      </c>
      <c r="B885" t="s">
        <v>16</v>
      </c>
      <c r="C885">
        <v>8</v>
      </c>
      <c r="D885" t="s">
        <v>2571</v>
      </c>
      <c r="E885" t="s">
        <v>39</v>
      </c>
      <c r="F885" t="s">
        <v>20</v>
      </c>
      <c r="G885" t="s">
        <v>20</v>
      </c>
      <c r="H885" t="s">
        <v>39</v>
      </c>
      <c r="I885">
        <v>5</v>
      </c>
      <c r="J885">
        <v>4</v>
      </c>
      <c r="K885">
        <v>100</v>
      </c>
      <c r="L885" t="s">
        <v>53</v>
      </c>
      <c r="M885" t="s">
        <v>48</v>
      </c>
      <c r="N885" t="s">
        <v>24</v>
      </c>
      <c r="O885" t="s">
        <v>2572</v>
      </c>
      <c r="P885" t="s">
        <v>2573</v>
      </c>
      <c r="Q885">
        <f t="shared" si="234"/>
        <v>5</v>
      </c>
      <c r="R885">
        <f t="shared" si="235"/>
        <v>2</v>
      </c>
      <c r="S885">
        <f t="shared" si="236"/>
        <v>2</v>
      </c>
      <c r="T885">
        <f t="shared" si="237"/>
        <v>5</v>
      </c>
      <c r="U885">
        <v>100</v>
      </c>
      <c r="V885">
        <f t="shared" si="238"/>
        <v>0</v>
      </c>
      <c r="W885">
        <f t="shared" si="239"/>
        <v>0</v>
      </c>
      <c r="X885">
        <f t="shared" si="240"/>
        <v>1</v>
      </c>
      <c r="Y885">
        <f t="shared" si="241"/>
        <v>0</v>
      </c>
      <c r="Z885">
        <f t="shared" si="242"/>
        <v>0</v>
      </c>
      <c r="AA885">
        <f t="shared" si="243"/>
        <v>1</v>
      </c>
      <c r="AB885">
        <f t="shared" si="244"/>
        <v>1</v>
      </c>
      <c r="AC885">
        <f t="shared" si="245"/>
        <v>1</v>
      </c>
      <c r="AD885">
        <f t="shared" si="246"/>
        <v>0</v>
      </c>
      <c r="AE885">
        <f t="shared" si="247"/>
        <v>0</v>
      </c>
      <c r="AF885">
        <f t="shared" si="248"/>
        <v>0</v>
      </c>
      <c r="AG885">
        <f t="shared" si="249"/>
        <v>0</v>
      </c>
      <c r="AH885">
        <f t="shared" si="250"/>
        <v>1</v>
      </c>
      <c r="AI885">
        <f t="shared" si="251"/>
        <v>0</v>
      </c>
    </row>
    <row r="886" spans="1:35" x14ac:dyDescent="0.2">
      <c r="A886">
        <v>443</v>
      </c>
      <c r="B886" t="s">
        <v>16</v>
      </c>
      <c r="C886">
        <v>8</v>
      </c>
      <c r="D886" t="s">
        <v>2574</v>
      </c>
      <c r="E886" t="s">
        <v>39</v>
      </c>
      <c r="F886" t="s">
        <v>20</v>
      </c>
      <c r="G886" t="s">
        <v>20</v>
      </c>
      <c r="H886" t="s">
        <v>39</v>
      </c>
      <c r="I886">
        <v>4</v>
      </c>
      <c r="J886">
        <v>6</v>
      </c>
      <c r="K886">
        <v>100</v>
      </c>
      <c r="L886" t="s">
        <v>53</v>
      </c>
      <c r="M886" t="s">
        <v>23</v>
      </c>
      <c r="N886" t="s">
        <v>622</v>
      </c>
      <c r="O886" t="s">
        <v>2575</v>
      </c>
      <c r="P886" t="s">
        <v>2576</v>
      </c>
      <c r="Q886">
        <f t="shared" si="234"/>
        <v>5</v>
      </c>
      <c r="R886">
        <f t="shared" si="235"/>
        <v>2</v>
      </c>
      <c r="S886">
        <f t="shared" si="236"/>
        <v>2</v>
      </c>
      <c r="T886">
        <f t="shared" si="237"/>
        <v>5</v>
      </c>
      <c r="U886">
        <v>100</v>
      </c>
      <c r="V886">
        <f t="shared" si="238"/>
        <v>0</v>
      </c>
      <c r="W886">
        <f t="shared" si="239"/>
        <v>0</v>
      </c>
      <c r="X886">
        <f t="shared" si="240"/>
        <v>1</v>
      </c>
      <c r="Y886">
        <f t="shared" si="241"/>
        <v>0</v>
      </c>
      <c r="Z886">
        <f t="shared" si="242"/>
        <v>0</v>
      </c>
      <c r="AA886">
        <f t="shared" si="243"/>
        <v>1</v>
      </c>
      <c r="AB886">
        <f t="shared" si="244"/>
        <v>0</v>
      </c>
      <c r="AC886">
        <f t="shared" si="245"/>
        <v>0</v>
      </c>
      <c r="AD886">
        <f t="shared" si="246"/>
        <v>0</v>
      </c>
      <c r="AE886">
        <f t="shared" si="247"/>
        <v>0</v>
      </c>
      <c r="AF886">
        <f t="shared" si="248"/>
        <v>0</v>
      </c>
      <c r="AG886">
        <f t="shared" si="249"/>
        <v>1</v>
      </c>
      <c r="AH886">
        <f t="shared" si="250"/>
        <v>0</v>
      </c>
      <c r="AI886">
        <f t="shared" si="251"/>
        <v>1</v>
      </c>
    </row>
    <row r="887" spans="1:35" x14ac:dyDescent="0.2">
      <c r="A887">
        <v>444</v>
      </c>
      <c r="B887" t="s">
        <v>16</v>
      </c>
      <c r="C887">
        <v>7</v>
      </c>
      <c r="D887" t="s">
        <v>2577</v>
      </c>
      <c r="E887" t="s">
        <v>18</v>
      </c>
      <c r="F887" t="s">
        <v>20</v>
      </c>
      <c r="G887" t="s">
        <v>18</v>
      </c>
      <c r="H887" t="s">
        <v>18</v>
      </c>
      <c r="I887">
        <v>4</v>
      </c>
      <c r="J887">
        <v>4</v>
      </c>
      <c r="K887">
        <v>50</v>
      </c>
      <c r="L887" t="s">
        <v>47</v>
      </c>
      <c r="M887" t="s">
        <v>123</v>
      </c>
      <c r="N887" t="s">
        <v>24</v>
      </c>
      <c r="O887" t="s">
        <v>2578</v>
      </c>
      <c r="P887" t="s">
        <v>2579</v>
      </c>
      <c r="Q887">
        <f t="shared" si="234"/>
        <v>4</v>
      </c>
      <c r="R887">
        <f t="shared" si="235"/>
        <v>2</v>
      </c>
      <c r="S887">
        <f t="shared" si="236"/>
        <v>4</v>
      </c>
      <c r="T887">
        <f t="shared" si="237"/>
        <v>4</v>
      </c>
      <c r="U887">
        <v>50</v>
      </c>
      <c r="V887">
        <f t="shared" si="238"/>
        <v>0</v>
      </c>
      <c r="W887">
        <f t="shared" si="239"/>
        <v>0</v>
      </c>
      <c r="X887">
        <f t="shared" si="240"/>
        <v>1</v>
      </c>
      <c r="Y887">
        <f t="shared" si="241"/>
        <v>0</v>
      </c>
      <c r="Z887">
        <f t="shared" si="242"/>
        <v>1</v>
      </c>
      <c r="AA887">
        <f t="shared" si="243"/>
        <v>0</v>
      </c>
      <c r="AB887">
        <f t="shared" si="244"/>
        <v>1</v>
      </c>
      <c r="AC887">
        <f t="shared" si="245"/>
        <v>1</v>
      </c>
      <c r="AD887">
        <f t="shared" si="246"/>
        <v>0</v>
      </c>
      <c r="AE887">
        <f t="shared" si="247"/>
        <v>0</v>
      </c>
      <c r="AF887">
        <f t="shared" si="248"/>
        <v>0</v>
      </c>
      <c r="AG887">
        <f t="shared" si="249"/>
        <v>0</v>
      </c>
      <c r="AH887">
        <f t="shared" si="250"/>
        <v>1</v>
      </c>
      <c r="AI887">
        <f t="shared" si="251"/>
        <v>0</v>
      </c>
    </row>
    <row r="888" spans="1:35" x14ac:dyDescent="0.2">
      <c r="A888">
        <v>445</v>
      </c>
      <c r="B888" t="s">
        <v>16</v>
      </c>
      <c r="C888">
        <v>9</v>
      </c>
      <c r="D888" t="s">
        <v>2580</v>
      </c>
      <c r="E888" t="s">
        <v>39</v>
      </c>
      <c r="F888" t="s">
        <v>18</v>
      </c>
      <c r="G888" t="s">
        <v>21</v>
      </c>
      <c r="H888" t="s">
        <v>39</v>
      </c>
      <c r="I888">
        <v>4</v>
      </c>
      <c r="J888">
        <v>5</v>
      </c>
      <c r="K888">
        <v>0</v>
      </c>
      <c r="L888" t="s">
        <v>41</v>
      </c>
      <c r="M888" t="s">
        <v>23</v>
      </c>
      <c r="N888" t="s">
        <v>24</v>
      </c>
      <c r="O888" t="s">
        <v>2581</v>
      </c>
      <c r="P888" t="s">
        <v>2582</v>
      </c>
      <c r="Q888">
        <f t="shared" si="234"/>
        <v>5</v>
      </c>
      <c r="R888">
        <f t="shared" si="235"/>
        <v>4</v>
      </c>
      <c r="S888">
        <f t="shared" si="236"/>
        <v>1</v>
      </c>
      <c r="T888">
        <f t="shared" si="237"/>
        <v>5</v>
      </c>
      <c r="U888">
        <v>0</v>
      </c>
      <c r="V888">
        <f t="shared" si="238"/>
        <v>0</v>
      </c>
      <c r="W888">
        <f t="shared" si="239"/>
        <v>0</v>
      </c>
      <c r="X888">
        <f t="shared" si="240"/>
        <v>0</v>
      </c>
      <c r="Y888">
        <f t="shared" si="241"/>
        <v>0</v>
      </c>
      <c r="Z888">
        <f t="shared" si="242"/>
        <v>1</v>
      </c>
      <c r="AA888">
        <f t="shared" si="243"/>
        <v>1</v>
      </c>
      <c r="AB888">
        <f t="shared" si="244"/>
        <v>0</v>
      </c>
      <c r="AC888">
        <f t="shared" si="245"/>
        <v>0</v>
      </c>
      <c r="AD888">
        <f t="shared" si="246"/>
        <v>0</v>
      </c>
      <c r="AE888">
        <f t="shared" si="247"/>
        <v>0</v>
      </c>
      <c r="AF888">
        <f t="shared" si="248"/>
        <v>0</v>
      </c>
      <c r="AG888">
        <f t="shared" si="249"/>
        <v>0</v>
      </c>
      <c r="AH888">
        <f t="shared" si="250"/>
        <v>1</v>
      </c>
      <c r="AI888">
        <f t="shared" si="251"/>
        <v>0</v>
      </c>
    </row>
    <row r="889" spans="1:35" x14ac:dyDescent="0.2">
      <c r="A889">
        <v>446</v>
      </c>
      <c r="B889" t="s">
        <v>16</v>
      </c>
      <c r="C889">
        <v>5</v>
      </c>
      <c r="D889" t="s">
        <v>2583</v>
      </c>
      <c r="E889" t="s">
        <v>18</v>
      </c>
      <c r="F889" t="s">
        <v>18</v>
      </c>
      <c r="G889" t="s">
        <v>18</v>
      </c>
      <c r="H889" t="s">
        <v>21</v>
      </c>
      <c r="I889">
        <v>4</v>
      </c>
      <c r="J889">
        <v>7</v>
      </c>
      <c r="K889">
        <v>10</v>
      </c>
      <c r="L889" t="s">
        <v>22</v>
      </c>
      <c r="M889" t="s">
        <v>23</v>
      </c>
      <c r="N889" t="s">
        <v>24</v>
      </c>
      <c r="O889" t="s">
        <v>2584</v>
      </c>
      <c r="P889" t="s">
        <v>2585</v>
      </c>
      <c r="Q889">
        <f t="shared" si="234"/>
        <v>4</v>
      </c>
      <c r="R889">
        <f t="shared" si="235"/>
        <v>4</v>
      </c>
      <c r="S889">
        <f t="shared" si="236"/>
        <v>4</v>
      </c>
      <c r="T889">
        <f t="shared" si="237"/>
        <v>1</v>
      </c>
      <c r="U889">
        <v>10</v>
      </c>
      <c r="V889">
        <f t="shared" si="238"/>
        <v>1</v>
      </c>
      <c r="W889">
        <f t="shared" si="239"/>
        <v>0</v>
      </c>
      <c r="X889">
        <f t="shared" si="240"/>
        <v>0</v>
      </c>
      <c r="Y889">
        <f t="shared" si="241"/>
        <v>0</v>
      </c>
      <c r="Z889">
        <f t="shared" si="242"/>
        <v>0</v>
      </c>
      <c r="AA889">
        <f t="shared" si="243"/>
        <v>1</v>
      </c>
      <c r="AB889">
        <f t="shared" si="244"/>
        <v>0</v>
      </c>
      <c r="AC889">
        <f t="shared" si="245"/>
        <v>0</v>
      </c>
      <c r="AD889">
        <f t="shared" si="246"/>
        <v>0</v>
      </c>
      <c r="AE889">
        <f t="shared" si="247"/>
        <v>0</v>
      </c>
      <c r="AF889">
        <f t="shared" si="248"/>
        <v>0</v>
      </c>
      <c r="AG889">
        <f t="shared" si="249"/>
        <v>0</v>
      </c>
      <c r="AH889">
        <f t="shared" si="250"/>
        <v>1</v>
      </c>
      <c r="AI889">
        <f t="shared" si="251"/>
        <v>0</v>
      </c>
    </row>
    <row r="890" spans="1:35" x14ac:dyDescent="0.2">
      <c r="A890">
        <v>447</v>
      </c>
      <c r="B890" t="s">
        <v>16</v>
      </c>
      <c r="C890">
        <v>8</v>
      </c>
      <c r="D890" t="s">
        <v>2586</v>
      </c>
      <c r="E890" t="s">
        <v>18</v>
      </c>
      <c r="F890" t="s">
        <v>19</v>
      </c>
      <c r="G890" t="s">
        <v>20</v>
      </c>
      <c r="H890" t="s">
        <v>18</v>
      </c>
      <c r="I890">
        <v>5</v>
      </c>
      <c r="J890">
        <v>6</v>
      </c>
      <c r="K890">
        <v>50</v>
      </c>
      <c r="L890" t="s">
        <v>53</v>
      </c>
      <c r="M890" t="s">
        <v>42</v>
      </c>
      <c r="N890" t="s">
        <v>147</v>
      </c>
      <c r="O890" t="s">
        <v>2587</v>
      </c>
      <c r="P890" t="s">
        <v>2588</v>
      </c>
      <c r="Q890">
        <f t="shared" si="234"/>
        <v>4</v>
      </c>
      <c r="R890">
        <f t="shared" si="235"/>
        <v>3</v>
      </c>
      <c r="S890">
        <f t="shared" si="236"/>
        <v>2</v>
      </c>
      <c r="T890">
        <f t="shared" si="237"/>
        <v>4</v>
      </c>
      <c r="U890">
        <v>50</v>
      </c>
      <c r="V890">
        <f t="shared" si="238"/>
        <v>0</v>
      </c>
      <c r="W890">
        <f t="shared" si="239"/>
        <v>0</v>
      </c>
      <c r="X890">
        <f t="shared" si="240"/>
        <v>1</v>
      </c>
      <c r="Y890">
        <f t="shared" si="241"/>
        <v>0</v>
      </c>
      <c r="Z890">
        <f t="shared" si="242"/>
        <v>0</v>
      </c>
      <c r="AA890">
        <f t="shared" si="243"/>
        <v>0</v>
      </c>
      <c r="AB890">
        <f t="shared" si="244"/>
        <v>1</v>
      </c>
      <c r="AC890">
        <f t="shared" si="245"/>
        <v>0</v>
      </c>
      <c r="AD890">
        <f t="shared" si="246"/>
        <v>0</v>
      </c>
      <c r="AE890">
        <f t="shared" si="247"/>
        <v>0</v>
      </c>
      <c r="AF890">
        <f t="shared" si="248"/>
        <v>0</v>
      </c>
      <c r="AG890">
        <f t="shared" si="249"/>
        <v>0</v>
      </c>
      <c r="AH890">
        <f t="shared" si="250"/>
        <v>1</v>
      </c>
      <c r="AI890">
        <f t="shared" si="251"/>
        <v>1</v>
      </c>
    </row>
    <row r="891" spans="1:35" x14ac:dyDescent="0.2">
      <c r="A891">
        <v>448</v>
      </c>
      <c r="B891" t="s">
        <v>16</v>
      </c>
      <c r="C891">
        <v>4</v>
      </c>
      <c r="D891" t="s">
        <v>2589</v>
      </c>
      <c r="E891" t="s">
        <v>20</v>
      </c>
      <c r="F891" t="s">
        <v>20</v>
      </c>
      <c r="G891" t="s">
        <v>39</v>
      </c>
      <c r="H891" t="s">
        <v>19</v>
      </c>
      <c r="I891">
        <v>5</v>
      </c>
      <c r="J891">
        <v>6</v>
      </c>
      <c r="K891" s="1">
        <v>6000</v>
      </c>
      <c r="L891" t="s">
        <v>53</v>
      </c>
      <c r="M891" t="s">
        <v>23</v>
      </c>
      <c r="N891" t="s">
        <v>36</v>
      </c>
      <c r="O891" t="s">
        <v>593</v>
      </c>
      <c r="P891" t="s">
        <v>2590</v>
      </c>
      <c r="Q891">
        <f t="shared" si="234"/>
        <v>2</v>
      </c>
      <c r="R891">
        <f t="shared" si="235"/>
        <v>2</v>
      </c>
      <c r="S891">
        <f t="shared" si="236"/>
        <v>5</v>
      </c>
      <c r="T891">
        <f t="shared" si="237"/>
        <v>3</v>
      </c>
      <c r="U891">
        <v>6000</v>
      </c>
      <c r="V891">
        <f t="shared" si="238"/>
        <v>0</v>
      </c>
      <c r="W891">
        <f t="shared" si="239"/>
        <v>0</v>
      </c>
      <c r="X891">
        <f t="shared" si="240"/>
        <v>1</v>
      </c>
      <c r="Y891">
        <f t="shared" si="241"/>
        <v>0</v>
      </c>
      <c r="Z891">
        <f t="shared" si="242"/>
        <v>0</v>
      </c>
      <c r="AA891">
        <f t="shared" si="243"/>
        <v>1</v>
      </c>
      <c r="AB891">
        <f t="shared" si="244"/>
        <v>0</v>
      </c>
      <c r="AC891">
        <f t="shared" si="245"/>
        <v>0</v>
      </c>
      <c r="AD891">
        <f t="shared" si="246"/>
        <v>0</v>
      </c>
      <c r="AE891">
        <f t="shared" si="247"/>
        <v>0</v>
      </c>
      <c r="AF891">
        <f t="shared" si="248"/>
        <v>0</v>
      </c>
      <c r="AG891">
        <f t="shared" si="249"/>
        <v>0</v>
      </c>
      <c r="AH891">
        <f t="shared" si="250"/>
        <v>0</v>
      </c>
      <c r="AI891">
        <f t="shared" si="251"/>
        <v>1</v>
      </c>
    </row>
    <row r="892" spans="1:35" x14ac:dyDescent="0.2">
      <c r="A892">
        <v>449</v>
      </c>
      <c r="B892" t="s">
        <v>16</v>
      </c>
      <c r="C892">
        <v>4</v>
      </c>
      <c r="D892" t="s">
        <v>2591</v>
      </c>
      <c r="E892" t="s">
        <v>18</v>
      </c>
      <c r="F892" t="s">
        <v>20</v>
      </c>
      <c r="G892" t="s">
        <v>18</v>
      </c>
      <c r="H892" t="s">
        <v>20</v>
      </c>
      <c r="I892">
        <v>3</v>
      </c>
      <c r="J892">
        <v>4</v>
      </c>
      <c r="K892">
        <v>10</v>
      </c>
      <c r="L892" t="s">
        <v>22</v>
      </c>
      <c r="M892" t="s">
        <v>23</v>
      </c>
      <c r="N892" t="s">
        <v>24</v>
      </c>
      <c r="O892" t="s">
        <v>2592</v>
      </c>
      <c r="P892" t="s">
        <v>2593</v>
      </c>
      <c r="Q892">
        <f t="shared" si="234"/>
        <v>4</v>
      </c>
      <c r="R892">
        <f t="shared" si="235"/>
        <v>2</v>
      </c>
      <c r="S892">
        <f t="shared" si="236"/>
        <v>4</v>
      </c>
      <c r="T892">
        <f t="shared" si="237"/>
        <v>2</v>
      </c>
      <c r="U892">
        <v>10</v>
      </c>
      <c r="V892">
        <f t="shared" si="238"/>
        <v>1</v>
      </c>
      <c r="W892">
        <f t="shared" si="239"/>
        <v>0</v>
      </c>
      <c r="X892">
        <f t="shared" si="240"/>
        <v>0</v>
      </c>
      <c r="Y892">
        <f t="shared" si="241"/>
        <v>0</v>
      </c>
      <c r="Z892">
        <f t="shared" si="242"/>
        <v>0</v>
      </c>
      <c r="AA892">
        <f t="shared" si="243"/>
        <v>1</v>
      </c>
      <c r="AB892">
        <f t="shared" si="244"/>
        <v>0</v>
      </c>
      <c r="AC892">
        <f t="shared" si="245"/>
        <v>0</v>
      </c>
      <c r="AD892">
        <f t="shared" si="246"/>
        <v>0</v>
      </c>
      <c r="AE892">
        <f t="shared" si="247"/>
        <v>0</v>
      </c>
      <c r="AF892">
        <f t="shared" si="248"/>
        <v>0</v>
      </c>
      <c r="AG892">
        <f t="shared" si="249"/>
        <v>0</v>
      </c>
      <c r="AH892">
        <f t="shared" si="250"/>
        <v>1</v>
      </c>
      <c r="AI892">
        <f t="shared" si="251"/>
        <v>0</v>
      </c>
    </row>
    <row r="893" spans="1:35" x14ac:dyDescent="0.2">
      <c r="A893">
        <v>450</v>
      </c>
      <c r="B893" t="s">
        <v>16</v>
      </c>
      <c r="C893">
        <v>7</v>
      </c>
      <c r="D893" t="s">
        <v>2594</v>
      </c>
      <c r="E893" t="s">
        <v>18</v>
      </c>
      <c r="F893" t="s">
        <v>20</v>
      </c>
      <c r="G893" t="s">
        <v>20</v>
      </c>
      <c r="H893" t="s">
        <v>39</v>
      </c>
      <c r="I893">
        <v>5</v>
      </c>
      <c r="J893">
        <v>6</v>
      </c>
      <c r="K893">
        <v>10000</v>
      </c>
      <c r="L893" t="s">
        <v>53</v>
      </c>
      <c r="M893" t="s">
        <v>99</v>
      </c>
      <c r="N893" t="s">
        <v>24</v>
      </c>
      <c r="O893" t="s">
        <v>2595</v>
      </c>
      <c r="P893" t="s">
        <v>2596</v>
      </c>
      <c r="Q893">
        <f t="shared" si="234"/>
        <v>4</v>
      </c>
      <c r="R893">
        <f t="shared" si="235"/>
        <v>2</v>
      </c>
      <c r="S893">
        <f t="shared" si="236"/>
        <v>2</v>
      </c>
      <c r="T893">
        <f t="shared" si="237"/>
        <v>5</v>
      </c>
      <c r="U893">
        <v>10000</v>
      </c>
      <c r="V893">
        <f t="shared" si="238"/>
        <v>0</v>
      </c>
      <c r="W893">
        <f t="shared" si="239"/>
        <v>0</v>
      </c>
      <c r="X893">
        <f t="shared" si="240"/>
        <v>1</v>
      </c>
      <c r="Y893">
        <f t="shared" si="241"/>
        <v>0</v>
      </c>
      <c r="Z893">
        <f t="shared" si="242"/>
        <v>0</v>
      </c>
      <c r="AA893">
        <f t="shared" si="243"/>
        <v>1</v>
      </c>
      <c r="AB893">
        <f t="shared" si="244"/>
        <v>0</v>
      </c>
      <c r="AC893">
        <f t="shared" si="245"/>
        <v>0</v>
      </c>
      <c r="AD893">
        <f t="shared" si="246"/>
        <v>0</v>
      </c>
      <c r="AE893">
        <f t="shared" si="247"/>
        <v>1</v>
      </c>
      <c r="AF893">
        <f t="shared" si="248"/>
        <v>0</v>
      </c>
      <c r="AG893">
        <f t="shared" si="249"/>
        <v>0</v>
      </c>
      <c r="AH893">
        <f t="shared" si="250"/>
        <v>1</v>
      </c>
      <c r="AI893">
        <f t="shared" si="251"/>
        <v>0</v>
      </c>
    </row>
    <row r="894" spans="1:35" x14ac:dyDescent="0.2">
      <c r="A894">
        <v>451</v>
      </c>
      <c r="B894" t="s">
        <v>16</v>
      </c>
      <c r="C894">
        <v>9</v>
      </c>
      <c r="D894" t="s">
        <v>2597</v>
      </c>
      <c r="E894" t="s">
        <v>18</v>
      </c>
      <c r="F894" t="s">
        <v>19</v>
      </c>
      <c r="G894" t="s">
        <v>19</v>
      </c>
      <c r="H894" t="s">
        <v>18</v>
      </c>
      <c r="I894">
        <v>10</v>
      </c>
      <c r="J894">
        <v>4</v>
      </c>
      <c r="K894" s="1">
        <v>570</v>
      </c>
      <c r="L894" t="s">
        <v>98</v>
      </c>
      <c r="M894" t="s">
        <v>23</v>
      </c>
      <c r="N894" t="s">
        <v>24</v>
      </c>
      <c r="O894" t="s">
        <v>2598</v>
      </c>
      <c r="P894" t="s">
        <v>2599</v>
      </c>
      <c r="Q894">
        <f t="shared" si="234"/>
        <v>4</v>
      </c>
      <c r="R894">
        <f t="shared" si="235"/>
        <v>3</v>
      </c>
      <c r="S894">
        <f t="shared" si="236"/>
        <v>3</v>
      </c>
      <c r="T894">
        <f t="shared" si="237"/>
        <v>4</v>
      </c>
      <c r="U894">
        <v>570</v>
      </c>
      <c r="V894">
        <f t="shared" si="238"/>
        <v>0</v>
      </c>
      <c r="W894">
        <f t="shared" si="239"/>
        <v>1</v>
      </c>
      <c r="X894">
        <f t="shared" si="240"/>
        <v>0</v>
      </c>
      <c r="Y894">
        <f t="shared" si="241"/>
        <v>0</v>
      </c>
      <c r="Z894">
        <f t="shared" si="242"/>
        <v>0</v>
      </c>
      <c r="AA894">
        <f t="shared" si="243"/>
        <v>1</v>
      </c>
      <c r="AB894">
        <f t="shared" si="244"/>
        <v>0</v>
      </c>
      <c r="AC894">
        <f t="shared" si="245"/>
        <v>0</v>
      </c>
      <c r="AD894">
        <f t="shared" si="246"/>
        <v>0</v>
      </c>
      <c r="AE894">
        <f t="shared" si="247"/>
        <v>0</v>
      </c>
      <c r="AF894">
        <f t="shared" si="248"/>
        <v>0</v>
      </c>
      <c r="AG894">
        <f t="shared" si="249"/>
        <v>0</v>
      </c>
      <c r="AH894">
        <f t="shared" si="250"/>
        <v>1</v>
      </c>
      <c r="AI894">
        <f t="shared" si="251"/>
        <v>0</v>
      </c>
    </row>
    <row r="895" spans="1:35" x14ac:dyDescent="0.2">
      <c r="A895">
        <v>452</v>
      </c>
      <c r="B895" t="s">
        <v>16</v>
      </c>
      <c r="C895">
        <v>1</v>
      </c>
      <c r="D895" t="s">
        <v>2600</v>
      </c>
      <c r="E895" t="s">
        <v>20</v>
      </c>
      <c r="F895" t="s">
        <v>18</v>
      </c>
      <c r="G895" t="s">
        <v>18</v>
      </c>
      <c r="H895" t="s">
        <v>21</v>
      </c>
      <c r="I895">
        <v>5</v>
      </c>
      <c r="J895">
        <v>5</v>
      </c>
      <c r="K895">
        <v>30</v>
      </c>
      <c r="L895" t="s">
        <v>22</v>
      </c>
      <c r="M895" t="s">
        <v>781</v>
      </c>
      <c r="N895" t="s">
        <v>215</v>
      </c>
      <c r="O895" t="s">
        <v>322</v>
      </c>
      <c r="P895" t="s">
        <v>2601</v>
      </c>
      <c r="Q895">
        <f t="shared" si="234"/>
        <v>2</v>
      </c>
      <c r="R895">
        <f t="shared" si="235"/>
        <v>4</v>
      </c>
      <c r="S895">
        <f t="shared" si="236"/>
        <v>4</v>
      </c>
      <c r="T895">
        <f t="shared" si="237"/>
        <v>1</v>
      </c>
      <c r="U895">
        <v>30</v>
      </c>
      <c r="V895">
        <f t="shared" si="238"/>
        <v>1</v>
      </c>
      <c r="W895">
        <f t="shared" si="239"/>
        <v>0</v>
      </c>
      <c r="X895">
        <f t="shared" si="240"/>
        <v>0</v>
      </c>
      <c r="Y895">
        <f t="shared" si="241"/>
        <v>0</v>
      </c>
      <c r="Z895">
        <f t="shared" si="242"/>
        <v>0</v>
      </c>
      <c r="AA895">
        <f t="shared" si="243"/>
        <v>0</v>
      </c>
      <c r="AB895">
        <f t="shared" si="244"/>
        <v>1</v>
      </c>
      <c r="AC895">
        <f t="shared" si="245"/>
        <v>1</v>
      </c>
      <c r="AD895">
        <f t="shared" si="246"/>
        <v>1</v>
      </c>
      <c r="AE895">
        <f t="shared" si="247"/>
        <v>1</v>
      </c>
      <c r="AF895">
        <f t="shared" si="248"/>
        <v>1</v>
      </c>
      <c r="AG895">
        <f t="shared" si="249"/>
        <v>0</v>
      </c>
      <c r="AH895">
        <f t="shared" si="250"/>
        <v>0</v>
      </c>
      <c r="AI895">
        <f t="shared" si="251"/>
        <v>0</v>
      </c>
    </row>
    <row r="896" spans="1:35" ht="289" x14ac:dyDescent="0.2">
      <c r="A896">
        <v>453</v>
      </c>
      <c r="B896" t="s">
        <v>16</v>
      </c>
      <c r="C896">
        <v>5</v>
      </c>
      <c r="D896" t="s">
        <v>2602</v>
      </c>
      <c r="E896" t="s">
        <v>19</v>
      </c>
      <c r="F896" t="s">
        <v>18</v>
      </c>
      <c r="G896" t="s">
        <v>18</v>
      </c>
      <c r="H896" t="s">
        <v>21</v>
      </c>
      <c r="I896">
        <v>4</v>
      </c>
      <c r="J896">
        <v>4</v>
      </c>
      <c r="K896" t="s">
        <v>2603</v>
      </c>
      <c r="L896" t="s">
        <v>1071</v>
      </c>
      <c r="M896" t="s">
        <v>48</v>
      </c>
      <c r="N896" t="s">
        <v>24</v>
      </c>
      <c r="O896" t="s">
        <v>2604</v>
      </c>
      <c r="P896" s="3" t="s">
        <v>2605</v>
      </c>
      <c r="Q896">
        <f t="shared" si="234"/>
        <v>3</v>
      </c>
      <c r="R896">
        <f t="shared" si="235"/>
        <v>4</v>
      </c>
      <c r="S896">
        <f t="shared" si="236"/>
        <v>4</v>
      </c>
      <c r="T896">
        <f t="shared" si="237"/>
        <v>1</v>
      </c>
      <c r="U896">
        <v>20</v>
      </c>
      <c r="V896">
        <f t="shared" si="238"/>
        <v>1</v>
      </c>
      <c r="W896">
        <f t="shared" si="239"/>
        <v>0</v>
      </c>
      <c r="X896">
        <f t="shared" si="240"/>
        <v>1</v>
      </c>
      <c r="Y896">
        <f t="shared" si="241"/>
        <v>1</v>
      </c>
      <c r="Z896">
        <f t="shared" si="242"/>
        <v>0</v>
      </c>
      <c r="AA896">
        <f t="shared" si="243"/>
        <v>1</v>
      </c>
      <c r="AB896">
        <f t="shared" si="244"/>
        <v>1</v>
      </c>
      <c r="AC896">
        <f t="shared" si="245"/>
        <v>1</v>
      </c>
      <c r="AD896">
        <f t="shared" si="246"/>
        <v>0</v>
      </c>
      <c r="AE896">
        <f t="shared" si="247"/>
        <v>0</v>
      </c>
      <c r="AF896">
        <f t="shared" si="248"/>
        <v>0</v>
      </c>
      <c r="AG896">
        <f t="shared" si="249"/>
        <v>0</v>
      </c>
      <c r="AH896">
        <f t="shared" si="250"/>
        <v>1</v>
      </c>
      <c r="AI896">
        <f t="shared" si="251"/>
        <v>0</v>
      </c>
    </row>
    <row r="897" spans="1:35" x14ac:dyDescent="0.2">
      <c r="A897">
        <v>454</v>
      </c>
      <c r="B897" t="s">
        <v>16</v>
      </c>
      <c r="C897">
        <v>8</v>
      </c>
      <c r="D897" t="s">
        <v>2040</v>
      </c>
      <c r="E897" t="s">
        <v>18</v>
      </c>
      <c r="F897" t="s">
        <v>21</v>
      </c>
      <c r="G897" t="s">
        <v>20</v>
      </c>
      <c r="H897" t="s">
        <v>18</v>
      </c>
      <c r="I897">
        <v>4</v>
      </c>
      <c r="J897">
        <v>5</v>
      </c>
      <c r="K897">
        <v>200</v>
      </c>
      <c r="L897" t="s">
        <v>22</v>
      </c>
      <c r="M897" t="s">
        <v>99</v>
      </c>
      <c r="N897" t="s">
        <v>84</v>
      </c>
      <c r="O897" t="s">
        <v>2606</v>
      </c>
      <c r="P897" t="s">
        <v>2607</v>
      </c>
      <c r="Q897">
        <f t="shared" si="234"/>
        <v>4</v>
      </c>
      <c r="R897">
        <f t="shared" si="235"/>
        <v>1</v>
      </c>
      <c r="S897">
        <f t="shared" si="236"/>
        <v>2</v>
      </c>
      <c r="T897">
        <f t="shared" si="237"/>
        <v>4</v>
      </c>
      <c r="U897">
        <v>200</v>
      </c>
      <c r="V897">
        <f t="shared" si="238"/>
        <v>1</v>
      </c>
      <c r="W897">
        <f t="shared" si="239"/>
        <v>0</v>
      </c>
      <c r="X897">
        <f t="shared" si="240"/>
        <v>0</v>
      </c>
      <c r="Y897">
        <f t="shared" si="241"/>
        <v>0</v>
      </c>
      <c r="Z897">
        <f t="shared" si="242"/>
        <v>0</v>
      </c>
      <c r="AA897">
        <f t="shared" si="243"/>
        <v>1</v>
      </c>
      <c r="AB897">
        <f t="shared" si="244"/>
        <v>0</v>
      </c>
      <c r="AC897">
        <f t="shared" si="245"/>
        <v>0</v>
      </c>
      <c r="AD897">
        <f t="shared" si="246"/>
        <v>0</v>
      </c>
      <c r="AE897">
        <f t="shared" si="247"/>
        <v>1</v>
      </c>
      <c r="AF897">
        <f t="shared" si="248"/>
        <v>0</v>
      </c>
      <c r="AG897">
        <f t="shared" si="249"/>
        <v>1</v>
      </c>
      <c r="AH897">
        <f t="shared" si="250"/>
        <v>0</v>
      </c>
      <c r="AI897">
        <f t="shared" si="251"/>
        <v>0</v>
      </c>
    </row>
    <row r="898" spans="1:35" x14ac:dyDescent="0.2">
      <c r="A898">
        <v>455</v>
      </c>
      <c r="B898" t="s">
        <v>16</v>
      </c>
      <c r="C898">
        <v>8</v>
      </c>
      <c r="D898" t="s">
        <v>2608</v>
      </c>
      <c r="E898" t="s">
        <v>18</v>
      </c>
      <c r="F898" t="s">
        <v>20</v>
      </c>
      <c r="G898" t="s">
        <v>20</v>
      </c>
      <c r="H898" t="s">
        <v>18</v>
      </c>
      <c r="I898">
        <v>5</v>
      </c>
      <c r="J898">
        <v>7</v>
      </c>
      <c r="K898">
        <v>500</v>
      </c>
      <c r="L898" t="s">
        <v>53</v>
      </c>
      <c r="M898" t="s">
        <v>23</v>
      </c>
      <c r="N898" t="s">
        <v>24</v>
      </c>
      <c r="O898" t="s">
        <v>2609</v>
      </c>
      <c r="P898" t="s">
        <v>2610</v>
      </c>
      <c r="Q898">
        <f t="shared" si="234"/>
        <v>4</v>
      </c>
      <c r="R898">
        <f t="shared" si="235"/>
        <v>2</v>
      </c>
      <c r="S898">
        <f t="shared" si="236"/>
        <v>2</v>
      </c>
      <c r="T898">
        <f t="shared" si="237"/>
        <v>4</v>
      </c>
      <c r="U898">
        <v>500</v>
      </c>
      <c r="V898">
        <f t="shared" si="238"/>
        <v>0</v>
      </c>
      <c r="W898">
        <f t="shared" si="239"/>
        <v>0</v>
      </c>
      <c r="X898">
        <f t="shared" si="240"/>
        <v>1</v>
      </c>
      <c r="Y898">
        <f t="shared" si="241"/>
        <v>0</v>
      </c>
      <c r="Z898">
        <f t="shared" si="242"/>
        <v>0</v>
      </c>
      <c r="AA898">
        <f t="shared" si="243"/>
        <v>1</v>
      </c>
      <c r="AB898">
        <f t="shared" si="244"/>
        <v>0</v>
      </c>
      <c r="AC898">
        <f t="shared" si="245"/>
        <v>0</v>
      </c>
      <c r="AD898">
        <f t="shared" si="246"/>
        <v>0</v>
      </c>
      <c r="AE898">
        <f t="shared" si="247"/>
        <v>0</v>
      </c>
      <c r="AF898">
        <f t="shared" si="248"/>
        <v>0</v>
      </c>
      <c r="AG898">
        <f t="shared" si="249"/>
        <v>0</v>
      </c>
      <c r="AH898">
        <f t="shared" si="250"/>
        <v>1</v>
      </c>
      <c r="AI898">
        <f t="shared" si="251"/>
        <v>0</v>
      </c>
    </row>
    <row r="899" spans="1:35" x14ac:dyDescent="0.2">
      <c r="A899">
        <v>456</v>
      </c>
      <c r="B899" t="s">
        <v>16</v>
      </c>
      <c r="C899">
        <v>6</v>
      </c>
      <c r="D899" t="s">
        <v>2611</v>
      </c>
      <c r="E899" t="s">
        <v>19</v>
      </c>
      <c r="F899" t="s">
        <v>20</v>
      </c>
      <c r="G899" t="s">
        <v>18</v>
      </c>
      <c r="H899" t="s">
        <v>19</v>
      </c>
      <c r="I899">
        <v>4</v>
      </c>
      <c r="J899">
        <v>5</v>
      </c>
      <c r="K899">
        <v>50</v>
      </c>
      <c r="L899" t="s">
        <v>66</v>
      </c>
      <c r="M899" t="s">
        <v>23</v>
      </c>
      <c r="N899" t="s">
        <v>49</v>
      </c>
      <c r="O899" t="s">
        <v>60</v>
      </c>
      <c r="P899" t="s">
        <v>2612</v>
      </c>
      <c r="Q899">
        <f t="shared" ref="Q899:Q962" si="252">IF(E899="", "", LEFT(E899, 1) * 1)</f>
        <v>3</v>
      </c>
      <c r="R899">
        <f t="shared" ref="R899:R962" si="253">IF(F899="","",VALUE(LEFT(F899,FIND(" ",F899)-1)))</f>
        <v>2</v>
      </c>
      <c r="S899">
        <f t="shared" ref="S899:S962" si="254">IF(G899="","",VALUE(LEFT(G899,FIND(" ",G899)-1)))</f>
        <v>4</v>
      </c>
      <c r="T899">
        <f t="shared" ref="T899:T962" si="255">IF(H899="","",VALUE(LEFT(H899,FIND(" ",H899)-1)))</f>
        <v>3</v>
      </c>
      <c r="U899">
        <v>50</v>
      </c>
      <c r="V899">
        <f t="shared" ref="V899:V962" si="256">IF(L899="",0,IF(ISNUMBER(SEARCH("Bathroom",L899)),1,0))</f>
        <v>0</v>
      </c>
      <c r="W899">
        <f t="shared" ref="W899:W962" si="257">IF(L899="",0,IF(ISNUMBER(SEARCH("Dining room",L899)),1,0))</f>
        <v>1</v>
      </c>
      <c r="X899">
        <f t="shared" ref="X899:X962" si="258">IF(L899="",0,IF(ISNUMBER(SEARCH("Office",L899)),1,0))</f>
        <v>1</v>
      </c>
      <c r="Y899">
        <f t="shared" ref="Y899:Y962" si="259">IF(L899="",0,IF(ISNUMBER(SEARCH("Bedroom",L899)),1,0))</f>
        <v>0</v>
      </c>
      <c r="Z899">
        <f t="shared" ref="Z899:Z962" si="260">IF(L899="",0,IF(ISNUMBER(SEARCH("Living room",L899)),1,0))</f>
        <v>0</v>
      </c>
      <c r="AA899">
        <f t="shared" ref="AA899:AA962" si="261">IF(M899="",0, IF(ISNUMBER(SEARCH("By yourself",M899)), 1, 0))</f>
        <v>1</v>
      </c>
      <c r="AB899">
        <f t="shared" ref="AB899:AB962" si="262">IF(M899="", 0, IF(ISNUMBER(SEARCH("Friends", M899)), 1, 0))</f>
        <v>0</v>
      </c>
      <c r="AC899">
        <f t="shared" ref="AC899:AC962" si="263">IF(M899="",0,IF(ISNUMBER(SEARCH("Family members", M899)), 1, 0))</f>
        <v>0</v>
      </c>
      <c r="AD899">
        <f t="shared" ref="AD899:AD962" si="264">IF(M899="", 0, IF(ISNUMBER(SEARCH("Coworkers/Classmates", M899)), 1, 0))</f>
        <v>0</v>
      </c>
      <c r="AE899">
        <f t="shared" ref="AE899:AE962" si="265">IF(M899="", 0, IF(ISNUMBER(SEARCH("Strangers", M899)), 1, 0))</f>
        <v>0</v>
      </c>
      <c r="AF899">
        <f t="shared" ref="AF899:AF962" si="266">IF(N899="", 0, IF(ISNUMBER(SEARCH("Spring", N899)), 1, 0))</f>
        <v>0</v>
      </c>
      <c r="AG899">
        <f t="shared" ref="AG899:AG962" si="267">IF(N899="", 0, IF(ISNUMBER(SEARCH("Summer", N899)), 1, 0))</f>
        <v>1</v>
      </c>
      <c r="AH899">
        <f t="shared" ref="AH899:AH962" si="268">IF(N899="", 0, IF(ISNUMBER(SEARCH("Fall", N899)), 1, 0))</f>
        <v>1</v>
      </c>
      <c r="AI899">
        <f t="shared" ref="AI899:AI962" si="269">IF(N899="", 0, IF(ISNUMBER(SEARCH("Winter", N899)), 1, 0))</f>
        <v>0</v>
      </c>
    </row>
    <row r="900" spans="1:35" x14ac:dyDescent="0.2">
      <c r="A900">
        <v>457</v>
      </c>
      <c r="B900" t="s">
        <v>16</v>
      </c>
      <c r="C900">
        <v>10</v>
      </c>
      <c r="D900" t="s">
        <v>2613</v>
      </c>
      <c r="E900" t="s">
        <v>18</v>
      </c>
      <c r="F900" t="s">
        <v>20</v>
      </c>
      <c r="G900" t="s">
        <v>19</v>
      </c>
      <c r="H900" t="s">
        <v>39</v>
      </c>
      <c r="I900">
        <v>4</v>
      </c>
      <c r="J900">
        <v>8</v>
      </c>
      <c r="K900">
        <v>500</v>
      </c>
      <c r="L900" t="s">
        <v>41</v>
      </c>
      <c r="M900" t="s">
        <v>99</v>
      </c>
      <c r="N900" t="s">
        <v>147</v>
      </c>
      <c r="O900" t="s">
        <v>2192</v>
      </c>
      <c r="P900" t="s">
        <v>2614</v>
      </c>
      <c r="Q900">
        <f t="shared" si="252"/>
        <v>4</v>
      </c>
      <c r="R900">
        <f t="shared" si="253"/>
        <v>2</v>
      </c>
      <c r="S900">
        <f t="shared" si="254"/>
        <v>3</v>
      </c>
      <c r="T900">
        <f t="shared" si="255"/>
        <v>5</v>
      </c>
      <c r="U900">
        <v>500</v>
      </c>
      <c r="V900">
        <f t="shared" si="256"/>
        <v>0</v>
      </c>
      <c r="W900">
        <f t="shared" si="257"/>
        <v>0</v>
      </c>
      <c r="X900">
        <f t="shared" si="258"/>
        <v>0</v>
      </c>
      <c r="Y900">
        <f t="shared" si="259"/>
        <v>0</v>
      </c>
      <c r="Z900">
        <f t="shared" si="260"/>
        <v>1</v>
      </c>
      <c r="AA900">
        <f t="shared" si="261"/>
        <v>1</v>
      </c>
      <c r="AB900">
        <f t="shared" si="262"/>
        <v>0</v>
      </c>
      <c r="AC900">
        <f t="shared" si="263"/>
        <v>0</v>
      </c>
      <c r="AD900">
        <f t="shared" si="264"/>
        <v>0</v>
      </c>
      <c r="AE900">
        <f t="shared" si="265"/>
        <v>1</v>
      </c>
      <c r="AF900">
        <f t="shared" si="266"/>
        <v>0</v>
      </c>
      <c r="AG900">
        <f t="shared" si="267"/>
        <v>0</v>
      </c>
      <c r="AH900">
        <f t="shared" si="268"/>
        <v>1</v>
      </c>
      <c r="AI900">
        <f t="shared" si="269"/>
        <v>1</v>
      </c>
    </row>
    <row r="901" spans="1:35" x14ac:dyDescent="0.2">
      <c r="A901">
        <v>458</v>
      </c>
      <c r="B901" t="s">
        <v>16</v>
      </c>
      <c r="C901">
        <v>10</v>
      </c>
      <c r="D901" t="s">
        <v>2615</v>
      </c>
      <c r="E901" t="s">
        <v>18</v>
      </c>
      <c r="F901" t="s">
        <v>19</v>
      </c>
      <c r="G901" t="s">
        <v>20</v>
      </c>
      <c r="H901" t="s">
        <v>39</v>
      </c>
      <c r="I901">
        <v>4</v>
      </c>
      <c r="J901">
        <v>3</v>
      </c>
      <c r="K901">
        <v>0</v>
      </c>
      <c r="L901" t="s">
        <v>41</v>
      </c>
      <c r="M901" t="s">
        <v>23</v>
      </c>
      <c r="N901" t="s">
        <v>84</v>
      </c>
      <c r="O901" t="s">
        <v>2616</v>
      </c>
      <c r="P901" t="s">
        <v>2617</v>
      </c>
      <c r="Q901">
        <f t="shared" si="252"/>
        <v>4</v>
      </c>
      <c r="R901">
        <f t="shared" si="253"/>
        <v>3</v>
      </c>
      <c r="S901">
        <f t="shared" si="254"/>
        <v>2</v>
      </c>
      <c r="T901">
        <f t="shared" si="255"/>
        <v>5</v>
      </c>
      <c r="U901">
        <v>0</v>
      </c>
      <c r="V901">
        <f t="shared" si="256"/>
        <v>0</v>
      </c>
      <c r="W901">
        <f t="shared" si="257"/>
        <v>0</v>
      </c>
      <c r="X901">
        <f t="shared" si="258"/>
        <v>0</v>
      </c>
      <c r="Y901">
        <f t="shared" si="259"/>
        <v>0</v>
      </c>
      <c r="Z901">
        <f t="shared" si="260"/>
        <v>1</v>
      </c>
      <c r="AA901">
        <f t="shared" si="261"/>
        <v>1</v>
      </c>
      <c r="AB901">
        <f t="shared" si="262"/>
        <v>0</v>
      </c>
      <c r="AC901">
        <f t="shared" si="263"/>
        <v>0</v>
      </c>
      <c r="AD901">
        <f t="shared" si="264"/>
        <v>0</v>
      </c>
      <c r="AE901">
        <f t="shared" si="265"/>
        <v>0</v>
      </c>
      <c r="AF901">
        <f t="shared" si="266"/>
        <v>0</v>
      </c>
      <c r="AG901">
        <f t="shared" si="267"/>
        <v>1</v>
      </c>
      <c r="AH901">
        <f t="shared" si="268"/>
        <v>0</v>
      </c>
      <c r="AI901">
        <f t="shared" si="269"/>
        <v>0</v>
      </c>
    </row>
    <row r="902" spans="1:35" x14ac:dyDescent="0.2">
      <c r="A902">
        <v>459</v>
      </c>
      <c r="B902" t="s">
        <v>16</v>
      </c>
      <c r="C902">
        <v>3</v>
      </c>
      <c r="D902" t="s">
        <v>2618</v>
      </c>
      <c r="E902" t="s">
        <v>18</v>
      </c>
      <c r="F902" t="s">
        <v>21</v>
      </c>
      <c r="G902" t="s">
        <v>20</v>
      </c>
      <c r="H902" t="s">
        <v>18</v>
      </c>
      <c r="I902">
        <v>4</v>
      </c>
      <c r="J902">
        <v>4</v>
      </c>
      <c r="K902" s="1">
        <v>5</v>
      </c>
      <c r="L902" t="s">
        <v>98</v>
      </c>
      <c r="M902" t="s">
        <v>280</v>
      </c>
      <c r="N902" t="s">
        <v>24</v>
      </c>
      <c r="O902" t="s">
        <v>2619</v>
      </c>
      <c r="P902" t="s">
        <v>2620</v>
      </c>
      <c r="Q902">
        <f t="shared" si="252"/>
        <v>4</v>
      </c>
      <c r="R902">
        <f t="shared" si="253"/>
        <v>1</v>
      </c>
      <c r="S902">
        <f t="shared" si="254"/>
        <v>2</v>
      </c>
      <c r="T902">
        <f t="shared" si="255"/>
        <v>4</v>
      </c>
      <c r="U902">
        <v>5</v>
      </c>
      <c r="V902">
        <f t="shared" si="256"/>
        <v>0</v>
      </c>
      <c r="W902">
        <f t="shared" si="257"/>
        <v>1</v>
      </c>
      <c r="X902">
        <f t="shared" si="258"/>
        <v>0</v>
      </c>
      <c r="Y902">
        <f t="shared" si="259"/>
        <v>0</v>
      </c>
      <c r="Z902">
        <f t="shared" si="260"/>
        <v>0</v>
      </c>
      <c r="AA902">
        <f t="shared" si="261"/>
        <v>0</v>
      </c>
      <c r="AB902">
        <f t="shared" si="262"/>
        <v>1</v>
      </c>
      <c r="AC902">
        <f t="shared" si="263"/>
        <v>1</v>
      </c>
      <c r="AD902">
        <f t="shared" si="264"/>
        <v>1</v>
      </c>
      <c r="AE902">
        <f t="shared" si="265"/>
        <v>0</v>
      </c>
      <c r="AF902">
        <f t="shared" si="266"/>
        <v>0</v>
      </c>
      <c r="AG902">
        <f t="shared" si="267"/>
        <v>0</v>
      </c>
      <c r="AH902">
        <f t="shared" si="268"/>
        <v>1</v>
      </c>
      <c r="AI902">
        <f t="shared" si="269"/>
        <v>0</v>
      </c>
    </row>
    <row r="903" spans="1:35" x14ac:dyDescent="0.2">
      <c r="A903">
        <v>460</v>
      </c>
      <c r="B903" t="s">
        <v>16</v>
      </c>
      <c r="C903">
        <v>8</v>
      </c>
      <c r="D903" t="s">
        <v>2621</v>
      </c>
      <c r="E903" t="s">
        <v>18</v>
      </c>
      <c r="F903" t="s">
        <v>20</v>
      </c>
      <c r="G903" t="s">
        <v>20</v>
      </c>
      <c r="H903" t="s">
        <v>19</v>
      </c>
      <c r="I903">
        <v>5</v>
      </c>
      <c r="J903">
        <v>5</v>
      </c>
      <c r="K903" s="1">
        <v>500</v>
      </c>
      <c r="L903" t="s">
        <v>47</v>
      </c>
      <c r="M903" t="s">
        <v>48</v>
      </c>
      <c r="N903" t="s">
        <v>24</v>
      </c>
      <c r="O903" t="s">
        <v>148</v>
      </c>
      <c r="P903" t="s">
        <v>2622</v>
      </c>
      <c r="Q903">
        <f t="shared" si="252"/>
        <v>4</v>
      </c>
      <c r="R903">
        <f t="shared" si="253"/>
        <v>2</v>
      </c>
      <c r="S903">
        <f t="shared" si="254"/>
        <v>2</v>
      </c>
      <c r="T903">
        <f t="shared" si="255"/>
        <v>3</v>
      </c>
      <c r="U903">
        <v>500</v>
      </c>
      <c r="V903">
        <f t="shared" si="256"/>
        <v>0</v>
      </c>
      <c r="W903">
        <f t="shared" si="257"/>
        <v>0</v>
      </c>
      <c r="X903">
        <f t="shared" si="258"/>
        <v>1</v>
      </c>
      <c r="Y903">
        <f t="shared" si="259"/>
        <v>0</v>
      </c>
      <c r="Z903">
        <f t="shared" si="260"/>
        <v>1</v>
      </c>
      <c r="AA903">
        <f t="shared" si="261"/>
        <v>1</v>
      </c>
      <c r="AB903">
        <f t="shared" si="262"/>
        <v>1</v>
      </c>
      <c r="AC903">
        <f t="shared" si="263"/>
        <v>1</v>
      </c>
      <c r="AD903">
        <f t="shared" si="264"/>
        <v>0</v>
      </c>
      <c r="AE903">
        <f t="shared" si="265"/>
        <v>0</v>
      </c>
      <c r="AF903">
        <f t="shared" si="266"/>
        <v>0</v>
      </c>
      <c r="AG903">
        <f t="shared" si="267"/>
        <v>0</v>
      </c>
      <c r="AH903">
        <f t="shared" si="268"/>
        <v>1</v>
      </c>
      <c r="AI903">
        <f t="shared" si="269"/>
        <v>0</v>
      </c>
    </row>
    <row r="904" spans="1:35" x14ac:dyDescent="0.2">
      <c r="A904">
        <v>461</v>
      </c>
      <c r="B904" t="s">
        <v>16</v>
      </c>
      <c r="C904">
        <v>8</v>
      </c>
      <c r="D904" t="s">
        <v>2623</v>
      </c>
      <c r="E904" t="s">
        <v>19</v>
      </c>
      <c r="F904" t="s">
        <v>20</v>
      </c>
      <c r="G904" t="s">
        <v>18</v>
      </c>
      <c r="H904" t="s">
        <v>21</v>
      </c>
      <c r="I904">
        <v>4</v>
      </c>
      <c r="J904">
        <v>6</v>
      </c>
      <c r="K904">
        <v>100</v>
      </c>
      <c r="L904" t="s">
        <v>47</v>
      </c>
      <c r="M904" t="s">
        <v>161</v>
      </c>
      <c r="N904" t="s">
        <v>651</v>
      </c>
      <c r="O904" t="s">
        <v>195</v>
      </c>
      <c r="P904" t="s">
        <v>1131</v>
      </c>
      <c r="Q904">
        <f t="shared" si="252"/>
        <v>3</v>
      </c>
      <c r="R904">
        <f t="shared" si="253"/>
        <v>2</v>
      </c>
      <c r="S904">
        <f t="shared" si="254"/>
        <v>4</v>
      </c>
      <c r="T904">
        <f t="shared" si="255"/>
        <v>1</v>
      </c>
      <c r="U904">
        <v>100</v>
      </c>
      <c r="V904">
        <f t="shared" si="256"/>
        <v>0</v>
      </c>
      <c r="W904">
        <f t="shared" si="257"/>
        <v>0</v>
      </c>
      <c r="X904">
        <f t="shared" si="258"/>
        <v>1</v>
      </c>
      <c r="Y904">
        <f t="shared" si="259"/>
        <v>0</v>
      </c>
      <c r="Z904">
        <f t="shared" si="260"/>
        <v>1</v>
      </c>
      <c r="AA904">
        <f t="shared" si="261"/>
        <v>1</v>
      </c>
      <c r="AB904">
        <f t="shared" si="262"/>
        <v>1</v>
      </c>
      <c r="AC904">
        <f t="shared" si="263"/>
        <v>1</v>
      </c>
      <c r="AD904">
        <f t="shared" si="264"/>
        <v>1</v>
      </c>
      <c r="AE904">
        <f t="shared" si="265"/>
        <v>0</v>
      </c>
      <c r="AF904">
        <f t="shared" si="266"/>
        <v>1</v>
      </c>
      <c r="AG904">
        <f t="shared" si="267"/>
        <v>0</v>
      </c>
      <c r="AH904">
        <f t="shared" si="268"/>
        <v>1</v>
      </c>
      <c r="AI904">
        <f t="shared" si="269"/>
        <v>0</v>
      </c>
    </row>
    <row r="905" spans="1:35" x14ac:dyDescent="0.2">
      <c r="A905">
        <v>462</v>
      </c>
      <c r="B905" t="s">
        <v>16</v>
      </c>
      <c r="C905">
        <v>6</v>
      </c>
      <c r="D905" t="s">
        <v>2624</v>
      </c>
      <c r="E905" t="s">
        <v>18</v>
      </c>
      <c r="F905" t="s">
        <v>21</v>
      </c>
      <c r="G905" t="s">
        <v>20</v>
      </c>
      <c r="H905" t="s">
        <v>39</v>
      </c>
      <c r="I905">
        <v>4</v>
      </c>
      <c r="J905">
        <v>9</v>
      </c>
      <c r="K905">
        <v>60</v>
      </c>
      <c r="L905" t="s">
        <v>22</v>
      </c>
      <c r="M905" t="s">
        <v>219</v>
      </c>
      <c r="N905" t="s">
        <v>84</v>
      </c>
      <c r="O905" t="s">
        <v>2625</v>
      </c>
      <c r="P905" t="s">
        <v>2626</v>
      </c>
      <c r="Q905">
        <f t="shared" si="252"/>
        <v>4</v>
      </c>
      <c r="R905">
        <f t="shared" si="253"/>
        <v>1</v>
      </c>
      <c r="S905">
        <f t="shared" si="254"/>
        <v>2</v>
      </c>
      <c r="T905">
        <f t="shared" si="255"/>
        <v>5</v>
      </c>
      <c r="U905">
        <v>60</v>
      </c>
      <c r="V905">
        <f t="shared" si="256"/>
        <v>1</v>
      </c>
      <c r="W905">
        <f t="shared" si="257"/>
        <v>0</v>
      </c>
      <c r="X905">
        <f t="shared" si="258"/>
        <v>0</v>
      </c>
      <c r="Y905">
        <f t="shared" si="259"/>
        <v>0</v>
      </c>
      <c r="Z905">
        <f t="shared" si="260"/>
        <v>0</v>
      </c>
      <c r="AA905">
        <f t="shared" si="261"/>
        <v>0</v>
      </c>
      <c r="AB905">
        <f t="shared" si="262"/>
        <v>0</v>
      </c>
      <c r="AC905">
        <f t="shared" si="263"/>
        <v>0</v>
      </c>
      <c r="AD905">
        <f t="shared" si="264"/>
        <v>0</v>
      </c>
      <c r="AE905">
        <f t="shared" si="265"/>
        <v>1</v>
      </c>
      <c r="AF905">
        <f t="shared" si="266"/>
        <v>0</v>
      </c>
      <c r="AG905">
        <f t="shared" si="267"/>
        <v>1</v>
      </c>
      <c r="AH905">
        <f t="shared" si="268"/>
        <v>0</v>
      </c>
      <c r="AI905">
        <f t="shared" si="269"/>
        <v>0</v>
      </c>
    </row>
    <row r="906" spans="1:35" x14ac:dyDescent="0.2">
      <c r="A906">
        <v>463</v>
      </c>
      <c r="B906" t="s">
        <v>16</v>
      </c>
      <c r="C906">
        <v>4</v>
      </c>
      <c r="D906" t="s">
        <v>2627</v>
      </c>
      <c r="E906" t="s">
        <v>18</v>
      </c>
      <c r="F906" t="s">
        <v>19</v>
      </c>
      <c r="G906" t="s">
        <v>19</v>
      </c>
      <c r="H906" t="s">
        <v>18</v>
      </c>
      <c r="I906">
        <v>4</v>
      </c>
      <c r="J906">
        <v>5</v>
      </c>
      <c r="K906">
        <v>50</v>
      </c>
      <c r="L906" t="s">
        <v>53</v>
      </c>
      <c r="M906" t="s">
        <v>777</v>
      </c>
      <c r="N906" t="s">
        <v>84</v>
      </c>
      <c r="O906" t="s">
        <v>2628</v>
      </c>
      <c r="P906" t="s">
        <v>2629</v>
      </c>
      <c r="Q906">
        <f t="shared" si="252"/>
        <v>4</v>
      </c>
      <c r="R906">
        <f t="shared" si="253"/>
        <v>3</v>
      </c>
      <c r="S906">
        <f t="shared" si="254"/>
        <v>3</v>
      </c>
      <c r="T906">
        <f t="shared" si="255"/>
        <v>4</v>
      </c>
      <c r="U906">
        <v>50</v>
      </c>
      <c r="V906">
        <f t="shared" si="256"/>
        <v>0</v>
      </c>
      <c r="W906">
        <f t="shared" si="257"/>
        <v>0</v>
      </c>
      <c r="X906">
        <f t="shared" si="258"/>
        <v>1</v>
      </c>
      <c r="Y906">
        <f t="shared" si="259"/>
        <v>0</v>
      </c>
      <c r="Z906">
        <f t="shared" si="260"/>
        <v>0</v>
      </c>
      <c r="AA906">
        <f t="shared" si="261"/>
        <v>0</v>
      </c>
      <c r="AB906">
        <f t="shared" si="262"/>
        <v>1</v>
      </c>
      <c r="AC906">
        <f t="shared" si="263"/>
        <v>0</v>
      </c>
      <c r="AD906">
        <f t="shared" si="264"/>
        <v>0</v>
      </c>
      <c r="AE906">
        <f t="shared" si="265"/>
        <v>1</v>
      </c>
      <c r="AF906">
        <f t="shared" si="266"/>
        <v>0</v>
      </c>
      <c r="AG906">
        <f t="shared" si="267"/>
        <v>1</v>
      </c>
      <c r="AH906">
        <f t="shared" si="268"/>
        <v>0</v>
      </c>
      <c r="AI906">
        <f t="shared" si="269"/>
        <v>0</v>
      </c>
    </row>
    <row r="907" spans="1:35" x14ac:dyDescent="0.2">
      <c r="A907">
        <v>464</v>
      </c>
      <c r="B907" t="s">
        <v>16</v>
      </c>
      <c r="C907">
        <v>4</v>
      </c>
      <c r="D907" t="s">
        <v>2630</v>
      </c>
      <c r="E907" t="s">
        <v>18</v>
      </c>
      <c r="F907" t="s">
        <v>21</v>
      </c>
      <c r="G907" t="s">
        <v>18</v>
      </c>
      <c r="H907" t="s">
        <v>39</v>
      </c>
      <c r="I907">
        <v>4</v>
      </c>
      <c r="J907">
        <v>2</v>
      </c>
      <c r="K907">
        <v>0</v>
      </c>
      <c r="L907" t="s">
        <v>53</v>
      </c>
      <c r="M907" t="s">
        <v>23</v>
      </c>
      <c r="N907" t="s">
        <v>84</v>
      </c>
      <c r="O907" t="s">
        <v>593</v>
      </c>
      <c r="P907" t="s">
        <v>2631</v>
      </c>
      <c r="Q907">
        <f t="shared" si="252"/>
        <v>4</v>
      </c>
      <c r="R907">
        <f t="shared" si="253"/>
        <v>1</v>
      </c>
      <c r="S907">
        <f t="shared" si="254"/>
        <v>4</v>
      </c>
      <c r="T907">
        <f t="shared" si="255"/>
        <v>5</v>
      </c>
      <c r="U907">
        <v>0</v>
      </c>
      <c r="V907">
        <f t="shared" si="256"/>
        <v>0</v>
      </c>
      <c r="W907">
        <f t="shared" si="257"/>
        <v>0</v>
      </c>
      <c r="X907">
        <f t="shared" si="258"/>
        <v>1</v>
      </c>
      <c r="Y907">
        <f t="shared" si="259"/>
        <v>0</v>
      </c>
      <c r="Z907">
        <f t="shared" si="260"/>
        <v>0</v>
      </c>
      <c r="AA907">
        <f t="shared" si="261"/>
        <v>1</v>
      </c>
      <c r="AB907">
        <f t="shared" si="262"/>
        <v>0</v>
      </c>
      <c r="AC907">
        <f t="shared" si="263"/>
        <v>0</v>
      </c>
      <c r="AD907">
        <f t="shared" si="264"/>
        <v>0</v>
      </c>
      <c r="AE907">
        <f t="shared" si="265"/>
        <v>0</v>
      </c>
      <c r="AF907">
        <f t="shared" si="266"/>
        <v>0</v>
      </c>
      <c r="AG907">
        <f t="shared" si="267"/>
        <v>1</v>
      </c>
      <c r="AH907">
        <f t="shared" si="268"/>
        <v>0</v>
      </c>
      <c r="AI907">
        <f t="shared" si="269"/>
        <v>0</v>
      </c>
    </row>
    <row r="908" spans="1:35" x14ac:dyDescent="0.2">
      <c r="A908">
        <v>465</v>
      </c>
      <c r="B908" t="s">
        <v>16</v>
      </c>
      <c r="C908">
        <v>5</v>
      </c>
      <c r="D908" t="s">
        <v>2632</v>
      </c>
      <c r="E908" t="s">
        <v>18</v>
      </c>
      <c r="F908" t="s">
        <v>20</v>
      </c>
      <c r="G908" t="s">
        <v>19</v>
      </c>
      <c r="H908" t="s">
        <v>18</v>
      </c>
      <c r="I908">
        <v>3</v>
      </c>
      <c r="J908">
        <v>2</v>
      </c>
      <c r="K908" s="1">
        <v>250</v>
      </c>
      <c r="L908" t="s">
        <v>128</v>
      </c>
      <c r="M908" t="s">
        <v>23</v>
      </c>
      <c r="N908" t="s">
        <v>147</v>
      </c>
      <c r="O908" t="s">
        <v>88</v>
      </c>
      <c r="P908" t="s">
        <v>2633</v>
      </c>
      <c r="Q908">
        <f t="shared" si="252"/>
        <v>4</v>
      </c>
      <c r="R908">
        <f t="shared" si="253"/>
        <v>2</v>
      </c>
      <c r="S908">
        <f t="shared" si="254"/>
        <v>3</v>
      </c>
      <c r="T908">
        <f t="shared" si="255"/>
        <v>4</v>
      </c>
      <c r="U908">
        <v>250</v>
      </c>
      <c r="V908">
        <f t="shared" si="256"/>
        <v>1</v>
      </c>
      <c r="W908">
        <f t="shared" si="257"/>
        <v>0</v>
      </c>
      <c r="X908">
        <f t="shared" si="258"/>
        <v>1</v>
      </c>
      <c r="Y908">
        <f t="shared" si="259"/>
        <v>0</v>
      </c>
      <c r="Z908">
        <f t="shared" si="260"/>
        <v>0</v>
      </c>
      <c r="AA908">
        <f t="shared" si="261"/>
        <v>1</v>
      </c>
      <c r="AB908">
        <f t="shared" si="262"/>
        <v>0</v>
      </c>
      <c r="AC908">
        <f t="shared" si="263"/>
        <v>0</v>
      </c>
      <c r="AD908">
        <f t="shared" si="264"/>
        <v>0</v>
      </c>
      <c r="AE908">
        <f t="shared" si="265"/>
        <v>0</v>
      </c>
      <c r="AF908">
        <f t="shared" si="266"/>
        <v>0</v>
      </c>
      <c r="AG908">
        <f t="shared" si="267"/>
        <v>0</v>
      </c>
      <c r="AH908">
        <f t="shared" si="268"/>
        <v>1</v>
      </c>
      <c r="AI908">
        <f t="shared" si="269"/>
        <v>1</v>
      </c>
    </row>
    <row r="909" spans="1:35" x14ac:dyDescent="0.2">
      <c r="A909">
        <v>466</v>
      </c>
      <c r="B909" t="s">
        <v>16</v>
      </c>
      <c r="C909">
        <v>3</v>
      </c>
      <c r="D909" t="s">
        <v>2634</v>
      </c>
      <c r="E909" t="s">
        <v>39</v>
      </c>
      <c r="F909" t="s">
        <v>21</v>
      </c>
      <c r="G909" t="s">
        <v>20</v>
      </c>
      <c r="H909" t="s">
        <v>19</v>
      </c>
      <c r="I909">
        <v>3</v>
      </c>
      <c r="J909">
        <v>4</v>
      </c>
      <c r="K909">
        <v>1</v>
      </c>
      <c r="L909" t="s">
        <v>53</v>
      </c>
      <c r="M909" t="s">
        <v>35</v>
      </c>
      <c r="N909" t="s">
        <v>24</v>
      </c>
      <c r="O909" t="s">
        <v>2635</v>
      </c>
      <c r="P909" t="s">
        <v>2636</v>
      </c>
      <c r="Q909">
        <f t="shared" si="252"/>
        <v>5</v>
      </c>
      <c r="R909">
        <f t="shared" si="253"/>
        <v>1</v>
      </c>
      <c r="S909">
        <f t="shared" si="254"/>
        <v>2</v>
      </c>
      <c r="T909">
        <f t="shared" si="255"/>
        <v>3</v>
      </c>
      <c r="U909">
        <v>1</v>
      </c>
      <c r="V909">
        <f t="shared" si="256"/>
        <v>0</v>
      </c>
      <c r="W909">
        <f t="shared" si="257"/>
        <v>0</v>
      </c>
      <c r="X909">
        <f t="shared" si="258"/>
        <v>1</v>
      </c>
      <c r="Y909">
        <f t="shared" si="259"/>
        <v>0</v>
      </c>
      <c r="Z909">
        <f t="shared" si="260"/>
        <v>0</v>
      </c>
      <c r="AA909">
        <f t="shared" si="261"/>
        <v>0</v>
      </c>
      <c r="AB909">
        <f t="shared" si="262"/>
        <v>0</v>
      </c>
      <c r="AC909">
        <f t="shared" si="263"/>
        <v>0</v>
      </c>
      <c r="AD909">
        <f t="shared" si="264"/>
        <v>1</v>
      </c>
      <c r="AE909">
        <f t="shared" si="265"/>
        <v>0</v>
      </c>
      <c r="AF909">
        <f t="shared" si="266"/>
        <v>0</v>
      </c>
      <c r="AG909">
        <f t="shared" si="267"/>
        <v>0</v>
      </c>
      <c r="AH909">
        <f t="shared" si="268"/>
        <v>1</v>
      </c>
      <c r="AI909">
        <f t="shared" si="269"/>
        <v>0</v>
      </c>
    </row>
    <row r="910" spans="1:35" x14ac:dyDescent="0.2">
      <c r="A910">
        <v>467</v>
      </c>
      <c r="B910" t="s">
        <v>16</v>
      </c>
      <c r="C910">
        <v>3</v>
      </c>
      <c r="D910" t="s">
        <v>2637</v>
      </c>
      <c r="E910" t="s">
        <v>18</v>
      </c>
      <c r="F910" t="s">
        <v>20</v>
      </c>
      <c r="G910" t="s">
        <v>19</v>
      </c>
      <c r="H910" t="s">
        <v>18</v>
      </c>
      <c r="I910">
        <v>5</v>
      </c>
      <c r="J910">
        <v>6</v>
      </c>
      <c r="K910">
        <v>20</v>
      </c>
      <c r="L910" t="s">
        <v>53</v>
      </c>
      <c r="M910" t="s">
        <v>42</v>
      </c>
      <c r="N910" t="s">
        <v>24</v>
      </c>
      <c r="O910" t="s">
        <v>2638</v>
      </c>
      <c r="P910" t="s">
        <v>2639</v>
      </c>
      <c r="Q910">
        <f t="shared" si="252"/>
        <v>4</v>
      </c>
      <c r="R910">
        <f t="shared" si="253"/>
        <v>2</v>
      </c>
      <c r="S910">
        <f t="shared" si="254"/>
        <v>3</v>
      </c>
      <c r="T910">
        <f t="shared" si="255"/>
        <v>4</v>
      </c>
      <c r="U910">
        <v>20</v>
      </c>
      <c r="V910">
        <f t="shared" si="256"/>
        <v>0</v>
      </c>
      <c r="W910">
        <f t="shared" si="257"/>
        <v>0</v>
      </c>
      <c r="X910">
        <f t="shared" si="258"/>
        <v>1</v>
      </c>
      <c r="Y910">
        <f t="shared" si="259"/>
        <v>0</v>
      </c>
      <c r="Z910">
        <f t="shared" si="260"/>
        <v>0</v>
      </c>
      <c r="AA910">
        <f t="shared" si="261"/>
        <v>0</v>
      </c>
      <c r="AB910">
        <f t="shared" si="262"/>
        <v>1</v>
      </c>
      <c r="AC910">
        <f t="shared" si="263"/>
        <v>0</v>
      </c>
      <c r="AD910">
        <f t="shared" si="264"/>
        <v>0</v>
      </c>
      <c r="AE910">
        <f t="shared" si="265"/>
        <v>0</v>
      </c>
      <c r="AF910">
        <f t="shared" si="266"/>
        <v>0</v>
      </c>
      <c r="AG910">
        <f t="shared" si="267"/>
        <v>0</v>
      </c>
      <c r="AH910">
        <f t="shared" si="268"/>
        <v>1</v>
      </c>
      <c r="AI910">
        <f t="shared" si="269"/>
        <v>0</v>
      </c>
    </row>
    <row r="911" spans="1:35" x14ac:dyDescent="0.2">
      <c r="A911">
        <v>468</v>
      </c>
      <c r="B911" t="s">
        <v>16</v>
      </c>
      <c r="C911">
        <v>8</v>
      </c>
      <c r="D911" t="s">
        <v>2640</v>
      </c>
      <c r="E911" t="s">
        <v>18</v>
      </c>
      <c r="F911" t="s">
        <v>20</v>
      </c>
      <c r="G911" t="s">
        <v>20</v>
      </c>
      <c r="H911" t="s">
        <v>18</v>
      </c>
      <c r="I911">
        <v>5</v>
      </c>
      <c r="J911">
        <v>8</v>
      </c>
      <c r="K911">
        <v>1000</v>
      </c>
      <c r="L911" t="s">
        <v>53</v>
      </c>
      <c r="M911" t="s">
        <v>23</v>
      </c>
      <c r="N911" t="s">
        <v>24</v>
      </c>
      <c r="O911" t="s">
        <v>2641</v>
      </c>
      <c r="P911" t="s">
        <v>2642</v>
      </c>
      <c r="Q911">
        <f t="shared" si="252"/>
        <v>4</v>
      </c>
      <c r="R911">
        <f t="shared" si="253"/>
        <v>2</v>
      </c>
      <c r="S911">
        <f t="shared" si="254"/>
        <v>2</v>
      </c>
      <c r="T911">
        <f t="shared" si="255"/>
        <v>4</v>
      </c>
      <c r="U911">
        <v>1000</v>
      </c>
      <c r="V911">
        <f t="shared" si="256"/>
        <v>0</v>
      </c>
      <c r="W911">
        <f t="shared" si="257"/>
        <v>0</v>
      </c>
      <c r="X911">
        <f t="shared" si="258"/>
        <v>1</v>
      </c>
      <c r="Y911">
        <f t="shared" si="259"/>
        <v>0</v>
      </c>
      <c r="Z911">
        <f t="shared" si="260"/>
        <v>0</v>
      </c>
      <c r="AA911">
        <f t="shared" si="261"/>
        <v>1</v>
      </c>
      <c r="AB911">
        <f t="shared" si="262"/>
        <v>0</v>
      </c>
      <c r="AC911">
        <f t="shared" si="263"/>
        <v>0</v>
      </c>
      <c r="AD911">
        <f t="shared" si="264"/>
        <v>0</v>
      </c>
      <c r="AE911">
        <f t="shared" si="265"/>
        <v>0</v>
      </c>
      <c r="AF911">
        <f t="shared" si="266"/>
        <v>0</v>
      </c>
      <c r="AG911">
        <f t="shared" si="267"/>
        <v>0</v>
      </c>
      <c r="AH911">
        <f t="shared" si="268"/>
        <v>1</v>
      </c>
      <c r="AI911">
        <f t="shared" si="269"/>
        <v>0</v>
      </c>
    </row>
    <row r="912" spans="1:35" x14ac:dyDescent="0.2">
      <c r="A912">
        <v>469</v>
      </c>
      <c r="B912" t="s">
        <v>16</v>
      </c>
      <c r="C912">
        <v>5</v>
      </c>
      <c r="D912" t="s">
        <v>2643</v>
      </c>
      <c r="E912" t="s">
        <v>39</v>
      </c>
      <c r="F912" t="s">
        <v>20</v>
      </c>
      <c r="G912" t="s">
        <v>20</v>
      </c>
      <c r="H912" t="s">
        <v>20</v>
      </c>
      <c r="I912">
        <v>5</v>
      </c>
      <c r="J912">
        <v>4</v>
      </c>
      <c r="K912">
        <v>200</v>
      </c>
      <c r="L912" t="s">
        <v>22</v>
      </c>
      <c r="M912" t="s">
        <v>219</v>
      </c>
      <c r="N912" t="s">
        <v>24</v>
      </c>
      <c r="O912" t="s">
        <v>2644</v>
      </c>
      <c r="P912" t="s">
        <v>163</v>
      </c>
      <c r="Q912">
        <f t="shared" si="252"/>
        <v>5</v>
      </c>
      <c r="R912">
        <f t="shared" si="253"/>
        <v>2</v>
      </c>
      <c r="S912">
        <f t="shared" si="254"/>
        <v>2</v>
      </c>
      <c r="T912">
        <f t="shared" si="255"/>
        <v>2</v>
      </c>
      <c r="U912">
        <v>200</v>
      </c>
      <c r="V912">
        <f t="shared" si="256"/>
        <v>1</v>
      </c>
      <c r="W912">
        <f t="shared" si="257"/>
        <v>0</v>
      </c>
      <c r="X912">
        <f t="shared" si="258"/>
        <v>0</v>
      </c>
      <c r="Y912">
        <f t="shared" si="259"/>
        <v>0</v>
      </c>
      <c r="Z912">
        <f t="shared" si="260"/>
        <v>0</v>
      </c>
      <c r="AA912">
        <f t="shared" si="261"/>
        <v>0</v>
      </c>
      <c r="AB912">
        <f t="shared" si="262"/>
        <v>0</v>
      </c>
      <c r="AC912">
        <f t="shared" si="263"/>
        <v>0</v>
      </c>
      <c r="AD912">
        <f t="shared" si="264"/>
        <v>0</v>
      </c>
      <c r="AE912">
        <f t="shared" si="265"/>
        <v>1</v>
      </c>
      <c r="AF912">
        <f t="shared" si="266"/>
        <v>0</v>
      </c>
      <c r="AG912">
        <f t="shared" si="267"/>
        <v>0</v>
      </c>
      <c r="AH912">
        <f t="shared" si="268"/>
        <v>1</v>
      </c>
      <c r="AI912">
        <f t="shared" si="269"/>
        <v>0</v>
      </c>
    </row>
    <row r="913" spans="1:35" x14ac:dyDescent="0.2">
      <c r="A913">
        <v>470</v>
      </c>
      <c r="B913" t="s">
        <v>16</v>
      </c>
      <c r="C913">
        <v>3</v>
      </c>
      <c r="D913" t="s">
        <v>2645</v>
      </c>
      <c r="E913" t="s">
        <v>20</v>
      </c>
      <c r="F913" t="s">
        <v>20</v>
      </c>
      <c r="G913" t="s">
        <v>21</v>
      </c>
      <c r="H913" t="s">
        <v>18</v>
      </c>
      <c r="I913">
        <v>2</v>
      </c>
      <c r="J913">
        <v>3</v>
      </c>
      <c r="K913">
        <v>35</v>
      </c>
      <c r="L913" t="s">
        <v>79</v>
      </c>
      <c r="M913" t="s">
        <v>219</v>
      </c>
      <c r="N913" t="s">
        <v>822</v>
      </c>
      <c r="O913" t="s">
        <v>141</v>
      </c>
      <c r="P913" t="s">
        <v>2646</v>
      </c>
      <c r="Q913">
        <f t="shared" si="252"/>
        <v>2</v>
      </c>
      <c r="R913">
        <f t="shared" si="253"/>
        <v>2</v>
      </c>
      <c r="S913">
        <f t="shared" si="254"/>
        <v>1</v>
      </c>
      <c r="T913">
        <f t="shared" si="255"/>
        <v>4</v>
      </c>
      <c r="U913">
        <v>35</v>
      </c>
      <c r="V913">
        <f t="shared" si="256"/>
        <v>0</v>
      </c>
      <c r="W913">
        <f t="shared" si="257"/>
        <v>1</v>
      </c>
      <c r="X913">
        <f t="shared" si="258"/>
        <v>0</v>
      </c>
      <c r="Y913">
        <f t="shared" si="259"/>
        <v>0</v>
      </c>
      <c r="Z913">
        <f t="shared" si="260"/>
        <v>1</v>
      </c>
      <c r="AA913">
        <f t="shared" si="261"/>
        <v>0</v>
      </c>
      <c r="AB913">
        <f t="shared" si="262"/>
        <v>0</v>
      </c>
      <c r="AC913">
        <f t="shared" si="263"/>
        <v>0</v>
      </c>
      <c r="AD913">
        <f t="shared" si="264"/>
        <v>0</v>
      </c>
      <c r="AE913">
        <f t="shared" si="265"/>
        <v>1</v>
      </c>
      <c r="AF913">
        <f t="shared" si="266"/>
        <v>1</v>
      </c>
      <c r="AG913">
        <f t="shared" si="267"/>
        <v>1</v>
      </c>
      <c r="AH913">
        <f t="shared" si="268"/>
        <v>1</v>
      </c>
      <c r="AI913">
        <f t="shared" si="269"/>
        <v>0</v>
      </c>
    </row>
    <row r="914" spans="1:35" x14ac:dyDescent="0.2">
      <c r="A914">
        <v>471</v>
      </c>
      <c r="B914" t="s">
        <v>16</v>
      </c>
      <c r="C914">
        <v>4</v>
      </c>
      <c r="D914" t="s">
        <v>2647</v>
      </c>
      <c r="E914" t="s">
        <v>18</v>
      </c>
      <c r="F914" t="s">
        <v>19</v>
      </c>
      <c r="G914" t="s">
        <v>19</v>
      </c>
      <c r="H914" t="s">
        <v>18</v>
      </c>
      <c r="I914">
        <v>3</v>
      </c>
      <c r="J914">
        <v>4</v>
      </c>
      <c r="K914" s="1">
        <v>10</v>
      </c>
      <c r="L914" t="s">
        <v>53</v>
      </c>
      <c r="M914" t="s">
        <v>23</v>
      </c>
      <c r="N914" t="s">
        <v>24</v>
      </c>
      <c r="O914" t="s">
        <v>2648</v>
      </c>
      <c r="P914" t="s">
        <v>2649</v>
      </c>
      <c r="Q914">
        <f t="shared" si="252"/>
        <v>4</v>
      </c>
      <c r="R914">
        <f t="shared" si="253"/>
        <v>3</v>
      </c>
      <c r="S914">
        <f t="shared" si="254"/>
        <v>3</v>
      </c>
      <c r="T914">
        <f t="shared" si="255"/>
        <v>4</v>
      </c>
      <c r="U914">
        <v>10</v>
      </c>
      <c r="V914">
        <f t="shared" si="256"/>
        <v>0</v>
      </c>
      <c r="W914">
        <f t="shared" si="257"/>
        <v>0</v>
      </c>
      <c r="X914">
        <f t="shared" si="258"/>
        <v>1</v>
      </c>
      <c r="Y914">
        <f t="shared" si="259"/>
        <v>0</v>
      </c>
      <c r="Z914">
        <f t="shared" si="260"/>
        <v>0</v>
      </c>
      <c r="AA914">
        <f t="shared" si="261"/>
        <v>1</v>
      </c>
      <c r="AB914">
        <f t="shared" si="262"/>
        <v>0</v>
      </c>
      <c r="AC914">
        <f t="shared" si="263"/>
        <v>0</v>
      </c>
      <c r="AD914">
        <f t="shared" si="264"/>
        <v>0</v>
      </c>
      <c r="AE914">
        <f t="shared" si="265"/>
        <v>0</v>
      </c>
      <c r="AF914">
        <f t="shared" si="266"/>
        <v>0</v>
      </c>
      <c r="AG914">
        <f t="shared" si="267"/>
        <v>0</v>
      </c>
      <c r="AH914">
        <f t="shared" si="268"/>
        <v>1</v>
      </c>
      <c r="AI914">
        <f t="shared" si="269"/>
        <v>0</v>
      </c>
    </row>
    <row r="915" spans="1:35" x14ac:dyDescent="0.2">
      <c r="A915">
        <v>472</v>
      </c>
      <c r="B915" t="s">
        <v>16</v>
      </c>
      <c r="C915">
        <v>4</v>
      </c>
      <c r="D915" t="s">
        <v>2650</v>
      </c>
      <c r="E915" t="s">
        <v>21</v>
      </c>
      <c r="F915" t="s">
        <v>18</v>
      </c>
      <c r="G915" t="s">
        <v>18</v>
      </c>
      <c r="H915" t="s">
        <v>20</v>
      </c>
      <c r="I915">
        <v>4</v>
      </c>
      <c r="J915">
        <v>4</v>
      </c>
      <c r="K915" s="1">
        <v>5</v>
      </c>
      <c r="L915" t="s">
        <v>98</v>
      </c>
      <c r="M915" t="s">
        <v>23</v>
      </c>
      <c r="N915" t="s">
        <v>84</v>
      </c>
      <c r="O915" t="s">
        <v>2651</v>
      </c>
      <c r="P915" t="s">
        <v>2652</v>
      </c>
      <c r="Q915">
        <f t="shared" si="252"/>
        <v>1</v>
      </c>
      <c r="R915">
        <f t="shared" si="253"/>
        <v>4</v>
      </c>
      <c r="S915">
        <f t="shared" si="254"/>
        <v>4</v>
      </c>
      <c r="T915">
        <f t="shared" si="255"/>
        <v>2</v>
      </c>
      <c r="U915">
        <v>5</v>
      </c>
      <c r="V915">
        <f t="shared" si="256"/>
        <v>0</v>
      </c>
      <c r="W915">
        <f t="shared" si="257"/>
        <v>1</v>
      </c>
      <c r="X915">
        <f t="shared" si="258"/>
        <v>0</v>
      </c>
      <c r="Y915">
        <f t="shared" si="259"/>
        <v>0</v>
      </c>
      <c r="Z915">
        <f t="shared" si="260"/>
        <v>0</v>
      </c>
      <c r="AA915">
        <f t="shared" si="261"/>
        <v>1</v>
      </c>
      <c r="AB915">
        <f t="shared" si="262"/>
        <v>0</v>
      </c>
      <c r="AC915">
        <f t="shared" si="263"/>
        <v>0</v>
      </c>
      <c r="AD915">
        <f t="shared" si="264"/>
        <v>0</v>
      </c>
      <c r="AE915">
        <f t="shared" si="265"/>
        <v>0</v>
      </c>
      <c r="AF915">
        <f t="shared" si="266"/>
        <v>0</v>
      </c>
      <c r="AG915">
        <f t="shared" si="267"/>
        <v>1</v>
      </c>
      <c r="AH915">
        <f t="shared" si="268"/>
        <v>0</v>
      </c>
      <c r="AI915">
        <f t="shared" si="269"/>
        <v>0</v>
      </c>
    </row>
    <row r="916" spans="1:35" x14ac:dyDescent="0.2">
      <c r="A916">
        <v>473</v>
      </c>
      <c r="B916" t="s">
        <v>16</v>
      </c>
      <c r="C916">
        <v>4</v>
      </c>
      <c r="D916" t="s">
        <v>2653</v>
      </c>
      <c r="E916" t="s">
        <v>18</v>
      </c>
      <c r="F916" t="s">
        <v>20</v>
      </c>
      <c r="G916" t="s">
        <v>19</v>
      </c>
      <c r="H916" t="s">
        <v>19</v>
      </c>
      <c r="I916">
        <v>3</v>
      </c>
      <c r="J916">
        <v>4</v>
      </c>
      <c r="K916" s="1">
        <v>150</v>
      </c>
      <c r="L916" t="s">
        <v>53</v>
      </c>
      <c r="M916" t="s">
        <v>23</v>
      </c>
      <c r="N916" t="s">
        <v>24</v>
      </c>
      <c r="O916" t="s">
        <v>2654</v>
      </c>
      <c r="P916" t="s">
        <v>2655</v>
      </c>
      <c r="Q916">
        <f t="shared" si="252"/>
        <v>4</v>
      </c>
      <c r="R916">
        <f t="shared" si="253"/>
        <v>2</v>
      </c>
      <c r="S916">
        <f t="shared" si="254"/>
        <v>3</v>
      </c>
      <c r="T916">
        <f t="shared" si="255"/>
        <v>3</v>
      </c>
      <c r="U916">
        <v>150</v>
      </c>
      <c r="V916">
        <f t="shared" si="256"/>
        <v>0</v>
      </c>
      <c r="W916">
        <f t="shared" si="257"/>
        <v>0</v>
      </c>
      <c r="X916">
        <f t="shared" si="258"/>
        <v>1</v>
      </c>
      <c r="Y916">
        <f t="shared" si="259"/>
        <v>0</v>
      </c>
      <c r="Z916">
        <f t="shared" si="260"/>
        <v>0</v>
      </c>
      <c r="AA916">
        <f t="shared" si="261"/>
        <v>1</v>
      </c>
      <c r="AB916">
        <f t="shared" si="262"/>
        <v>0</v>
      </c>
      <c r="AC916">
        <f t="shared" si="263"/>
        <v>0</v>
      </c>
      <c r="AD916">
        <f t="shared" si="264"/>
        <v>0</v>
      </c>
      <c r="AE916">
        <f t="shared" si="265"/>
        <v>0</v>
      </c>
      <c r="AF916">
        <f t="shared" si="266"/>
        <v>0</v>
      </c>
      <c r="AG916">
        <f t="shared" si="267"/>
        <v>0</v>
      </c>
      <c r="AH916">
        <f t="shared" si="268"/>
        <v>1</v>
      </c>
      <c r="AI916">
        <f t="shared" si="269"/>
        <v>0</v>
      </c>
    </row>
    <row r="917" spans="1:35" x14ac:dyDescent="0.2">
      <c r="A917">
        <v>474</v>
      </c>
      <c r="B917" t="s">
        <v>16</v>
      </c>
      <c r="C917">
        <v>8</v>
      </c>
      <c r="D917" t="s">
        <v>2656</v>
      </c>
      <c r="E917" t="s">
        <v>18</v>
      </c>
      <c r="F917" t="s">
        <v>21</v>
      </c>
      <c r="G917" t="s">
        <v>19</v>
      </c>
      <c r="H917" t="s">
        <v>39</v>
      </c>
      <c r="I917">
        <v>5</v>
      </c>
      <c r="J917">
        <v>10</v>
      </c>
      <c r="K917">
        <v>200</v>
      </c>
      <c r="L917" t="s">
        <v>22</v>
      </c>
      <c r="M917" t="s">
        <v>23</v>
      </c>
      <c r="N917" t="s">
        <v>24</v>
      </c>
      <c r="O917" t="s">
        <v>148</v>
      </c>
      <c r="P917" t="s">
        <v>2657</v>
      </c>
      <c r="Q917">
        <f t="shared" si="252"/>
        <v>4</v>
      </c>
      <c r="R917">
        <f t="shared" si="253"/>
        <v>1</v>
      </c>
      <c r="S917">
        <f t="shared" si="254"/>
        <v>3</v>
      </c>
      <c r="T917">
        <f t="shared" si="255"/>
        <v>5</v>
      </c>
      <c r="U917">
        <v>200</v>
      </c>
      <c r="V917">
        <f t="shared" si="256"/>
        <v>1</v>
      </c>
      <c r="W917">
        <f t="shared" si="257"/>
        <v>0</v>
      </c>
      <c r="X917">
        <f t="shared" si="258"/>
        <v>0</v>
      </c>
      <c r="Y917">
        <f t="shared" si="259"/>
        <v>0</v>
      </c>
      <c r="Z917">
        <f t="shared" si="260"/>
        <v>0</v>
      </c>
      <c r="AA917">
        <f t="shared" si="261"/>
        <v>1</v>
      </c>
      <c r="AB917">
        <f t="shared" si="262"/>
        <v>0</v>
      </c>
      <c r="AC917">
        <f t="shared" si="263"/>
        <v>0</v>
      </c>
      <c r="AD917">
        <f t="shared" si="264"/>
        <v>0</v>
      </c>
      <c r="AE917">
        <f t="shared" si="265"/>
        <v>0</v>
      </c>
      <c r="AF917">
        <f t="shared" si="266"/>
        <v>0</v>
      </c>
      <c r="AG917">
        <f t="shared" si="267"/>
        <v>0</v>
      </c>
      <c r="AH917">
        <f t="shared" si="268"/>
        <v>1</v>
      </c>
      <c r="AI917">
        <f t="shared" si="269"/>
        <v>0</v>
      </c>
    </row>
    <row r="918" spans="1:35" x14ac:dyDescent="0.2">
      <c r="A918">
        <v>475</v>
      </c>
      <c r="B918" t="s">
        <v>16</v>
      </c>
      <c r="C918">
        <v>5</v>
      </c>
      <c r="D918" t="s">
        <v>2658</v>
      </c>
      <c r="E918" t="s">
        <v>19</v>
      </c>
      <c r="F918" t="s">
        <v>19</v>
      </c>
      <c r="G918" t="s">
        <v>19</v>
      </c>
      <c r="H918" t="s">
        <v>19</v>
      </c>
      <c r="I918">
        <v>6</v>
      </c>
      <c r="J918">
        <v>7</v>
      </c>
      <c r="K918">
        <v>0</v>
      </c>
      <c r="L918" t="s">
        <v>98</v>
      </c>
      <c r="M918" t="s">
        <v>23</v>
      </c>
      <c r="N918" t="s">
        <v>24</v>
      </c>
      <c r="O918" t="s">
        <v>2659</v>
      </c>
      <c r="P918" t="s">
        <v>2660</v>
      </c>
      <c r="Q918">
        <f t="shared" si="252"/>
        <v>3</v>
      </c>
      <c r="R918">
        <f t="shared" si="253"/>
        <v>3</v>
      </c>
      <c r="S918">
        <f t="shared" si="254"/>
        <v>3</v>
      </c>
      <c r="T918">
        <f t="shared" si="255"/>
        <v>3</v>
      </c>
      <c r="U918">
        <v>0</v>
      </c>
      <c r="V918">
        <f t="shared" si="256"/>
        <v>0</v>
      </c>
      <c r="W918">
        <f t="shared" si="257"/>
        <v>1</v>
      </c>
      <c r="X918">
        <f t="shared" si="258"/>
        <v>0</v>
      </c>
      <c r="Y918">
        <f t="shared" si="259"/>
        <v>0</v>
      </c>
      <c r="Z918">
        <f t="shared" si="260"/>
        <v>0</v>
      </c>
      <c r="AA918">
        <f t="shared" si="261"/>
        <v>1</v>
      </c>
      <c r="AB918">
        <f t="shared" si="262"/>
        <v>0</v>
      </c>
      <c r="AC918">
        <f t="shared" si="263"/>
        <v>0</v>
      </c>
      <c r="AD918">
        <f t="shared" si="264"/>
        <v>0</v>
      </c>
      <c r="AE918">
        <f t="shared" si="265"/>
        <v>0</v>
      </c>
      <c r="AF918">
        <f t="shared" si="266"/>
        <v>0</v>
      </c>
      <c r="AG918">
        <f t="shared" si="267"/>
        <v>0</v>
      </c>
      <c r="AH918">
        <f t="shared" si="268"/>
        <v>1</v>
      </c>
      <c r="AI918">
        <f t="shared" si="269"/>
        <v>0</v>
      </c>
    </row>
    <row r="919" spans="1:35" x14ac:dyDescent="0.2">
      <c r="A919">
        <v>476</v>
      </c>
      <c r="B919" t="s">
        <v>16</v>
      </c>
      <c r="C919">
        <v>9</v>
      </c>
      <c r="D919" t="s">
        <v>2661</v>
      </c>
      <c r="E919" t="s">
        <v>39</v>
      </c>
      <c r="F919" t="s">
        <v>19</v>
      </c>
      <c r="G919" t="s">
        <v>21</v>
      </c>
      <c r="H919" t="s">
        <v>39</v>
      </c>
      <c r="I919">
        <v>4</v>
      </c>
      <c r="J919">
        <v>3</v>
      </c>
      <c r="K919" t="s">
        <v>2662</v>
      </c>
      <c r="L919" t="s">
        <v>47</v>
      </c>
      <c r="M919" t="s">
        <v>48</v>
      </c>
      <c r="N919" t="s">
        <v>49</v>
      </c>
      <c r="O919" t="s">
        <v>2663</v>
      </c>
      <c r="P919" t="s">
        <v>2664</v>
      </c>
      <c r="Q919">
        <f t="shared" si="252"/>
        <v>5</v>
      </c>
      <c r="R919">
        <f t="shared" si="253"/>
        <v>3</v>
      </c>
      <c r="S919">
        <f t="shared" si="254"/>
        <v>1</v>
      </c>
      <c r="T919">
        <f t="shared" si="255"/>
        <v>5</v>
      </c>
      <c r="U919">
        <v>10000</v>
      </c>
      <c r="V919">
        <f t="shared" si="256"/>
        <v>0</v>
      </c>
      <c r="W919">
        <f t="shared" si="257"/>
        <v>0</v>
      </c>
      <c r="X919">
        <f t="shared" si="258"/>
        <v>1</v>
      </c>
      <c r="Y919">
        <f t="shared" si="259"/>
        <v>0</v>
      </c>
      <c r="Z919">
        <f t="shared" si="260"/>
        <v>1</v>
      </c>
      <c r="AA919">
        <f t="shared" si="261"/>
        <v>1</v>
      </c>
      <c r="AB919">
        <f t="shared" si="262"/>
        <v>1</v>
      </c>
      <c r="AC919">
        <f t="shared" si="263"/>
        <v>1</v>
      </c>
      <c r="AD919">
        <f t="shared" si="264"/>
        <v>0</v>
      </c>
      <c r="AE919">
        <f t="shared" si="265"/>
        <v>0</v>
      </c>
      <c r="AF919">
        <f t="shared" si="266"/>
        <v>0</v>
      </c>
      <c r="AG919">
        <f t="shared" si="267"/>
        <v>1</v>
      </c>
      <c r="AH919">
        <f t="shared" si="268"/>
        <v>1</v>
      </c>
      <c r="AI919">
        <f t="shared" si="269"/>
        <v>0</v>
      </c>
    </row>
    <row r="920" spans="1:35" x14ac:dyDescent="0.2">
      <c r="A920">
        <v>477</v>
      </c>
      <c r="B920" t="s">
        <v>16</v>
      </c>
      <c r="C920">
        <v>7</v>
      </c>
      <c r="D920" t="s">
        <v>2665</v>
      </c>
      <c r="E920" t="s">
        <v>39</v>
      </c>
      <c r="F920" t="s">
        <v>21</v>
      </c>
      <c r="G920" t="s">
        <v>21</v>
      </c>
      <c r="H920" t="s">
        <v>39</v>
      </c>
      <c r="I920">
        <v>3</v>
      </c>
      <c r="J920">
        <v>7</v>
      </c>
      <c r="K920">
        <v>700</v>
      </c>
      <c r="L920" t="s">
        <v>53</v>
      </c>
      <c r="M920" t="s">
        <v>219</v>
      </c>
      <c r="N920" t="s">
        <v>24</v>
      </c>
      <c r="O920" t="s">
        <v>578</v>
      </c>
      <c r="P920" t="s">
        <v>2666</v>
      </c>
      <c r="Q920">
        <f t="shared" si="252"/>
        <v>5</v>
      </c>
      <c r="R920">
        <f t="shared" si="253"/>
        <v>1</v>
      </c>
      <c r="S920">
        <f t="shared" si="254"/>
        <v>1</v>
      </c>
      <c r="T920">
        <f t="shared" si="255"/>
        <v>5</v>
      </c>
      <c r="U920">
        <v>700</v>
      </c>
      <c r="V920">
        <f t="shared" si="256"/>
        <v>0</v>
      </c>
      <c r="W920">
        <f t="shared" si="257"/>
        <v>0</v>
      </c>
      <c r="X920">
        <f t="shared" si="258"/>
        <v>1</v>
      </c>
      <c r="Y920">
        <f t="shared" si="259"/>
        <v>0</v>
      </c>
      <c r="Z920">
        <f t="shared" si="260"/>
        <v>0</v>
      </c>
      <c r="AA920">
        <f t="shared" si="261"/>
        <v>0</v>
      </c>
      <c r="AB920">
        <f t="shared" si="262"/>
        <v>0</v>
      </c>
      <c r="AC920">
        <f t="shared" si="263"/>
        <v>0</v>
      </c>
      <c r="AD920">
        <f t="shared" si="264"/>
        <v>0</v>
      </c>
      <c r="AE920">
        <f t="shared" si="265"/>
        <v>1</v>
      </c>
      <c r="AF920">
        <f t="shared" si="266"/>
        <v>0</v>
      </c>
      <c r="AG920">
        <f t="shared" si="267"/>
        <v>0</v>
      </c>
      <c r="AH920">
        <f t="shared" si="268"/>
        <v>1</v>
      </c>
      <c r="AI920">
        <f t="shared" si="269"/>
        <v>0</v>
      </c>
    </row>
    <row r="921" spans="1:35" x14ac:dyDescent="0.2">
      <c r="A921">
        <v>478</v>
      </c>
      <c r="B921" t="s">
        <v>16</v>
      </c>
      <c r="C921">
        <v>7</v>
      </c>
      <c r="D921" t="s">
        <v>2667</v>
      </c>
      <c r="E921" t="s">
        <v>18</v>
      </c>
      <c r="F921" t="s">
        <v>20</v>
      </c>
      <c r="G921" t="s">
        <v>21</v>
      </c>
      <c r="H921" t="s">
        <v>39</v>
      </c>
      <c r="I921">
        <v>10</v>
      </c>
      <c r="J921">
        <v>5</v>
      </c>
      <c r="K921" s="1">
        <v>50</v>
      </c>
      <c r="L921" t="s">
        <v>22</v>
      </c>
      <c r="M921" t="s">
        <v>99</v>
      </c>
      <c r="N921" t="s">
        <v>84</v>
      </c>
      <c r="O921" t="s">
        <v>578</v>
      </c>
      <c r="P921" t="s">
        <v>2668</v>
      </c>
      <c r="Q921">
        <f t="shared" si="252"/>
        <v>4</v>
      </c>
      <c r="R921">
        <f t="shared" si="253"/>
        <v>2</v>
      </c>
      <c r="S921">
        <f t="shared" si="254"/>
        <v>1</v>
      </c>
      <c r="T921">
        <f t="shared" si="255"/>
        <v>5</v>
      </c>
      <c r="U921">
        <v>50</v>
      </c>
      <c r="V921">
        <f t="shared" si="256"/>
        <v>1</v>
      </c>
      <c r="W921">
        <f t="shared" si="257"/>
        <v>0</v>
      </c>
      <c r="X921">
        <f t="shared" si="258"/>
        <v>0</v>
      </c>
      <c r="Y921">
        <f t="shared" si="259"/>
        <v>0</v>
      </c>
      <c r="Z921">
        <f t="shared" si="260"/>
        <v>0</v>
      </c>
      <c r="AA921">
        <f t="shared" si="261"/>
        <v>1</v>
      </c>
      <c r="AB921">
        <f t="shared" si="262"/>
        <v>0</v>
      </c>
      <c r="AC921">
        <f t="shared" si="263"/>
        <v>0</v>
      </c>
      <c r="AD921">
        <f t="shared" si="264"/>
        <v>0</v>
      </c>
      <c r="AE921">
        <f t="shared" si="265"/>
        <v>1</v>
      </c>
      <c r="AF921">
        <f t="shared" si="266"/>
        <v>0</v>
      </c>
      <c r="AG921">
        <f t="shared" si="267"/>
        <v>1</v>
      </c>
      <c r="AH921">
        <f t="shared" si="268"/>
        <v>0</v>
      </c>
      <c r="AI921">
        <f t="shared" si="269"/>
        <v>0</v>
      </c>
    </row>
    <row r="922" spans="1:35" x14ac:dyDescent="0.2">
      <c r="A922">
        <v>479</v>
      </c>
      <c r="B922" t="s">
        <v>16</v>
      </c>
      <c r="C922">
        <v>8</v>
      </c>
      <c r="D922" t="s">
        <v>2669</v>
      </c>
      <c r="E922" t="s">
        <v>18</v>
      </c>
      <c r="F922" t="s">
        <v>20</v>
      </c>
      <c r="G922" t="s">
        <v>19</v>
      </c>
      <c r="H922" t="s">
        <v>18</v>
      </c>
      <c r="I922">
        <v>5</v>
      </c>
      <c r="J922">
        <v>5</v>
      </c>
      <c r="K922" t="s">
        <v>2670</v>
      </c>
      <c r="L922" t="s">
        <v>41</v>
      </c>
      <c r="M922" t="s">
        <v>23</v>
      </c>
      <c r="N922" t="s">
        <v>24</v>
      </c>
      <c r="O922" t="s">
        <v>2671</v>
      </c>
      <c r="P922" t="s">
        <v>2672</v>
      </c>
      <c r="Q922">
        <f t="shared" si="252"/>
        <v>4</v>
      </c>
      <c r="R922">
        <f t="shared" si="253"/>
        <v>2</v>
      </c>
      <c r="S922">
        <f t="shared" si="254"/>
        <v>3</v>
      </c>
      <c r="T922">
        <f t="shared" si="255"/>
        <v>4</v>
      </c>
      <c r="U922">
        <v>99</v>
      </c>
      <c r="V922">
        <f t="shared" si="256"/>
        <v>0</v>
      </c>
      <c r="W922">
        <f t="shared" si="257"/>
        <v>0</v>
      </c>
      <c r="X922">
        <f t="shared" si="258"/>
        <v>0</v>
      </c>
      <c r="Y922">
        <f t="shared" si="259"/>
        <v>0</v>
      </c>
      <c r="Z922">
        <f t="shared" si="260"/>
        <v>1</v>
      </c>
      <c r="AA922">
        <f t="shared" si="261"/>
        <v>1</v>
      </c>
      <c r="AB922">
        <f t="shared" si="262"/>
        <v>0</v>
      </c>
      <c r="AC922">
        <f t="shared" si="263"/>
        <v>0</v>
      </c>
      <c r="AD922">
        <f t="shared" si="264"/>
        <v>0</v>
      </c>
      <c r="AE922">
        <f t="shared" si="265"/>
        <v>0</v>
      </c>
      <c r="AF922">
        <f t="shared" si="266"/>
        <v>0</v>
      </c>
      <c r="AG922">
        <f t="shared" si="267"/>
        <v>0</v>
      </c>
      <c r="AH922">
        <f t="shared" si="268"/>
        <v>1</v>
      </c>
      <c r="AI922">
        <f t="shared" si="269"/>
        <v>0</v>
      </c>
    </row>
    <row r="923" spans="1:35" x14ac:dyDescent="0.2">
      <c r="A923">
        <v>480</v>
      </c>
      <c r="B923" t="s">
        <v>16</v>
      </c>
      <c r="C923">
        <v>3</v>
      </c>
      <c r="D923" t="s">
        <v>2673</v>
      </c>
      <c r="E923" t="s">
        <v>19</v>
      </c>
      <c r="F923" t="s">
        <v>19</v>
      </c>
      <c r="G923" t="s">
        <v>19</v>
      </c>
      <c r="H923" t="s">
        <v>20</v>
      </c>
      <c r="I923">
        <v>4</v>
      </c>
      <c r="J923">
        <v>5</v>
      </c>
      <c r="K923">
        <v>0</v>
      </c>
      <c r="L923" t="s">
        <v>53</v>
      </c>
      <c r="M923" t="s">
        <v>42</v>
      </c>
      <c r="N923" t="s">
        <v>84</v>
      </c>
      <c r="O923" t="s">
        <v>2674</v>
      </c>
      <c r="P923" t="s">
        <v>2675</v>
      </c>
      <c r="Q923">
        <f t="shared" si="252"/>
        <v>3</v>
      </c>
      <c r="R923">
        <f t="shared" si="253"/>
        <v>3</v>
      </c>
      <c r="S923">
        <f t="shared" si="254"/>
        <v>3</v>
      </c>
      <c r="T923">
        <f t="shared" si="255"/>
        <v>2</v>
      </c>
      <c r="U923">
        <v>0</v>
      </c>
      <c r="V923">
        <f t="shared" si="256"/>
        <v>0</v>
      </c>
      <c r="W923">
        <f t="shared" si="257"/>
        <v>0</v>
      </c>
      <c r="X923">
        <f t="shared" si="258"/>
        <v>1</v>
      </c>
      <c r="Y923">
        <f t="shared" si="259"/>
        <v>0</v>
      </c>
      <c r="Z923">
        <f t="shared" si="260"/>
        <v>0</v>
      </c>
      <c r="AA923">
        <f t="shared" si="261"/>
        <v>0</v>
      </c>
      <c r="AB923">
        <f t="shared" si="262"/>
        <v>1</v>
      </c>
      <c r="AC923">
        <f t="shared" si="263"/>
        <v>0</v>
      </c>
      <c r="AD923">
        <f t="shared" si="264"/>
        <v>0</v>
      </c>
      <c r="AE923">
        <f t="shared" si="265"/>
        <v>0</v>
      </c>
      <c r="AF923">
        <f t="shared" si="266"/>
        <v>0</v>
      </c>
      <c r="AG923">
        <f t="shared" si="267"/>
        <v>1</v>
      </c>
      <c r="AH923">
        <f t="shared" si="268"/>
        <v>0</v>
      </c>
      <c r="AI923">
        <f t="shared" si="269"/>
        <v>0</v>
      </c>
    </row>
    <row r="924" spans="1:35" x14ac:dyDescent="0.2">
      <c r="A924">
        <v>481</v>
      </c>
      <c r="B924" t="s">
        <v>16</v>
      </c>
      <c r="C924">
        <v>8</v>
      </c>
      <c r="D924" t="s">
        <v>2676</v>
      </c>
      <c r="E924" t="s">
        <v>18</v>
      </c>
      <c r="F924" t="s">
        <v>20</v>
      </c>
      <c r="G924" t="s">
        <v>20</v>
      </c>
      <c r="H924" t="s">
        <v>18</v>
      </c>
      <c r="I924">
        <v>3</v>
      </c>
      <c r="J924">
        <v>4</v>
      </c>
      <c r="K924" s="1">
        <v>100</v>
      </c>
      <c r="L924" t="s">
        <v>53</v>
      </c>
      <c r="M924" t="s">
        <v>115</v>
      </c>
      <c r="N924" t="s">
        <v>24</v>
      </c>
      <c r="O924" t="s">
        <v>590</v>
      </c>
      <c r="P924" t="s">
        <v>2677</v>
      </c>
      <c r="Q924">
        <f t="shared" si="252"/>
        <v>4</v>
      </c>
      <c r="R924">
        <f t="shared" si="253"/>
        <v>2</v>
      </c>
      <c r="S924">
        <f t="shared" si="254"/>
        <v>2</v>
      </c>
      <c r="T924">
        <f t="shared" si="255"/>
        <v>4</v>
      </c>
      <c r="U924">
        <v>100</v>
      </c>
      <c r="V924">
        <f t="shared" si="256"/>
        <v>0</v>
      </c>
      <c r="W924">
        <f t="shared" si="257"/>
        <v>0</v>
      </c>
      <c r="X924">
        <f t="shared" si="258"/>
        <v>1</v>
      </c>
      <c r="Y924">
        <f t="shared" si="259"/>
        <v>0</v>
      </c>
      <c r="Z924">
        <f t="shared" si="260"/>
        <v>0</v>
      </c>
      <c r="AA924">
        <f t="shared" si="261"/>
        <v>0</v>
      </c>
      <c r="AB924">
        <f t="shared" si="262"/>
        <v>0</v>
      </c>
      <c r="AC924">
        <f t="shared" si="263"/>
        <v>1</v>
      </c>
      <c r="AD924">
        <f t="shared" si="264"/>
        <v>0</v>
      </c>
      <c r="AE924">
        <f t="shared" si="265"/>
        <v>0</v>
      </c>
      <c r="AF924">
        <f t="shared" si="266"/>
        <v>0</v>
      </c>
      <c r="AG924">
        <f t="shared" si="267"/>
        <v>0</v>
      </c>
      <c r="AH924">
        <f t="shared" si="268"/>
        <v>1</v>
      </c>
      <c r="AI924">
        <f t="shared" si="269"/>
        <v>0</v>
      </c>
    </row>
    <row r="925" spans="1:35" x14ac:dyDescent="0.2">
      <c r="A925">
        <v>482</v>
      </c>
      <c r="B925" t="s">
        <v>16</v>
      </c>
      <c r="C925">
        <v>7</v>
      </c>
      <c r="D925" t="s">
        <v>2678</v>
      </c>
      <c r="E925" t="s">
        <v>18</v>
      </c>
      <c r="F925" t="s">
        <v>20</v>
      </c>
      <c r="G925" t="s">
        <v>20</v>
      </c>
      <c r="H925" t="s">
        <v>18</v>
      </c>
      <c r="I925">
        <v>4</v>
      </c>
      <c r="J925">
        <v>6</v>
      </c>
      <c r="K925">
        <v>300</v>
      </c>
      <c r="L925" t="s">
        <v>41</v>
      </c>
      <c r="M925" t="s">
        <v>23</v>
      </c>
      <c r="N925" t="s">
        <v>84</v>
      </c>
      <c r="O925" t="s">
        <v>590</v>
      </c>
      <c r="P925" t="s">
        <v>2679</v>
      </c>
      <c r="Q925">
        <f t="shared" si="252"/>
        <v>4</v>
      </c>
      <c r="R925">
        <f t="shared" si="253"/>
        <v>2</v>
      </c>
      <c r="S925">
        <f t="shared" si="254"/>
        <v>2</v>
      </c>
      <c r="T925">
        <f t="shared" si="255"/>
        <v>4</v>
      </c>
      <c r="U925">
        <v>300</v>
      </c>
      <c r="V925">
        <f t="shared" si="256"/>
        <v>0</v>
      </c>
      <c r="W925">
        <f t="shared" si="257"/>
        <v>0</v>
      </c>
      <c r="X925">
        <f t="shared" si="258"/>
        <v>0</v>
      </c>
      <c r="Y925">
        <f t="shared" si="259"/>
        <v>0</v>
      </c>
      <c r="Z925">
        <f t="shared" si="260"/>
        <v>1</v>
      </c>
      <c r="AA925">
        <f t="shared" si="261"/>
        <v>1</v>
      </c>
      <c r="AB925">
        <f t="shared" si="262"/>
        <v>0</v>
      </c>
      <c r="AC925">
        <f t="shared" si="263"/>
        <v>0</v>
      </c>
      <c r="AD925">
        <f t="shared" si="264"/>
        <v>0</v>
      </c>
      <c r="AE925">
        <f t="shared" si="265"/>
        <v>0</v>
      </c>
      <c r="AF925">
        <f t="shared" si="266"/>
        <v>0</v>
      </c>
      <c r="AG925">
        <f t="shared" si="267"/>
        <v>1</v>
      </c>
      <c r="AH925">
        <f t="shared" si="268"/>
        <v>0</v>
      </c>
      <c r="AI925">
        <f t="shared" si="269"/>
        <v>0</v>
      </c>
    </row>
    <row r="926" spans="1:35" x14ac:dyDescent="0.2">
      <c r="A926">
        <v>483</v>
      </c>
      <c r="B926" t="s">
        <v>16</v>
      </c>
      <c r="C926">
        <v>5</v>
      </c>
      <c r="D926" t="s">
        <v>2680</v>
      </c>
      <c r="E926" t="s">
        <v>18</v>
      </c>
      <c r="F926" t="s">
        <v>21</v>
      </c>
      <c r="G926" t="s">
        <v>20</v>
      </c>
      <c r="H926" t="s">
        <v>19</v>
      </c>
      <c r="I926">
        <v>6</v>
      </c>
      <c r="J926">
        <v>8</v>
      </c>
      <c r="K926">
        <v>150</v>
      </c>
      <c r="L926" t="s">
        <v>22</v>
      </c>
      <c r="M926" t="s">
        <v>23</v>
      </c>
      <c r="N926" t="s">
        <v>24</v>
      </c>
      <c r="O926" t="s">
        <v>1590</v>
      </c>
      <c r="P926" t="s">
        <v>2681</v>
      </c>
      <c r="Q926">
        <f t="shared" si="252"/>
        <v>4</v>
      </c>
      <c r="R926">
        <f t="shared" si="253"/>
        <v>1</v>
      </c>
      <c r="S926">
        <f t="shared" si="254"/>
        <v>2</v>
      </c>
      <c r="T926">
        <f t="shared" si="255"/>
        <v>3</v>
      </c>
      <c r="U926">
        <v>150</v>
      </c>
      <c r="V926">
        <f t="shared" si="256"/>
        <v>1</v>
      </c>
      <c r="W926">
        <f t="shared" si="257"/>
        <v>0</v>
      </c>
      <c r="X926">
        <f t="shared" si="258"/>
        <v>0</v>
      </c>
      <c r="Y926">
        <f t="shared" si="259"/>
        <v>0</v>
      </c>
      <c r="Z926">
        <f t="shared" si="260"/>
        <v>0</v>
      </c>
      <c r="AA926">
        <f t="shared" si="261"/>
        <v>1</v>
      </c>
      <c r="AB926">
        <f t="shared" si="262"/>
        <v>0</v>
      </c>
      <c r="AC926">
        <f t="shared" si="263"/>
        <v>0</v>
      </c>
      <c r="AD926">
        <f t="shared" si="264"/>
        <v>0</v>
      </c>
      <c r="AE926">
        <f t="shared" si="265"/>
        <v>0</v>
      </c>
      <c r="AF926">
        <f t="shared" si="266"/>
        <v>0</v>
      </c>
      <c r="AG926">
        <f t="shared" si="267"/>
        <v>0</v>
      </c>
      <c r="AH926">
        <f t="shared" si="268"/>
        <v>1</v>
      </c>
      <c r="AI926">
        <f t="shared" si="269"/>
        <v>0</v>
      </c>
    </row>
    <row r="927" spans="1:35" x14ac:dyDescent="0.2">
      <c r="A927">
        <v>484</v>
      </c>
      <c r="B927" t="s">
        <v>16</v>
      </c>
      <c r="C927">
        <v>6</v>
      </c>
      <c r="D927" t="s">
        <v>2682</v>
      </c>
      <c r="E927" t="s">
        <v>18</v>
      </c>
      <c r="F927" t="s">
        <v>21</v>
      </c>
      <c r="G927" t="s">
        <v>20</v>
      </c>
      <c r="H927" t="s">
        <v>19</v>
      </c>
      <c r="I927">
        <v>3</v>
      </c>
      <c r="J927">
        <v>3</v>
      </c>
      <c r="K927">
        <v>100</v>
      </c>
      <c r="L927" t="s">
        <v>47</v>
      </c>
      <c r="M927" t="s">
        <v>23</v>
      </c>
      <c r="N927" t="s">
        <v>84</v>
      </c>
      <c r="O927" t="s">
        <v>2683</v>
      </c>
      <c r="P927" t="s">
        <v>2684</v>
      </c>
      <c r="Q927">
        <f t="shared" si="252"/>
        <v>4</v>
      </c>
      <c r="R927">
        <f t="shared" si="253"/>
        <v>1</v>
      </c>
      <c r="S927">
        <f t="shared" si="254"/>
        <v>2</v>
      </c>
      <c r="T927">
        <f t="shared" si="255"/>
        <v>3</v>
      </c>
      <c r="U927">
        <v>100</v>
      </c>
      <c r="V927">
        <f t="shared" si="256"/>
        <v>0</v>
      </c>
      <c r="W927">
        <f t="shared" si="257"/>
        <v>0</v>
      </c>
      <c r="X927">
        <f t="shared" si="258"/>
        <v>1</v>
      </c>
      <c r="Y927">
        <f t="shared" si="259"/>
        <v>0</v>
      </c>
      <c r="Z927">
        <f t="shared" si="260"/>
        <v>1</v>
      </c>
      <c r="AA927">
        <f t="shared" si="261"/>
        <v>1</v>
      </c>
      <c r="AB927">
        <f t="shared" si="262"/>
        <v>0</v>
      </c>
      <c r="AC927">
        <f t="shared" si="263"/>
        <v>0</v>
      </c>
      <c r="AD927">
        <f t="shared" si="264"/>
        <v>0</v>
      </c>
      <c r="AE927">
        <f t="shared" si="265"/>
        <v>0</v>
      </c>
      <c r="AF927">
        <f t="shared" si="266"/>
        <v>0</v>
      </c>
      <c r="AG927">
        <f t="shared" si="267"/>
        <v>1</v>
      </c>
      <c r="AH927">
        <f t="shared" si="268"/>
        <v>0</v>
      </c>
      <c r="AI927">
        <f t="shared" si="269"/>
        <v>0</v>
      </c>
    </row>
    <row r="928" spans="1:35" x14ac:dyDescent="0.2">
      <c r="A928">
        <v>485</v>
      </c>
      <c r="B928" t="s">
        <v>16</v>
      </c>
      <c r="C928">
        <v>9</v>
      </c>
      <c r="D928" t="s">
        <v>2685</v>
      </c>
      <c r="E928" t="s">
        <v>18</v>
      </c>
      <c r="F928" t="s">
        <v>21</v>
      </c>
      <c r="G928" t="s">
        <v>20</v>
      </c>
      <c r="H928" t="s">
        <v>18</v>
      </c>
      <c r="I928">
        <v>2</v>
      </c>
      <c r="J928">
        <v>4</v>
      </c>
      <c r="K928">
        <v>150</v>
      </c>
      <c r="L928" t="s">
        <v>53</v>
      </c>
      <c r="M928" t="s">
        <v>23</v>
      </c>
      <c r="N928" t="s">
        <v>651</v>
      </c>
      <c r="O928" t="s">
        <v>2025</v>
      </c>
      <c r="P928" t="s">
        <v>2686</v>
      </c>
      <c r="Q928">
        <f t="shared" si="252"/>
        <v>4</v>
      </c>
      <c r="R928">
        <f t="shared" si="253"/>
        <v>1</v>
      </c>
      <c r="S928">
        <f t="shared" si="254"/>
        <v>2</v>
      </c>
      <c r="T928">
        <f t="shared" si="255"/>
        <v>4</v>
      </c>
      <c r="U928">
        <v>150</v>
      </c>
      <c r="V928">
        <f t="shared" si="256"/>
        <v>0</v>
      </c>
      <c r="W928">
        <f t="shared" si="257"/>
        <v>0</v>
      </c>
      <c r="X928">
        <f t="shared" si="258"/>
        <v>1</v>
      </c>
      <c r="Y928">
        <f t="shared" si="259"/>
        <v>0</v>
      </c>
      <c r="Z928">
        <f t="shared" si="260"/>
        <v>0</v>
      </c>
      <c r="AA928">
        <f t="shared" si="261"/>
        <v>1</v>
      </c>
      <c r="AB928">
        <f t="shared" si="262"/>
        <v>0</v>
      </c>
      <c r="AC928">
        <f t="shared" si="263"/>
        <v>0</v>
      </c>
      <c r="AD928">
        <f t="shared" si="264"/>
        <v>0</v>
      </c>
      <c r="AE928">
        <f t="shared" si="265"/>
        <v>0</v>
      </c>
      <c r="AF928">
        <f t="shared" si="266"/>
        <v>1</v>
      </c>
      <c r="AG928">
        <f t="shared" si="267"/>
        <v>0</v>
      </c>
      <c r="AH928">
        <f t="shared" si="268"/>
        <v>1</v>
      </c>
      <c r="AI928">
        <f t="shared" si="269"/>
        <v>0</v>
      </c>
    </row>
    <row r="929" spans="1:35" x14ac:dyDescent="0.2">
      <c r="A929">
        <v>486</v>
      </c>
      <c r="B929" t="s">
        <v>16</v>
      </c>
      <c r="C929">
        <v>4</v>
      </c>
      <c r="D929" t="s">
        <v>2687</v>
      </c>
      <c r="E929" t="s">
        <v>18</v>
      </c>
      <c r="F929" t="s">
        <v>20</v>
      </c>
      <c r="G929" t="s">
        <v>21</v>
      </c>
      <c r="H929" t="s">
        <v>18</v>
      </c>
      <c r="I929">
        <v>3</v>
      </c>
      <c r="J929">
        <v>5</v>
      </c>
      <c r="K929">
        <v>40</v>
      </c>
      <c r="L929" t="s">
        <v>435</v>
      </c>
      <c r="M929" t="s">
        <v>42</v>
      </c>
      <c r="N929" t="s">
        <v>147</v>
      </c>
      <c r="O929" t="s">
        <v>2688</v>
      </c>
      <c r="P929" t="s">
        <v>2689</v>
      </c>
      <c r="Q929">
        <f t="shared" si="252"/>
        <v>4</v>
      </c>
      <c r="R929">
        <f t="shared" si="253"/>
        <v>2</v>
      </c>
      <c r="S929">
        <f t="shared" si="254"/>
        <v>1</v>
      </c>
      <c r="T929">
        <f t="shared" si="255"/>
        <v>4</v>
      </c>
      <c r="U929">
        <v>40</v>
      </c>
      <c r="V929">
        <f t="shared" si="256"/>
        <v>1</v>
      </c>
      <c r="W929">
        <f t="shared" si="257"/>
        <v>0</v>
      </c>
      <c r="X929">
        <f t="shared" si="258"/>
        <v>0</v>
      </c>
      <c r="Y929">
        <f t="shared" si="259"/>
        <v>0</v>
      </c>
      <c r="Z929">
        <f t="shared" si="260"/>
        <v>1</v>
      </c>
      <c r="AA929">
        <f t="shared" si="261"/>
        <v>0</v>
      </c>
      <c r="AB929">
        <f t="shared" si="262"/>
        <v>1</v>
      </c>
      <c r="AC929">
        <f t="shared" si="263"/>
        <v>0</v>
      </c>
      <c r="AD929">
        <f t="shared" si="264"/>
        <v>0</v>
      </c>
      <c r="AE929">
        <f t="shared" si="265"/>
        <v>0</v>
      </c>
      <c r="AF929">
        <f t="shared" si="266"/>
        <v>0</v>
      </c>
      <c r="AG929">
        <f t="shared" si="267"/>
        <v>0</v>
      </c>
      <c r="AH929">
        <f t="shared" si="268"/>
        <v>1</v>
      </c>
      <c r="AI929">
        <f t="shared" si="269"/>
        <v>1</v>
      </c>
    </row>
    <row r="930" spans="1:35" x14ac:dyDescent="0.2">
      <c r="A930">
        <v>487</v>
      </c>
      <c r="B930" t="s">
        <v>16</v>
      </c>
      <c r="C930">
        <v>8</v>
      </c>
      <c r="D930" t="s">
        <v>2690</v>
      </c>
      <c r="E930" t="s">
        <v>18</v>
      </c>
      <c r="F930" t="s">
        <v>20</v>
      </c>
      <c r="G930" t="s">
        <v>18</v>
      </c>
      <c r="H930" t="s">
        <v>18</v>
      </c>
      <c r="I930">
        <v>12</v>
      </c>
      <c r="J930">
        <v>5</v>
      </c>
      <c r="K930" s="1">
        <v>1000</v>
      </c>
      <c r="L930" t="s">
        <v>47</v>
      </c>
      <c r="M930" t="s">
        <v>154</v>
      </c>
      <c r="N930" t="s">
        <v>24</v>
      </c>
      <c r="O930" t="s">
        <v>2691</v>
      </c>
      <c r="P930" t="s">
        <v>2692</v>
      </c>
      <c r="Q930">
        <f t="shared" si="252"/>
        <v>4</v>
      </c>
      <c r="R930">
        <f t="shared" si="253"/>
        <v>2</v>
      </c>
      <c r="S930">
        <f t="shared" si="254"/>
        <v>4</v>
      </c>
      <c r="T930">
        <f t="shared" si="255"/>
        <v>4</v>
      </c>
      <c r="U930">
        <v>1000</v>
      </c>
      <c r="V930">
        <f t="shared" si="256"/>
        <v>0</v>
      </c>
      <c r="W930">
        <f t="shared" si="257"/>
        <v>0</v>
      </c>
      <c r="X930">
        <f t="shared" si="258"/>
        <v>1</v>
      </c>
      <c r="Y930">
        <f t="shared" si="259"/>
        <v>0</v>
      </c>
      <c r="Z930">
        <f t="shared" si="260"/>
        <v>1</v>
      </c>
      <c r="AA930">
        <f t="shared" si="261"/>
        <v>1</v>
      </c>
      <c r="AB930">
        <f t="shared" si="262"/>
        <v>0</v>
      </c>
      <c r="AC930">
        <f t="shared" si="263"/>
        <v>1</v>
      </c>
      <c r="AD930">
        <f t="shared" si="264"/>
        <v>0</v>
      </c>
      <c r="AE930">
        <f t="shared" si="265"/>
        <v>0</v>
      </c>
      <c r="AF930">
        <f t="shared" si="266"/>
        <v>0</v>
      </c>
      <c r="AG930">
        <f t="shared" si="267"/>
        <v>0</v>
      </c>
      <c r="AH930">
        <f t="shared" si="268"/>
        <v>1</v>
      </c>
      <c r="AI930">
        <f t="shared" si="269"/>
        <v>0</v>
      </c>
    </row>
    <row r="931" spans="1:35" ht="51" x14ac:dyDescent="0.2">
      <c r="A931">
        <v>488</v>
      </c>
      <c r="B931" t="s">
        <v>16</v>
      </c>
      <c r="C931">
        <v>7</v>
      </c>
      <c r="D931" t="s">
        <v>2693</v>
      </c>
      <c r="E931" t="s">
        <v>18</v>
      </c>
      <c r="F931" t="s">
        <v>20</v>
      </c>
      <c r="G931" t="s">
        <v>20</v>
      </c>
      <c r="H931" t="s">
        <v>39</v>
      </c>
      <c r="I931">
        <v>10</v>
      </c>
      <c r="J931">
        <v>9</v>
      </c>
      <c r="K931">
        <v>200</v>
      </c>
      <c r="L931" t="s">
        <v>22</v>
      </c>
      <c r="M931" t="s">
        <v>179</v>
      </c>
      <c r="N931" t="s">
        <v>147</v>
      </c>
      <c r="O931" s="3" t="s">
        <v>2694</v>
      </c>
      <c r="P931" t="s">
        <v>2695</v>
      </c>
      <c r="Q931">
        <f t="shared" si="252"/>
        <v>4</v>
      </c>
      <c r="R931">
        <f t="shared" si="253"/>
        <v>2</v>
      </c>
      <c r="S931">
        <f t="shared" si="254"/>
        <v>2</v>
      </c>
      <c r="T931">
        <f t="shared" si="255"/>
        <v>5</v>
      </c>
      <c r="U931">
        <v>200</v>
      </c>
      <c r="V931">
        <f t="shared" si="256"/>
        <v>1</v>
      </c>
      <c r="W931">
        <f t="shared" si="257"/>
        <v>0</v>
      </c>
      <c r="X931">
        <f t="shared" si="258"/>
        <v>0</v>
      </c>
      <c r="Y931">
        <f t="shared" si="259"/>
        <v>0</v>
      </c>
      <c r="Z931">
        <f t="shared" si="260"/>
        <v>0</v>
      </c>
      <c r="AA931">
        <f t="shared" si="261"/>
        <v>0</v>
      </c>
      <c r="AB931">
        <f t="shared" si="262"/>
        <v>0</v>
      </c>
      <c r="AC931">
        <f t="shared" si="263"/>
        <v>0</v>
      </c>
      <c r="AD931">
        <f t="shared" si="264"/>
        <v>1</v>
      </c>
      <c r="AE931">
        <f t="shared" si="265"/>
        <v>1</v>
      </c>
      <c r="AF931">
        <f t="shared" si="266"/>
        <v>0</v>
      </c>
      <c r="AG931">
        <f t="shared" si="267"/>
        <v>0</v>
      </c>
      <c r="AH931">
        <f t="shared" si="268"/>
        <v>1</v>
      </c>
      <c r="AI931">
        <f t="shared" si="269"/>
        <v>1</v>
      </c>
    </row>
    <row r="932" spans="1:35" x14ac:dyDescent="0.2">
      <c r="A932">
        <v>489</v>
      </c>
      <c r="B932" t="s">
        <v>16</v>
      </c>
      <c r="C932">
        <v>5</v>
      </c>
      <c r="D932" t="s">
        <v>2696</v>
      </c>
      <c r="E932" t="s">
        <v>18</v>
      </c>
      <c r="F932" t="s">
        <v>20</v>
      </c>
      <c r="G932" t="s">
        <v>20</v>
      </c>
      <c r="H932" t="s">
        <v>18</v>
      </c>
      <c r="I932">
        <v>7</v>
      </c>
      <c r="J932">
        <v>5</v>
      </c>
      <c r="K932">
        <v>10</v>
      </c>
      <c r="L932" t="s">
        <v>53</v>
      </c>
      <c r="M932" t="s">
        <v>23</v>
      </c>
      <c r="N932" t="s">
        <v>24</v>
      </c>
      <c r="O932" t="s">
        <v>2697</v>
      </c>
      <c r="P932" t="s">
        <v>2698</v>
      </c>
      <c r="Q932">
        <f t="shared" si="252"/>
        <v>4</v>
      </c>
      <c r="R932">
        <f t="shared" si="253"/>
        <v>2</v>
      </c>
      <c r="S932">
        <f t="shared" si="254"/>
        <v>2</v>
      </c>
      <c r="T932">
        <f t="shared" si="255"/>
        <v>4</v>
      </c>
      <c r="U932">
        <v>10</v>
      </c>
      <c r="V932">
        <f t="shared" si="256"/>
        <v>0</v>
      </c>
      <c r="W932">
        <f t="shared" si="257"/>
        <v>0</v>
      </c>
      <c r="X932">
        <f t="shared" si="258"/>
        <v>1</v>
      </c>
      <c r="Y932">
        <f t="shared" si="259"/>
        <v>0</v>
      </c>
      <c r="Z932">
        <f t="shared" si="260"/>
        <v>0</v>
      </c>
      <c r="AA932">
        <f t="shared" si="261"/>
        <v>1</v>
      </c>
      <c r="AB932">
        <f t="shared" si="262"/>
        <v>0</v>
      </c>
      <c r="AC932">
        <f t="shared" si="263"/>
        <v>0</v>
      </c>
      <c r="AD932">
        <f t="shared" si="264"/>
        <v>0</v>
      </c>
      <c r="AE932">
        <f t="shared" si="265"/>
        <v>0</v>
      </c>
      <c r="AF932">
        <f t="shared" si="266"/>
        <v>0</v>
      </c>
      <c r="AG932">
        <f t="shared" si="267"/>
        <v>0</v>
      </c>
      <c r="AH932">
        <f t="shared" si="268"/>
        <v>1</v>
      </c>
      <c r="AI932">
        <f t="shared" si="269"/>
        <v>0</v>
      </c>
    </row>
    <row r="933" spans="1:35" x14ac:dyDescent="0.2">
      <c r="A933">
        <v>490</v>
      </c>
      <c r="B933" t="s">
        <v>16</v>
      </c>
      <c r="C933">
        <v>8</v>
      </c>
      <c r="D933" t="s">
        <v>2699</v>
      </c>
      <c r="E933" t="s">
        <v>18</v>
      </c>
      <c r="F933" t="s">
        <v>19</v>
      </c>
      <c r="G933" t="s">
        <v>19</v>
      </c>
      <c r="H933" t="s">
        <v>39</v>
      </c>
      <c r="I933">
        <v>12</v>
      </c>
      <c r="J933">
        <v>5</v>
      </c>
      <c r="K933" t="s">
        <v>2700</v>
      </c>
      <c r="L933" t="s">
        <v>47</v>
      </c>
      <c r="M933" t="s">
        <v>80</v>
      </c>
      <c r="N933" t="s">
        <v>651</v>
      </c>
      <c r="O933" t="s">
        <v>2701</v>
      </c>
      <c r="P933" t="s">
        <v>2702</v>
      </c>
      <c r="Q933">
        <f t="shared" si="252"/>
        <v>4</v>
      </c>
      <c r="R933">
        <f t="shared" si="253"/>
        <v>3</v>
      </c>
      <c r="S933">
        <f t="shared" si="254"/>
        <v>3</v>
      </c>
      <c r="T933">
        <f t="shared" si="255"/>
        <v>5</v>
      </c>
      <c r="U933">
        <v>150</v>
      </c>
      <c r="V933">
        <f t="shared" si="256"/>
        <v>0</v>
      </c>
      <c r="W933">
        <f t="shared" si="257"/>
        <v>0</v>
      </c>
      <c r="X933">
        <f t="shared" si="258"/>
        <v>1</v>
      </c>
      <c r="Y933">
        <f t="shared" si="259"/>
        <v>0</v>
      </c>
      <c r="Z933">
        <f t="shared" si="260"/>
        <v>1</v>
      </c>
      <c r="AA933">
        <f t="shared" si="261"/>
        <v>1</v>
      </c>
      <c r="AB933">
        <f t="shared" si="262"/>
        <v>1</v>
      </c>
      <c r="AC933">
        <f t="shared" si="263"/>
        <v>0</v>
      </c>
      <c r="AD933">
        <f t="shared" si="264"/>
        <v>0</v>
      </c>
      <c r="AE933">
        <f t="shared" si="265"/>
        <v>1</v>
      </c>
      <c r="AF933">
        <f t="shared" si="266"/>
        <v>1</v>
      </c>
      <c r="AG933">
        <f t="shared" si="267"/>
        <v>0</v>
      </c>
      <c r="AH933">
        <f t="shared" si="268"/>
        <v>1</v>
      </c>
      <c r="AI933">
        <f t="shared" si="269"/>
        <v>0</v>
      </c>
    </row>
    <row r="934" spans="1:35" x14ac:dyDescent="0.2">
      <c r="A934">
        <v>491</v>
      </c>
      <c r="B934" t="s">
        <v>16</v>
      </c>
      <c r="C934">
        <v>4</v>
      </c>
      <c r="D934" t="s">
        <v>2703</v>
      </c>
      <c r="E934" t="s">
        <v>18</v>
      </c>
      <c r="F934" t="s">
        <v>20</v>
      </c>
      <c r="G934" t="s">
        <v>19</v>
      </c>
      <c r="H934" t="s">
        <v>18</v>
      </c>
      <c r="I934">
        <v>6</v>
      </c>
      <c r="J934">
        <v>9</v>
      </c>
      <c r="K934" t="s">
        <v>2704</v>
      </c>
      <c r="L934" t="s">
        <v>22</v>
      </c>
      <c r="M934" t="s">
        <v>468</v>
      </c>
      <c r="N934" t="s">
        <v>24</v>
      </c>
      <c r="O934" t="s">
        <v>2705</v>
      </c>
      <c r="P934" t="s">
        <v>2706</v>
      </c>
      <c r="Q934">
        <f t="shared" si="252"/>
        <v>4</v>
      </c>
      <c r="R934">
        <f t="shared" si="253"/>
        <v>2</v>
      </c>
      <c r="S934">
        <f t="shared" si="254"/>
        <v>3</v>
      </c>
      <c r="T934">
        <f t="shared" si="255"/>
        <v>4</v>
      </c>
      <c r="V934">
        <f t="shared" si="256"/>
        <v>1</v>
      </c>
      <c r="W934">
        <f t="shared" si="257"/>
        <v>0</v>
      </c>
      <c r="X934">
        <f t="shared" si="258"/>
        <v>0</v>
      </c>
      <c r="Y934">
        <f t="shared" si="259"/>
        <v>0</v>
      </c>
      <c r="Z934">
        <f t="shared" si="260"/>
        <v>0</v>
      </c>
      <c r="AA934">
        <f t="shared" si="261"/>
        <v>1</v>
      </c>
      <c r="AB934">
        <f t="shared" si="262"/>
        <v>1</v>
      </c>
      <c r="AC934">
        <f t="shared" si="263"/>
        <v>1</v>
      </c>
      <c r="AD934">
        <f t="shared" si="264"/>
        <v>1</v>
      </c>
      <c r="AE934">
        <f t="shared" si="265"/>
        <v>1</v>
      </c>
      <c r="AF934">
        <f t="shared" si="266"/>
        <v>0</v>
      </c>
      <c r="AG934">
        <f t="shared" si="267"/>
        <v>0</v>
      </c>
      <c r="AH934">
        <f t="shared" si="268"/>
        <v>1</v>
      </c>
      <c r="AI934">
        <f t="shared" si="269"/>
        <v>0</v>
      </c>
    </row>
    <row r="935" spans="1:35" x14ac:dyDescent="0.2">
      <c r="A935">
        <v>492</v>
      </c>
      <c r="B935" t="s">
        <v>16</v>
      </c>
      <c r="C935">
        <v>4</v>
      </c>
      <c r="D935" t="s">
        <v>2707</v>
      </c>
      <c r="E935" t="s">
        <v>18</v>
      </c>
      <c r="F935" t="s">
        <v>20</v>
      </c>
      <c r="G935" t="s">
        <v>19</v>
      </c>
      <c r="H935" t="s">
        <v>19</v>
      </c>
      <c r="I935">
        <v>4</v>
      </c>
      <c r="J935">
        <v>5</v>
      </c>
      <c r="K935">
        <v>0</v>
      </c>
      <c r="L935" t="s">
        <v>128</v>
      </c>
      <c r="M935" t="s">
        <v>99</v>
      </c>
      <c r="N935" t="s">
        <v>24</v>
      </c>
      <c r="O935" t="s">
        <v>2708</v>
      </c>
      <c r="P935" t="s">
        <v>2709</v>
      </c>
      <c r="Q935">
        <f t="shared" si="252"/>
        <v>4</v>
      </c>
      <c r="R935">
        <f t="shared" si="253"/>
        <v>2</v>
      </c>
      <c r="S935">
        <f t="shared" si="254"/>
        <v>3</v>
      </c>
      <c r="T935">
        <f t="shared" si="255"/>
        <v>3</v>
      </c>
      <c r="U935">
        <v>0</v>
      </c>
      <c r="V935">
        <f t="shared" si="256"/>
        <v>1</v>
      </c>
      <c r="W935">
        <f t="shared" si="257"/>
        <v>0</v>
      </c>
      <c r="X935">
        <f t="shared" si="258"/>
        <v>1</v>
      </c>
      <c r="Y935">
        <f t="shared" si="259"/>
        <v>0</v>
      </c>
      <c r="Z935">
        <f t="shared" si="260"/>
        <v>0</v>
      </c>
      <c r="AA935">
        <f t="shared" si="261"/>
        <v>1</v>
      </c>
      <c r="AB935">
        <f t="shared" si="262"/>
        <v>0</v>
      </c>
      <c r="AC935">
        <f t="shared" si="263"/>
        <v>0</v>
      </c>
      <c r="AD935">
        <f t="shared" si="264"/>
        <v>0</v>
      </c>
      <c r="AE935">
        <f t="shared" si="265"/>
        <v>1</v>
      </c>
      <c r="AF935">
        <f t="shared" si="266"/>
        <v>0</v>
      </c>
      <c r="AG935">
        <f t="shared" si="267"/>
        <v>0</v>
      </c>
      <c r="AH935">
        <f t="shared" si="268"/>
        <v>1</v>
      </c>
      <c r="AI935">
        <f t="shared" si="269"/>
        <v>0</v>
      </c>
    </row>
    <row r="936" spans="1:35" x14ac:dyDescent="0.2">
      <c r="A936">
        <v>493</v>
      </c>
      <c r="B936" t="s">
        <v>16</v>
      </c>
      <c r="C936">
        <v>7</v>
      </c>
      <c r="D936" t="s">
        <v>2710</v>
      </c>
      <c r="E936" t="s">
        <v>18</v>
      </c>
      <c r="F936" t="s">
        <v>21</v>
      </c>
      <c r="G936" t="s">
        <v>20</v>
      </c>
      <c r="H936" t="s">
        <v>18</v>
      </c>
      <c r="I936">
        <v>3</v>
      </c>
      <c r="J936">
        <v>5</v>
      </c>
      <c r="K936">
        <v>10</v>
      </c>
      <c r="L936" t="s">
        <v>47</v>
      </c>
      <c r="M936" t="s">
        <v>48</v>
      </c>
      <c r="N936" t="s">
        <v>84</v>
      </c>
      <c r="O936" t="s">
        <v>2711</v>
      </c>
      <c r="P936" t="s">
        <v>2712</v>
      </c>
      <c r="Q936">
        <f t="shared" si="252"/>
        <v>4</v>
      </c>
      <c r="R936">
        <f t="shared" si="253"/>
        <v>1</v>
      </c>
      <c r="S936">
        <f t="shared" si="254"/>
        <v>2</v>
      </c>
      <c r="T936">
        <f t="shared" si="255"/>
        <v>4</v>
      </c>
      <c r="U936">
        <v>10</v>
      </c>
      <c r="V936">
        <f t="shared" si="256"/>
        <v>0</v>
      </c>
      <c r="W936">
        <f t="shared" si="257"/>
        <v>0</v>
      </c>
      <c r="X936">
        <f t="shared" si="258"/>
        <v>1</v>
      </c>
      <c r="Y936">
        <f t="shared" si="259"/>
        <v>0</v>
      </c>
      <c r="Z936">
        <f t="shared" si="260"/>
        <v>1</v>
      </c>
      <c r="AA936">
        <f t="shared" si="261"/>
        <v>1</v>
      </c>
      <c r="AB936">
        <f t="shared" si="262"/>
        <v>1</v>
      </c>
      <c r="AC936">
        <f t="shared" si="263"/>
        <v>1</v>
      </c>
      <c r="AD936">
        <f t="shared" si="264"/>
        <v>0</v>
      </c>
      <c r="AE936">
        <f t="shared" si="265"/>
        <v>0</v>
      </c>
      <c r="AF936">
        <f t="shared" si="266"/>
        <v>0</v>
      </c>
      <c r="AG936">
        <f t="shared" si="267"/>
        <v>1</v>
      </c>
      <c r="AH936">
        <f t="shared" si="268"/>
        <v>0</v>
      </c>
      <c r="AI936">
        <f t="shared" si="269"/>
        <v>0</v>
      </c>
    </row>
    <row r="937" spans="1:35" x14ac:dyDescent="0.2">
      <c r="A937">
        <v>494</v>
      </c>
      <c r="B937" t="s">
        <v>16</v>
      </c>
      <c r="C937">
        <v>8</v>
      </c>
      <c r="D937" t="s">
        <v>2713</v>
      </c>
      <c r="E937" t="s">
        <v>18</v>
      </c>
      <c r="F937" t="s">
        <v>20</v>
      </c>
      <c r="G937" t="s">
        <v>20</v>
      </c>
      <c r="H937" t="s">
        <v>18</v>
      </c>
      <c r="I937">
        <v>8</v>
      </c>
      <c r="J937">
        <v>10</v>
      </c>
      <c r="K937" t="s">
        <v>2714</v>
      </c>
      <c r="L937" t="s">
        <v>41</v>
      </c>
      <c r="M937" t="s">
        <v>48</v>
      </c>
      <c r="N937" t="s">
        <v>49</v>
      </c>
      <c r="O937" t="s">
        <v>2715</v>
      </c>
      <c r="P937" t="s">
        <v>2716</v>
      </c>
      <c r="Q937">
        <f t="shared" si="252"/>
        <v>4</v>
      </c>
      <c r="R937">
        <f t="shared" si="253"/>
        <v>2</v>
      </c>
      <c r="S937">
        <f t="shared" si="254"/>
        <v>2</v>
      </c>
      <c r="T937">
        <f t="shared" si="255"/>
        <v>4</v>
      </c>
      <c r="U937">
        <v>100000000</v>
      </c>
      <c r="V937">
        <f t="shared" si="256"/>
        <v>0</v>
      </c>
      <c r="W937">
        <f t="shared" si="257"/>
        <v>0</v>
      </c>
      <c r="X937">
        <f t="shared" si="258"/>
        <v>0</v>
      </c>
      <c r="Y937">
        <f t="shared" si="259"/>
        <v>0</v>
      </c>
      <c r="Z937">
        <f t="shared" si="260"/>
        <v>1</v>
      </c>
      <c r="AA937">
        <f t="shared" si="261"/>
        <v>1</v>
      </c>
      <c r="AB937">
        <f t="shared" si="262"/>
        <v>1</v>
      </c>
      <c r="AC937">
        <f t="shared" si="263"/>
        <v>1</v>
      </c>
      <c r="AD937">
        <f t="shared" si="264"/>
        <v>0</v>
      </c>
      <c r="AE937">
        <f t="shared" si="265"/>
        <v>0</v>
      </c>
      <c r="AF937">
        <f t="shared" si="266"/>
        <v>0</v>
      </c>
      <c r="AG937">
        <f t="shared" si="267"/>
        <v>1</v>
      </c>
      <c r="AH937">
        <f t="shared" si="268"/>
        <v>1</v>
      </c>
      <c r="AI937">
        <f t="shared" si="269"/>
        <v>0</v>
      </c>
    </row>
    <row r="938" spans="1:35" x14ac:dyDescent="0.2">
      <c r="A938">
        <v>495</v>
      </c>
      <c r="B938" t="s">
        <v>16</v>
      </c>
      <c r="C938">
        <v>6</v>
      </c>
      <c r="D938" t="s">
        <v>2717</v>
      </c>
      <c r="E938" t="s">
        <v>18</v>
      </c>
      <c r="F938" t="s">
        <v>20</v>
      </c>
      <c r="G938" t="s">
        <v>18</v>
      </c>
      <c r="H938" t="s">
        <v>19</v>
      </c>
      <c r="I938">
        <v>4</v>
      </c>
      <c r="J938">
        <v>4</v>
      </c>
      <c r="K938">
        <v>1000</v>
      </c>
      <c r="L938" t="s">
        <v>22</v>
      </c>
      <c r="M938" t="s">
        <v>23</v>
      </c>
      <c r="N938" t="s">
        <v>24</v>
      </c>
      <c r="O938" t="s">
        <v>2718</v>
      </c>
      <c r="P938" t="s">
        <v>2719</v>
      </c>
      <c r="Q938">
        <f t="shared" si="252"/>
        <v>4</v>
      </c>
      <c r="R938">
        <f t="shared" si="253"/>
        <v>2</v>
      </c>
      <c r="S938">
        <f t="shared" si="254"/>
        <v>4</v>
      </c>
      <c r="T938">
        <f t="shared" si="255"/>
        <v>3</v>
      </c>
      <c r="U938">
        <v>1000</v>
      </c>
      <c r="V938">
        <f t="shared" si="256"/>
        <v>1</v>
      </c>
      <c r="W938">
        <f t="shared" si="257"/>
        <v>0</v>
      </c>
      <c r="X938">
        <f t="shared" si="258"/>
        <v>0</v>
      </c>
      <c r="Y938">
        <f t="shared" si="259"/>
        <v>0</v>
      </c>
      <c r="Z938">
        <f t="shared" si="260"/>
        <v>0</v>
      </c>
      <c r="AA938">
        <f t="shared" si="261"/>
        <v>1</v>
      </c>
      <c r="AB938">
        <f t="shared" si="262"/>
        <v>0</v>
      </c>
      <c r="AC938">
        <f t="shared" si="263"/>
        <v>0</v>
      </c>
      <c r="AD938">
        <f t="shared" si="264"/>
        <v>0</v>
      </c>
      <c r="AE938">
        <f t="shared" si="265"/>
        <v>0</v>
      </c>
      <c r="AF938">
        <f t="shared" si="266"/>
        <v>0</v>
      </c>
      <c r="AG938">
        <f t="shared" si="267"/>
        <v>0</v>
      </c>
      <c r="AH938">
        <f t="shared" si="268"/>
        <v>1</v>
      </c>
      <c r="AI938">
        <f t="shared" si="269"/>
        <v>0</v>
      </c>
    </row>
    <row r="939" spans="1:35" x14ac:dyDescent="0.2">
      <c r="A939">
        <v>496</v>
      </c>
      <c r="B939" t="s">
        <v>16</v>
      </c>
      <c r="C939">
        <v>5</v>
      </c>
      <c r="D939" t="s">
        <v>2720</v>
      </c>
      <c r="E939" t="s">
        <v>18</v>
      </c>
      <c r="F939" t="s">
        <v>20</v>
      </c>
      <c r="G939" t="s">
        <v>19</v>
      </c>
      <c r="H939" t="s">
        <v>18</v>
      </c>
      <c r="I939">
        <v>1</v>
      </c>
      <c r="J939">
        <v>3</v>
      </c>
      <c r="K939">
        <v>20</v>
      </c>
      <c r="L939" t="s">
        <v>53</v>
      </c>
      <c r="M939" t="s">
        <v>219</v>
      </c>
      <c r="N939" t="s">
        <v>24</v>
      </c>
      <c r="O939" t="s">
        <v>60</v>
      </c>
      <c r="P939" t="s">
        <v>2721</v>
      </c>
      <c r="Q939">
        <f t="shared" si="252"/>
        <v>4</v>
      </c>
      <c r="R939">
        <f t="shared" si="253"/>
        <v>2</v>
      </c>
      <c r="S939">
        <f t="shared" si="254"/>
        <v>3</v>
      </c>
      <c r="T939">
        <f t="shared" si="255"/>
        <v>4</v>
      </c>
      <c r="U939">
        <v>20</v>
      </c>
      <c r="V939">
        <f t="shared" si="256"/>
        <v>0</v>
      </c>
      <c r="W939">
        <f t="shared" si="257"/>
        <v>0</v>
      </c>
      <c r="X939">
        <f t="shared" si="258"/>
        <v>1</v>
      </c>
      <c r="Y939">
        <f t="shared" si="259"/>
        <v>0</v>
      </c>
      <c r="Z939">
        <f t="shared" si="260"/>
        <v>0</v>
      </c>
      <c r="AA939">
        <f t="shared" si="261"/>
        <v>0</v>
      </c>
      <c r="AB939">
        <f t="shared" si="262"/>
        <v>0</v>
      </c>
      <c r="AC939">
        <f t="shared" si="263"/>
        <v>0</v>
      </c>
      <c r="AD939">
        <f t="shared" si="264"/>
        <v>0</v>
      </c>
      <c r="AE939">
        <f t="shared" si="265"/>
        <v>1</v>
      </c>
      <c r="AF939">
        <f t="shared" si="266"/>
        <v>0</v>
      </c>
      <c r="AG939">
        <f t="shared" si="267"/>
        <v>0</v>
      </c>
      <c r="AH939">
        <f t="shared" si="268"/>
        <v>1</v>
      </c>
      <c r="AI939">
        <f t="shared" si="269"/>
        <v>0</v>
      </c>
    </row>
    <row r="940" spans="1:35" x14ac:dyDescent="0.2">
      <c r="A940">
        <v>497</v>
      </c>
      <c r="B940" t="s">
        <v>16</v>
      </c>
      <c r="C940">
        <v>6</v>
      </c>
      <c r="D940" t="s">
        <v>2722</v>
      </c>
      <c r="E940" t="s">
        <v>18</v>
      </c>
      <c r="F940" t="s">
        <v>21</v>
      </c>
      <c r="G940" t="s">
        <v>21</v>
      </c>
      <c r="H940" t="s">
        <v>39</v>
      </c>
      <c r="I940">
        <v>7</v>
      </c>
      <c r="J940">
        <v>10</v>
      </c>
      <c r="K940">
        <v>500000</v>
      </c>
      <c r="L940" t="s">
        <v>53</v>
      </c>
      <c r="M940" t="s">
        <v>99</v>
      </c>
      <c r="N940" t="s">
        <v>84</v>
      </c>
      <c r="O940" t="s">
        <v>2723</v>
      </c>
      <c r="P940" t="s">
        <v>2724</v>
      </c>
      <c r="Q940">
        <f t="shared" si="252"/>
        <v>4</v>
      </c>
      <c r="R940">
        <f t="shared" si="253"/>
        <v>1</v>
      </c>
      <c r="S940">
        <f t="shared" si="254"/>
        <v>1</v>
      </c>
      <c r="T940">
        <f t="shared" si="255"/>
        <v>5</v>
      </c>
      <c r="U940">
        <v>500000</v>
      </c>
      <c r="V940">
        <f t="shared" si="256"/>
        <v>0</v>
      </c>
      <c r="W940">
        <f t="shared" si="257"/>
        <v>0</v>
      </c>
      <c r="X940">
        <f t="shared" si="258"/>
        <v>1</v>
      </c>
      <c r="Y940">
        <f t="shared" si="259"/>
        <v>0</v>
      </c>
      <c r="Z940">
        <f t="shared" si="260"/>
        <v>0</v>
      </c>
      <c r="AA940">
        <f t="shared" si="261"/>
        <v>1</v>
      </c>
      <c r="AB940">
        <f t="shared" si="262"/>
        <v>0</v>
      </c>
      <c r="AC940">
        <f t="shared" si="263"/>
        <v>0</v>
      </c>
      <c r="AD940">
        <f t="shared" si="264"/>
        <v>0</v>
      </c>
      <c r="AE940">
        <f t="shared" si="265"/>
        <v>1</v>
      </c>
      <c r="AF940">
        <f t="shared" si="266"/>
        <v>0</v>
      </c>
      <c r="AG940">
        <f t="shared" si="267"/>
        <v>1</v>
      </c>
      <c r="AH940">
        <f t="shared" si="268"/>
        <v>0</v>
      </c>
      <c r="AI940">
        <f t="shared" si="269"/>
        <v>0</v>
      </c>
    </row>
    <row r="941" spans="1:35" x14ac:dyDescent="0.2">
      <c r="A941">
        <v>498</v>
      </c>
      <c r="B941" t="s">
        <v>16</v>
      </c>
      <c r="C941">
        <v>6</v>
      </c>
      <c r="D941" t="s">
        <v>2725</v>
      </c>
      <c r="E941" t="s">
        <v>19</v>
      </c>
      <c r="F941" t="s">
        <v>20</v>
      </c>
      <c r="G941" t="s">
        <v>18</v>
      </c>
      <c r="H941" t="s">
        <v>19</v>
      </c>
      <c r="I941">
        <v>3</v>
      </c>
      <c r="J941">
        <v>5</v>
      </c>
      <c r="K941">
        <v>50</v>
      </c>
      <c r="L941" t="s">
        <v>435</v>
      </c>
      <c r="M941" t="s">
        <v>123</v>
      </c>
      <c r="N941" t="s">
        <v>24</v>
      </c>
      <c r="O941" t="s">
        <v>409</v>
      </c>
      <c r="P941" t="s">
        <v>2726</v>
      </c>
      <c r="Q941">
        <f t="shared" si="252"/>
        <v>3</v>
      </c>
      <c r="R941">
        <f t="shared" si="253"/>
        <v>2</v>
      </c>
      <c r="S941">
        <f t="shared" si="254"/>
        <v>4</v>
      </c>
      <c r="T941">
        <f t="shared" si="255"/>
        <v>3</v>
      </c>
      <c r="U941">
        <v>50</v>
      </c>
      <c r="V941">
        <f t="shared" si="256"/>
        <v>1</v>
      </c>
      <c r="W941">
        <f t="shared" si="257"/>
        <v>0</v>
      </c>
      <c r="X941">
        <f t="shared" si="258"/>
        <v>0</v>
      </c>
      <c r="Y941">
        <f t="shared" si="259"/>
        <v>0</v>
      </c>
      <c r="Z941">
        <f t="shared" si="260"/>
        <v>1</v>
      </c>
      <c r="AA941">
        <f t="shared" si="261"/>
        <v>0</v>
      </c>
      <c r="AB941">
        <f t="shared" si="262"/>
        <v>1</v>
      </c>
      <c r="AC941">
        <f t="shared" si="263"/>
        <v>1</v>
      </c>
      <c r="AD941">
        <f t="shared" si="264"/>
        <v>0</v>
      </c>
      <c r="AE941">
        <f t="shared" si="265"/>
        <v>0</v>
      </c>
      <c r="AF941">
        <f t="shared" si="266"/>
        <v>0</v>
      </c>
      <c r="AG941">
        <f t="shared" si="267"/>
        <v>0</v>
      </c>
      <c r="AH941">
        <f t="shared" si="268"/>
        <v>1</v>
      </c>
      <c r="AI941">
        <f t="shared" si="269"/>
        <v>0</v>
      </c>
    </row>
    <row r="942" spans="1:35" x14ac:dyDescent="0.2">
      <c r="A942">
        <v>499</v>
      </c>
      <c r="B942" t="s">
        <v>16</v>
      </c>
      <c r="C942">
        <v>2</v>
      </c>
      <c r="D942" t="s">
        <v>2727</v>
      </c>
      <c r="E942" t="s">
        <v>18</v>
      </c>
      <c r="F942" t="s">
        <v>20</v>
      </c>
      <c r="G942" t="s">
        <v>20</v>
      </c>
      <c r="H942" t="s">
        <v>18</v>
      </c>
      <c r="I942">
        <v>20</v>
      </c>
      <c r="J942">
        <v>6</v>
      </c>
      <c r="K942" t="s">
        <v>2728</v>
      </c>
      <c r="L942" t="s">
        <v>230</v>
      </c>
      <c r="M942" t="s">
        <v>468</v>
      </c>
      <c r="N942" t="s">
        <v>24</v>
      </c>
      <c r="O942" t="s">
        <v>2729</v>
      </c>
      <c r="P942" t="s">
        <v>2730</v>
      </c>
      <c r="Q942">
        <f t="shared" si="252"/>
        <v>4</v>
      </c>
      <c r="R942">
        <f t="shared" si="253"/>
        <v>2</v>
      </c>
      <c r="S942">
        <f t="shared" si="254"/>
        <v>2</v>
      </c>
      <c r="T942">
        <f t="shared" si="255"/>
        <v>4</v>
      </c>
      <c r="U942">
        <v>1000000000</v>
      </c>
      <c r="V942">
        <f t="shared" si="256"/>
        <v>1</v>
      </c>
      <c r="W942">
        <f t="shared" si="257"/>
        <v>1</v>
      </c>
      <c r="X942">
        <f t="shared" si="258"/>
        <v>1</v>
      </c>
      <c r="Y942">
        <f t="shared" si="259"/>
        <v>1</v>
      </c>
      <c r="Z942">
        <f t="shared" si="260"/>
        <v>1</v>
      </c>
      <c r="AA942">
        <f t="shared" si="261"/>
        <v>1</v>
      </c>
      <c r="AB942">
        <f t="shared" si="262"/>
        <v>1</v>
      </c>
      <c r="AC942">
        <f t="shared" si="263"/>
        <v>1</v>
      </c>
      <c r="AD942">
        <f t="shared" si="264"/>
        <v>1</v>
      </c>
      <c r="AE942">
        <f t="shared" si="265"/>
        <v>1</v>
      </c>
      <c r="AF942">
        <f t="shared" si="266"/>
        <v>0</v>
      </c>
      <c r="AG942">
        <f t="shared" si="267"/>
        <v>0</v>
      </c>
      <c r="AH942">
        <f t="shared" si="268"/>
        <v>1</v>
      </c>
      <c r="AI942">
        <f t="shared" si="269"/>
        <v>0</v>
      </c>
    </row>
    <row r="943" spans="1:35" x14ac:dyDescent="0.2">
      <c r="A943">
        <v>500</v>
      </c>
      <c r="B943" t="s">
        <v>16</v>
      </c>
      <c r="C943">
        <v>7</v>
      </c>
      <c r="D943" t="s">
        <v>2731</v>
      </c>
      <c r="E943" t="s">
        <v>18</v>
      </c>
      <c r="F943" t="s">
        <v>19</v>
      </c>
      <c r="G943" t="s">
        <v>20</v>
      </c>
      <c r="H943" t="s">
        <v>21</v>
      </c>
      <c r="I943">
        <v>3</v>
      </c>
      <c r="J943">
        <v>4</v>
      </c>
      <c r="K943" t="s">
        <v>2732</v>
      </c>
      <c r="L943" t="s">
        <v>41</v>
      </c>
      <c r="M943" t="s">
        <v>42</v>
      </c>
      <c r="N943" t="s">
        <v>84</v>
      </c>
      <c r="O943" t="s">
        <v>1105</v>
      </c>
      <c r="P943" t="s">
        <v>2733</v>
      </c>
      <c r="Q943">
        <f t="shared" si="252"/>
        <v>4</v>
      </c>
      <c r="R943">
        <f t="shared" si="253"/>
        <v>3</v>
      </c>
      <c r="S943">
        <f t="shared" si="254"/>
        <v>2</v>
      </c>
      <c r="T943">
        <f t="shared" si="255"/>
        <v>1</v>
      </c>
      <c r="U943">
        <v>5</v>
      </c>
      <c r="V943">
        <f t="shared" si="256"/>
        <v>0</v>
      </c>
      <c r="W943">
        <f t="shared" si="257"/>
        <v>0</v>
      </c>
      <c r="X943">
        <f t="shared" si="258"/>
        <v>0</v>
      </c>
      <c r="Y943">
        <f t="shared" si="259"/>
        <v>0</v>
      </c>
      <c r="Z943">
        <f t="shared" si="260"/>
        <v>1</v>
      </c>
      <c r="AA943">
        <f t="shared" si="261"/>
        <v>0</v>
      </c>
      <c r="AB943">
        <f t="shared" si="262"/>
        <v>1</v>
      </c>
      <c r="AC943">
        <f t="shared" si="263"/>
        <v>0</v>
      </c>
      <c r="AD943">
        <f t="shared" si="264"/>
        <v>0</v>
      </c>
      <c r="AE943">
        <f t="shared" si="265"/>
        <v>0</v>
      </c>
      <c r="AF943">
        <f t="shared" si="266"/>
        <v>0</v>
      </c>
      <c r="AG943">
        <f t="shared" si="267"/>
        <v>1</v>
      </c>
      <c r="AH943">
        <f t="shared" si="268"/>
        <v>0</v>
      </c>
      <c r="AI943">
        <f t="shared" si="269"/>
        <v>0</v>
      </c>
    </row>
    <row r="944" spans="1:35" x14ac:dyDescent="0.2">
      <c r="A944">
        <v>501</v>
      </c>
      <c r="B944" t="s">
        <v>16</v>
      </c>
      <c r="C944">
        <v>8</v>
      </c>
      <c r="D944" t="s">
        <v>2734</v>
      </c>
      <c r="E944" t="s">
        <v>18</v>
      </c>
      <c r="F944" t="s">
        <v>20</v>
      </c>
      <c r="G944" t="s">
        <v>19</v>
      </c>
      <c r="H944" t="s">
        <v>39</v>
      </c>
      <c r="I944">
        <v>4</v>
      </c>
      <c r="J944">
        <v>4</v>
      </c>
      <c r="K944" s="2">
        <v>500000</v>
      </c>
      <c r="L944" t="s">
        <v>41</v>
      </c>
      <c r="M944" t="s">
        <v>23</v>
      </c>
      <c r="N944" t="s">
        <v>49</v>
      </c>
      <c r="O944" t="s">
        <v>2735</v>
      </c>
      <c r="P944" t="s">
        <v>2736</v>
      </c>
      <c r="Q944">
        <f t="shared" si="252"/>
        <v>4</v>
      </c>
      <c r="R944">
        <f t="shared" si="253"/>
        <v>2</v>
      </c>
      <c r="S944">
        <f t="shared" si="254"/>
        <v>3</v>
      </c>
      <c r="T944">
        <f t="shared" si="255"/>
        <v>5</v>
      </c>
      <c r="U944">
        <v>500000</v>
      </c>
      <c r="V944">
        <f t="shared" si="256"/>
        <v>0</v>
      </c>
      <c r="W944">
        <f t="shared" si="257"/>
        <v>0</v>
      </c>
      <c r="X944">
        <f t="shared" si="258"/>
        <v>0</v>
      </c>
      <c r="Y944">
        <f t="shared" si="259"/>
        <v>0</v>
      </c>
      <c r="Z944">
        <f t="shared" si="260"/>
        <v>1</v>
      </c>
      <c r="AA944">
        <f t="shared" si="261"/>
        <v>1</v>
      </c>
      <c r="AB944">
        <f t="shared" si="262"/>
        <v>0</v>
      </c>
      <c r="AC944">
        <f t="shared" si="263"/>
        <v>0</v>
      </c>
      <c r="AD944">
        <f t="shared" si="264"/>
        <v>0</v>
      </c>
      <c r="AE944">
        <f t="shared" si="265"/>
        <v>0</v>
      </c>
      <c r="AF944">
        <f t="shared" si="266"/>
        <v>0</v>
      </c>
      <c r="AG944">
        <f t="shared" si="267"/>
        <v>1</v>
      </c>
      <c r="AH944">
        <f t="shared" si="268"/>
        <v>1</v>
      </c>
      <c r="AI944">
        <f t="shared" si="269"/>
        <v>0</v>
      </c>
    </row>
    <row r="945" spans="1:35" x14ac:dyDescent="0.2">
      <c r="A945">
        <v>502</v>
      </c>
      <c r="B945" t="s">
        <v>16</v>
      </c>
      <c r="C945">
        <v>7</v>
      </c>
      <c r="D945" t="s">
        <v>2737</v>
      </c>
      <c r="E945" t="s">
        <v>18</v>
      </c>
      <c r="F945" t="s">
        <v>20</v>
      </c>
      <c r="G945" t="s">
        <v>20</v>
      </c>
      <c r="H945" t="s">
        <v>18</v>
      </c>
      <c r="I945">
        <v>3</v>
      </c>
      <c r="J945">
        <v>5</v>
      </c>
      <c r="K945" t="s">
        <v>2738</v>
      </c>
      <c r="L945" t="s">
        <v>22</v>
      </c>
      <c r="M945" t="s">
        <v>48</v>
      </c>
      <c r="N945" t="s">
        <v>36</v>
      </c>
      <c r="O945" t="s">
        <v>2739</v>
      </c>
      <c r="P945" t="s">
        <v>2740</v>
      </c>
      <c r="Q945">
        <f t="shared" si="252"/>
        <v>4</v>
      </c>
      <c r="R945">
        <f t="shared" si="253"/>
        <v>2</v>
      </c>
      <c r="S945">
        <f t="shared" si="254"/>
        <v>2</v>
      </c>
      <c r="T945">
        <f t="shared" si="255"/>
        <v>4</v>
      </c>
      <c r="U945">
        <v>20</v>
      </c>
      <c r="V945">
        <f t="shared" si="256"/>
        <v>1</v>
      </c>
      <c r="W945">
        <f t="shared" si="257"/>
        <v>0</v>
      </c>
      <c r="X945">
        <f t="shared" si="258"/>
        <v>0</v>
      </c>
      <c r="Y945">
        <f t="shared" si="259"/>
        <v>0</v>
      </c>
      <c r="Z945">
        <f t="shared" si="260"/>
        <v>0</v>
      </c>
      <c r="AA945">
        <f t="shared" si="261"/>
        <v>1</v>
      </c>
      <c r="AB945">
        <f t="shared" si="262"/>
        <v>1</v>
      </c>
      <c r="AC945">
        <f t="shared" si="263"/>
        <v>1</v>
      </c>
      <c r="AD945">
        <f t="shared" si="264"/>
        <v>0</v>
      </c>
      <c r="AE945">
        <f t="shared" si="265"/>
        <v>0</v>
      </c>
      <c r="AF945">
        <f t="shared" si="266"/>
        <v>0</v>
      </c>
      <c r="AG945">
        <f t="shared" si="267"/>
        <v>0</v>
      </c>
      <c r="AH945">
        <f t="shared" si="268"/>
        <v>0</v>
      </c>
      <c r="AI945">
        <f t="shared" si="269"/>
        <v>1</v>
      </c>
    </row>
    <row r="946" spans="1:35" ht="289" x14ac:dyDescent="0.2">
      <c r="A946">
        <v>503</v>
      </c>
      <c r="B946" t="s">
        <v>16</v>
      </c>
      <c r="C946">
        <v>6</v>
      </c>
      <c r="D946" t="s">
        <v>2741</v>
      </c>
      <c r="E946" t="s">
        <v>18</v>
      </c>
      <c r="F946" t="s">
        <v>19</v>
      </c>
      <c r="G946" t="s">
        <v>18</v>
      </c>
      <c r="H946" t="s">
        <v>18</v>
      </c>
      <c r="I946">
        <v>5</v>
      </c>
      <c r="J946">
        <v>8</v>
      </c>
      <c r="K946" t="s">
        <v>2742</v>
      </c>
      <c r="L946" t="s">
        <v>53</v>
      </c>
      <c r="M946" t="s">
        <v>23</v>
      </c>
      <c r="N946" t="s">
        <v>24</v>
      </c>
      <c r="O946" t="s">
        <v>2743</v>
      </c>
      <c r="P946" s="3" t="s">
        <v>2744</v>
      </c>
      <c r="Q946">
        <f t="shared" si="252"/>
        <v>4</v>
      </c>
      <c r="R946">
        <f t="shared" si="253"/>
        <v>3</v>
      </c>
      <c r="S946">
        <f t="shared" si="254"/>
        <v>4</v>
      </c>
      <c r="T946">
        <f t="shared" si="255"/>
        <v>4</v>
      </c>
      <c r="U946">
        <v>1000</v>
      </c>
      <c r="V946">
        <f t="shared" si="256"/>
        <v>0</v>
      </c>
      <c r="W946">
        <f t="shared" si="257"/>
        <v>0</v>
      </c>
      <c r="X946">
        <f t="shared" si="258"/>
        <v>1</v>
      </c>
      <c r="Y946">
        <f t="shared" si="259"/>
        <v>0</v>
      </c>
      <c r="Z946">
        <f t="shared" si="260"/>
        <v>0</v>
      </c>
      <c r="AA946">
        <f t="shared" si="261"/>
        <v>1</v>
      </c>
      <c r="AB946">
        <f t="shared" si="262"/>
        <v>0</v>
      </c>
      <c r="AC946">
        <f t="shared" si="263"/>
        <v>0</v>
      </c>
      <c r="AD946">
        <f t="shared" si="264"/>
        <v>0</v>
      </c>
      <c r="AE946">
        <f t="shared" si="265"/>
        <v>0</v>
      </c>
      <c r="AF946">
        <f t="shared" si="266"/>
        <v>0</v>
      </c>
      <c r="AG946">
        <f t="shared" si="267"/>
        <v>0</v>
      </c>
      <c r="AH946">
        <f t="shared" si="268"/>
        <v>1</v>
      </c>
      <c r="AI946">
        <f t="shared" si="269"/>
        <v>0</v>
      </c>
    </row>
    <row r="947" spans="1:35" x14ac:dyDescent="0.2">
      <c r="A947">
        <v>504</v>
      </c>
      <c r="B947" t="s">
        <v>16</v>
      </c>
      <c r="C947">
        <v>8</v>
      </c>
      <c r="D947" t="s">
        <v>2745</v>
      </c>
      <c r="E947" t="s">
        <v>39</v>
      </c>
      <c r="F947" t="s">
        <v>20</v>
      </c>
      <c r="G947" t="s">
        <v>21</v>
      </c>
      <c r="H947" t="s">
        <v>18</v>
      </c>
      <c r="I947">
        <v>2</v>
      </c>
      <c r="J947">
        <v>3</v>
      </c>
      <c r="K947">
        <v>200</v>
      </c>
      <c r="L947" t="s">
        <v>53</v>
      </c>
      <c r="M947" t="s">
        <v>42</v>
      </c>
      <c r="N947" t="s">
        <v>84</v>
      </c>
      <c r="O947" t="s">
        <v>244</v>
      </c>
      <c r="P947" t="s">
        <v>2746</v>
      </c>
      <c r="Q947">
        <f t="shared" si="252"/>
        <v>5</v>
      </c>
      <c r="R947">
        <f t="shared" si="253"/>
        <v>2</v>
      </c>
      <c r="S947">
        <f t="shared" si="254"/>
        <v>1</v>
      </c>
      <c r="T947">
        <f t="shared" si="255"/>
        <v>4</v>
      </c>
      <c r="U947">
        <v>200</v>
      </c>
      <c r="V947">
        <f t="shared" si="256"/>
        <v>0</v>
      </c>
      <c r="W947">
        <f t="shared" si="257"/>
        <v>0</v>
      </c>
      <c r="X947">
        <f t="shared" si="258"/>
        <v>1</v>
      </c>
      <c r="Y947">
        <f t="shared" si="259"/>
        <v>0</v>
      </c>
      <c r="Z947">
        <f t="shared" si="260"/>
        <v>0</v>
      </c>
      <c r="AA947">
        <f t="shared" si="261"/>
        <v>0</v>
      </c>
      <c r="AB947">
        <f t="shared" si="262"/>
        <v>1</v>
      </c>
      <c r="AC947">
        <f t="shared" si="263"/>
        <v>0</v>
      </c>
      <c r="AD947">
        <f t="shared" si="264"/>
        <v>0</v>
      </c>
      <c r="AE947">
        <f t="shared" si="265"/>
        <v>0</v>
      </c>
      <c r="AF947">
        <f t="shared" si="266"/>
        <v>0</v>
      </c>
      <c r="AG947">
        <f t="shared" si="267"/>
        <v>1</v>
      </c>
      <c r="AH947">
        <f t="shared" si="268"/>
        <v>0</v>
      </c>
      <c r="AI947">
        <f t="shared" si="269"/>
        <v>0</v>
      </c>
    </row>
    <row r="948" spans="1:35" x14ac:dyDescent="0.2">
      <c r="A948">
        <v>505</v>
      </c>
      <c r="B948" t="s">
        <v>16</v>
      </c>
      <c r="C948">
        <v>8</v>
      </c>
      <c r="D948" t="s">
        <v>2747</v>
      </c>
      <c r="E948" t="s">
        <v>39</v>
      </c>
      <c r="F948" t="s">
        <v>20</v>
      </c>
      <c r="G948" t="s">
        <v>20</v>
      </c>
      <c r="H948" t="s">
        <v>18</v>
      </c>
      <c r="I948">
        <v>4</v>
      </c>
      <c r="J948">
        <v>4</v>
      </c>
      <c r="K948">
        <v>50</v>
      </c>
      <c r="L948" t="s">
        <v>53</v>
      </c>
      <c r="M948" t="s">
        <v>23</v>
      </c>
      <c r="N948" t="s">
        <v>36</v>
      </c>
      <c r="O948" t="s">
        <v>2748</v>
      </c>
      <c r="P948" t="s">
        <v>2749</v>
      </c>
      <c r="Q948">
        <f t="shared" si="252"/>
        <v>5</v>
      </c>
      <c r="R948">
        <f t="shared" si="253"/>
        <v>2</v>
      </c>
      <c r="S948">
        <f t="shared" si="254"/>
        <v>2</v>
      </c>
      <c r="T948">
        <f t="shared" si="255"/>
        <v>4</v>
      </c>
      <c r="U948">
        <v>50</v>
      </c>
      <c r="V948">
        <f t="shared" si="256"/>
        <v>0</v>
      </c>
      <c r="W948">
        <f t="shared" si="257"/>
        <v>0</v>
      </c>
      <c r="X948">
        <f t="shared" si="258"/>
        <v>1</v>
      </c>
      <c r="Y948">
        <f t="shared" si="259"/>
        <v>0</v>
      </c>
      <c r="Z948">
        <f t="shared" si="260"/>
        <v>0</v>
      </c>
      <c r="AA948">
        <f t="shared" si="261"/>
        <v>1</v>
      </c>
      <c r="AB948">
        <f t="shared" si="262"/>
        <v>0</v>
      </c>
      <c r="AC948">
        <f t="shared" si="263"/>
        <v>0</v>
      </c>
      <c r="AD948">
        <f t="shared" si="264"/>
        <v>0</v>
      </c>
      <c r="AE948">
        <f t="shared" si="265"/>
        <v>0</v>
      </c>
      <c r="AF948">
        <f t="shared" si="266"/>
        <v>0</v>
      </c>
      <c r="AG948">
        <f t="shared" si="267"/>
        <v>0</v>
      </c>
      <c r="AH948">
        <f t="shared" si="268"/>
        <v>0</v>
      </c>
      <c r="AI948">
        <f t="shared" si="269"/>
        <v>1</v>
      </c>
    </row>
    <row r="949" spans="1:35" x14ac:dyDescent="0.2">
      <c r="A949">
        <v>506</v>
      </c>
      <c r="B949" t="s">
        <v>16</v>
      </c>
      <c r="C949">
        <v>3</v>
      </c>
      <c r="D949" t="s">
        <v>2750</v>
      </c>
      <c r="E949" t="s">
        <v>18</v>
      </c>
      <c r="F949" t="s">
        <v>20</v>
      </c>
      <c r="G949" t="s">
        <v>19</v>
      </c>
      <c r="H949" t="s">
        <v>18</v>
      </c>
      <c r="I949">
        <v>1</v>
      </c>
      <c r="J949">
        <v>5</v>
      </c>
      <c r="K949">
        <v>0</v>
      </c>
      <c r="L949" t="s">
        <v>53</v>
      </c>
      <c r="M949" t="s">
        <v>219</v>
      </c>
      <c r="N949" t="s">
        <v>84</v>
      </c>
      <c r="O949" t="s">
        <v>2751</v>
      </c>
      <c r="P949" t="s">
        <v>2752</v>
      </c>
      <c r="Q949">
        <f t="shared" si="252"/>
        <v>4</v>
      </c>
      <c r="R949">
        <f t="shared" si="253"/>
        <v>2</v>
      </c>
      <c r="S949">
        <f t="shared" si="254"/>
        <v>3</v>
      </c>
      <c r="T949">
        <f t="shared" si="255"/>
        <v>4</v>
      </c>
      <c r="U949">
        <v>0</v>
      </c>
      <c r="V949">
        <f t="shared" si="256"/>
        <v>0</v>
      </c>
      <c r="W949">
        <f t="shared" si="257"/>
        <v>0</v>
      </c>
      <c r="X949">
        <f t="shared" si="258"/>
        <v>1</v>
      </c>
      <c r="Y949">
        <f t="shared" si="259"/>
        <v>0</v>
      </c>
      <c r="Z949">
        <f t="shared" si="260"/>
        <v>0</v>
      </c>
      <c r="AA949">
        <f t="shared" si="261"/>
        <v>0</v>
      </c>
      <c r="AB949">
        <f t="shared" si="262"/>
        <v>0</v>
      </c>
      <c r="AC949">
        <f t="shared" si="263"/>
        <v>0</v>
      </c>
      <c r="AD949">
        <f t="shared" si="264"/>
        <v>0</v>
      </c>
      <c r="AE949">
        <f t="shared" si="265"/>
        <v>1</v>
      </c>
      <c r="AF949">
        <f t="shared" si="266"/>
        <v>0</v>
      </c>
      <c r="AG949">
        <f t="shared" si="267"/>
        <v>1</v>
      </c>
      <c r="AH949">
        <f t="shared" si="268"/>
        <v>0</v>
      </c>
      <c r="AI949">
        <f t="shared" si="269"/>
        <v>0</v>
      </c>
    </row>
    <row r="950" spans="1:35" x14ac:dyDescent="0.2">
      <c r="A950">
        <v>507</v>
      </c>
      <c r="B950" t="s">
        <v>16</v>
      </c>
      <c r="C950">
        <v>6</v>
      </c>
      <c r="D950" t="s">
        <v>2753</v>
      </c>
      <c r="E950" t="s">
        <v>39</v>
      </c>
      <c r="F950" t="s">
        <v>20</v>
      </c>
      <c r="G950" t="s">
        <v>20</v>
      </c>
      <c r="H950" t="s">
        <v>18</v>
      </c>
      <c r="I950">
        <v>5</v>
      </c>
      <c r="J950">
        <v>11</v>
      </c>
      <c r="K950" t="s">
        <v>2754</v>
      </c>
      <c r="L950" t="s">
        <v>128</v>
      </c>
      <c r="M950" t="s">
        <v>23</v>
      </c>
      <c r="N950" t="s">
        <v>24</v>
      </c>
      <c r="O950" t="s">
        <v>2755</v>
      </c>
      <c r="P950" t="s">
        <v>2756</v>
      </c>
      <c r="Q950">
        <f t="shared" si="252"/>
        <v>5</v>
      </c>
      <c r="R950">
        <f t="shared" si="253"/>
        <v>2</v>
      </c>
      <c r="S950">
        <f t="shared" si="254"/>
        <v>2</v>
      </c>
      <c r="T950">
        <f t="shared" si="255"/>
        <v>4</v>
      </c>
      <c r="U950">
        <v>153</v>
      </c>
      <c r="V950">
        <f t="shared" si="256"/>
        <v>1</v>
      </c>
      <c r="W950">
        <f t="shared" si="257"/>
        <v>0</v>
      </c>
      <c r="X950">
        <f t="shared" si="258"/>
        <v>1</v>
      </c>
      <c r="Y950">
        <f t="shared" si="259"/>
        <v>0</v>
      </c>
      <c r="Z950">
        <f t="shared" si="260"/>
        <v>0</v>
      </c>
      <c r="AA950">
        <f t="shared" si="261"/>
        <v>1</v>
      </c>
      <c r="AB950">
        <f t="shared" si="262"/>
        <v>0</v>
      </c>
      <c r="AC950">
        <f t="shared" si="263"/>
        <v>0</v>
      </c>
      <c r="AD950">
        <f t="shared" si="264"/>
        <v>0</v>
      </c>
      <c r="AE950">
        <f t="shared" si="265"/>
        <v>0</v>
      </c>
      <c r="AF950">
        <f t="shared" si="266"/>
        <v>0</v>
      </c>
      <c r="AG950">
        <f t="shared" si="267"/>
        <v>0</v>
      </c>
      <c r="AH950">
        <f t="shared" si="268"/>
        <v>1</v>
      </c>
      <c r="AI950">
        <f t="shared" si="269"/>
        <v>0</v>
      </c>
    </row>
    <row r="951" spans="1:35" x14ac:dyDescent="0.2">
      <c r="A951">
        <v>508</v>
      </c>
      <c r="B951" t="s">
        <v>16</v>
      </c>
      <c r="C951">
        <v>8</v>
      </c>
      <c r="D951" t="s">
        <v>2757</v>
      </c>
      <c r="E951" t="s">
        <v>18</v>
      </c>
      <c r="F951" t="s">
        <v>19</v>
      </c>
      <c r="G951" t="s">
        <v>19</v>
      </c>
      <c r="H951" t="s">
        <v>18</v>
      </c>
      <c r="I951">
        <v>6</v>
      </c>
      <c r="J951">
        <v>4</v>
      </c>
      <c r="K951">
        <v>500</v>
      </c>
      <c r="L951" t="s">
        <v>53</v>
      </c>
      <c r="M951" t="s">
        <v>23</v>
      </c>
      <c r="N951" t="s">
        <v>24</v>
      </c>
      <c r="O951" t="s">
        <v>2758</v>
      </c>
      <c r="P951" t="s">
        <v>2759</v>
      </c>
      <c r="Q951">
        <f t="shared" si="252"/>
        <v>4</v>
      </c>
      <c r="R951">
        <f t="shared" si="253"/>
        <v>3</v>
      </c>
      <c r="S951">
        <f t="shared" si="254"/>
        <v>3</v>
      </c>
      <c r="T951">
        <f t="shared" si="255"/>
        <v>4</v>
      </c>
      <c r="U951">
        <v>500</v>
      </c>
      <c r="V951">
        <f t="shared" si="256"/>
        <v>0</v>
      </c>
      <c r="W951">
        <f t="shared" si="257"/>
        <v>0</v>
      </c>
      <c r="X951">
        <f t="shared" si="258"/>
        <v>1</v>
      </c>
      <c r="Y951">
        <f t="shared" si="259"/>
        <v>0</v>
      </c>
      <c r="Z951">
        <f t="shared" si="260"/>
        <v>0</v>
      </c>
      <c r="AA951">
        <f t="shared" si="261"/>
        <v>1</v>
      </c>
      <c r="AB951">
        <f t="shared" si="262"/>
        <v>0</v>
      </c>
      <c r="AC951">
        <f t="shared" si="263"/>
        <v>0</v>
      </c>
      <c r="AD951">
        <f t="shared" si="264"/>
        <v>0</v>
      </c>
      <c r="AE951">
        <f t="shared" si="265"/>
        <v>0</v>
      </c>
      <c r="AF951">
        <f t="shared" si="266"/>
        <v>0</v>
      </c>
      <c r="AG951">
        <f t="shared" si="267"/>
        <v>0</v>
      </c>
      <c r="AH951">
        <f t="shared" si="268"/>
        <v>1</v>
      </c>
      <c r="AI951">
        <f t="shared" si="269"/>
        <v>0</v>
      </c>
    </row>
    <row r="952" spans="1:35" x14ac:dyDescent="0.2">
      <c r="A952">
        <v>509</v>
      </c>
      <c r="B952" t="s">
        <v>16</v>
      </c>
      <c r="C952">
        <v>9</v>
      </c>
      <c r="D952" t="s">
        <v>2760</v>
      </c>
      <c r="E952" t="s">
        <v>39</v>
      </c>
      <c r="F952" t="s">
        <v>20</v>
      </c>
      <c r="G952" t="s">
        <v>20</v>
      </c>
      <c r="H952" t="s">
        <v>39</v>
      </c>
      <c r="I952">
        <v>5</v>
      </c>
      <c r="J952">
        <v>7</v>
      </c>
      <c r="K952">
        <v>10</v>
      </c>
      <c r="L952" t="s">
        <v>22</v>
      </c>
      <c r="M952" t="s">
        <v>42</v>
      </c>
      <c r="N952" t="s">
        <v>651</v>
      </c>
      <c r="O952" t="s">
        <v>2761</v>
      </c>
      <c r="P952" t="s">
        <v>2762</v>
      </c>
      <c r="Q952">
        <f t="shared" si="252"/>
        <v>5</v>
      </c>
      <c r="R952">
        <f t="shared" si="253"/>
        <v>2</v>
      </c>
      <c r="S952">
        <f t="shared" si="254"/>
        <v>2</v>
      </c>
      <c r="T952">
        <f t="shared" si="255"/>
        <v>5</v>
      </c>
      <c r="U952">
        <v>10</v>
      </c>
      <c r="V952">
        <f t="shared" si="256"/>
        <v>1</v>
      </c>
      <c r="W952">
        <f t="shared" si="257"/>
        <v>0</v>
      </c>
      <c r="X952">
        <f t="shared" si="258"/>
        <v>0</v>
      </c>
      <c r="Y952">
        <f t="shared" si="259"/>
        <v>0</v>
      </c>
      <c r="Z952">
        <f t="shared" si="260"/>
        <v>0</v>
      </c>
      <c r="AA952">
        <f t="shared" si="261"/>
        <v>0</v>
      </c>
      <c r="AB952">
        <f t="shared" si="262"/>
        <v>1</v>
      </c>
      <c r="AC952">
        <f t="shared" si="263"/>
        <v>0</v>
      </c>
      <c r="AD952">
        <f t="shared" si="264"/>
        <v>0</v>
      </c>
      <c r="AE952">
        <f t="shared" si="265"/>
        <v>0</v>
      </c>
      <c r="AF952">
        <f t="shared" si="266"/>
        <v>1</v>
      </c>
      <c r="AG952">
        <f t="shared" si="267"/>
        <v>0</v>
      </c>
      <c r="AH952">
        <f t="shared" si="268"/>
        <v>1</v>
      </c>
      <c r="AI952">
        <f t="shared" si="269"/>
        <v>0</v>
      </c>
    </row>
    <row r="953" spans="1:35" x14ac:dyDescent="0.2">
      <c r="A953">
        <v>510</v>
      </c>
      <c r="B953" t="s">
        <v>16</v>
      </c>
      <c r="C953">
        <v>7</v>
      </c>
      <c r="D953" t="s">
        <v>2097</v>
      </c>
      <c r="E953" t="s">
        <v>18</v>
      </c>
      <c r="F953" t="s">
        <v>20</v>
      </c>
      <c r="G953" t="s">
        <v>19</v>
      </c>
      <c r="H953" t="s">
        <v>18</v>
      </c>
      <c r="I953">
        <v>6</v>
      </c>
      <c r="J953">
        <v>6</v>
      </c>
      <c r="K953">
        <v>50</v>
      </c>
      <c r="L953" t="s">
        <v>53</v>
      </c>
      <c r="M953" t="s">
        <v>135</v>
      </c>
      <c r="N953" t="s">
        <v>24</v>
      </c>
      <c r="O953" t="s">
        <v>141</v>
      </c>
      <c r="P953" t="s">
        <v>2763</v>
      </c>
      <c r="Q953">
        <f t="shared" si="252"/>
        <v>4</v>
      </c>
      <c r="R953">
        <f t="shared" si="253"/>
        <v>2</v>
      </c>
      <c r="S953">
        <f t="shared" si="254"/>
        <v>3</v>
      </c>
      <c r="T953">
        <f t="shared" si="255"/>
        <v>4</v>
      </c>
      <c r="U953">
        <v>50</v>
      </c>
      <c r="V953">
        <f t="shared" si="256"/>
        <v>0</v>
      </c>
      <c r="W953">
        <f t="shared" si="257"/>
        <v>0</v>
      </c>
      <c r="X953">
        <f t="shared" si="258"/>
        <v>1</v>
      </c>
      <c r="Y953">
        <f t="shared" si="259"/>
        <v>0</v>
      </c>
      <c r="Z953">
        <f t="shared" si="260"/>
        <v>0</v>
      </c>
      <c r="AA953">
        <f t="shared" si="261"/>
        <v>1</v>
      </c>
      <c r="AB953">
        <f t="shared" si="262"/>
        <v>1</v>
      </c>
      <c r="AC953">
        <f t="shared" si="263"/>
        <v>0</v>
      </c>
      <c r="AD953">
        <f t="shared" si="264"/>
        <v>0</v>
      </c>
      <c r="AE953">
        <f t="shared" si="265"/>
        <v>0</v>
      </c>
      <c r="AF953">
        <f t="shared" si="266"/>
        <v>0</v>
      </c>
      <c r="AG953">
        <f t="shared" si="267"/>
        <v>0</v>
      </c>
      <c r="AH953">
        <f t="shared" si="268"/>
        <v>1</v>
      </c>
      <c r="AI953">
        <f t="shared" si="269"/>
        <v>0</v>
      </c>
    </row>
    <row r="954" spans="1:35" x14ac:dyDescent="0.2">
      <c r="A954">
        <v>511</v>
      </c>
      <c r="B954" t="s">
        <v>16</v>
      </c>
      <c r="C954">
        <v>3</v>
      </c>
      <c r="D954" t="s">
        <v>2764</v>
      </c>
      <c r="E954" t="s">
        <v>18</v>
      </c>
      <c r="F954" t="s">
        <v>20</v>
      </c>
      <c r="G954" t="s">
        <v>19</v>
      </c>
      <c r="H954" t="s">
        <v>18</v>
      </c>
      <c r="I954">
        <v>3</v>
      </c>
      <c r="J954">
        <v>4</v>
      </c>
      <c r="K954" t="s">
        <v>2765</v>
      </c>
      <c r="L954" t="s">
        <v>41</v>
      </c>
      <c r="M954" t="s">
        <v>23</v>
      </c>
      <c r="N954" t="s">
        <v>24</v>
      </c>
      <c r="O954" t="s">
        <v>2766</v>
      </c>
      <c r="P954" t="s">
        <v>2767</v>
      </c>
      <c r="Q954">
        <f t="shared" si="252"/>
        <v>4</v>
      </c>
      <c r="R954">
        <f t="shared" si="253"/>
        <v>2</v>
      </c>
      <c r="S954">
        <f t="shared" si="254"/>
        <v>3</v>
      </c>
      <c r="T954">
        <f t="shared" si="255"/>
        <v>4</v>
      </c>
      <c r="U954">
        <v>25000000</v>
      </c>
      <c r="V954">
        <f t="shared" si="256"/>
        <v>0</v>
      </c>
      <c r="W954">
        <f t="shared" si="257"/>
        <v>0</v>
      </c>
      <c r="X954">
        <f t="shared" si="258"/>
        <v>0</v>
      </c>
      <c r="Y954">
        <f t="shared" si="259"/>
        <v>0</v>
      </c>
      <c r="Z954">
        <f t="shared" si="260"/>
        <v>1</v>
      </c>
      <c r="AA954">
        <f t="shared" si="261"/>
        <v>1</v>
      </c>
      <c r="AB954">
        <f t="shared" si="262"/>
        <v>0</v>
      </c>
      <c r="AC954">
        <f t="shared" si="263"/>
        <v>0</v>
      </c>
      <c r="AD954">
        <f t="shared" si="264"/>
        <v>0</v>
      </c>
      <c r="AE954">
        <f t="shared" si="265"/>
        <v>0</v>
      </c>
      <c r="AF954">
        <f t="shared" si="266"/>
        <v>0</v>
      </c>
      <c r="AG954">
        <f t="shared" si="267"/>
        <v>0</v>
      </c>
      <c r="AH954">
        <f t="shared" si="268"/>
        <v>1</v>
      </c>
      <c r="AI954">
        <f t="shared" si="269"/>
        <v>0</v>
      </c>
    </row>
    <row r="955" spans="1:35" x14ac:dyDescent="0.2">
      <c r="A955">
        <v>512</v>
      </c>
      <c r="B955" t="s">
        <v>16</v>
      </c>
      <c r="C955">
        <v>5</v>
      </c>
      <c r="D955" t="s">
        <v>2768</v>
      </c>
      <c r="E955" t="s">
        <v>19</v>
      </c>
      <c r="F955" t="s">
        <v>20</v>
      </c>
      <c r="G955" t="s">
        <v>19</v>
      </c>
      <c r="H955" t="s">
        <v>18</v>
      </c>
      <c r="I955">
        <v>4</v>
      </c>
      <c r="J955">
        <v>3</v>
      </c>
      <c r="K955">
        <v>0</v>
      </c>
      <c r="L955" t="s">
        <v>22</v>
      </c>
      <c r="M955" t="s">
        <v>219</v>
      </c>
      <c r="N955" t="s">
        <v>24</v>
      </c>
      <c r="O955" t="s">
        <v>2769</v>
      </c>
      <c r="P955" t="s">
        <v>2770</v>
      </c>
      <c r="Q955">
        <f t="shared" si="252"/>
        <v>3</v>
      </c>
      <c r="R955">
        <f t="shared" si="253"/>
        <v>2</v>
      </c>
      <c r="S955">
        <f t="shared" si="254"/>
        <v>3</v>
      </c>
      <c r="T955">
        <f t="shared" si="255"/>
        <v>4</v>
      </c>
      <c r="U955">
        <v>0</v>
      </c>
      <c r="V955">
        <f t="shared" si="256"/>
        <v>1</v>
      </c>
      <c r="W955">
        <f t="shared" si="257"/>
        <v>0</v>
      </c>
      <c r="X955">
        <f t="shared" si="258"/>
        <v>0</v>
      </c>
      <c r="Y955">
        <f t="shared" si="259"/>
        <v>0</v>
      </c>
      <c r="Z955">
        <f t="shared" si="260"/>
        <v>0</v>
      </c>
      <c r="AA955">
        <f t="shared" si="261"/>
        <v>0</v>
      </c>
      <c r="AB955">
        <f t="shared" si="262"/>
        <v>0</v>
      </c>
      <c r="AC955">
        <f t="shared" si="263"/>
        <v>0</v>
      </c>
      <c r="AD955">
        <f t="shared" si="264"/>
        <v>0</v>
      </c>
      <c r="AE955">
        <f t="shared" si="265"/>
        <v>1</v>
      </c>
      <c r="AF955">
        <f t="shared" si="266"/>
        <v>0</v>
      </c>
      <c r="AG955">
        <f t="shared" si="267"/>
        <v>0</v>
      </c>
      <c r="AH955">
        <f t="shared" si="268"/>
        <v>1</v>
      </c>
      <c r="AI955">
        <f t="shared" si="269"/>
        <v>0</v>
      </c>
    </row>
    <row r="956" spans="1:35" x14ac:dyDescent="0.2">
      <c r="A956">
        <v>513</v>
      </c>
      <c r="B956" t="s">
        <v>16</v>
      </c>
      <c r="C956">
        <v>7</v>
      </c>
      <c r="D956" t="s">
        <v>2771</v>
      </c>
      <c r="E956" t="s">
        <v>19</v>
      </c>
      <c r="F956" t="s">
        <v>19</v>
      </c>
      <c r="G956" t="s">
        <v>18</v>
      </c>
      <c r="H956" t="s">
        <v>39</v>
      </c>
      <c r="I956">
        <v>6</v>
      </c>
      <c r="J956">
        <v>6</v>
      </c>
      <c r="K956" t="s">
        <v>2772</v>
      </c>
      <c r="L956" t="s">
        <v>41</v>
      </c>
      <c r="M956" t="s">
        <v>23</v>
      </c>
      <c r="N956" t="s">
        <v>24</v>
      </c>
      <c r="O956" t="s">
        <v>2773</v>
      </c>
      <c r="P956" t="s">
        <v>2774</v>
      </c>
      <c r="Q956">
        <f t="shared" si="252"/>
        <v>3</v>
      </c>
      <c r="R956">
        <f t="shared" si="253"/>
        <v>3</v>
      </c>
      <c r="S956">
        <f t="shared" si="254"/>
        <v>4</v>
      </c>
      <c r="T956">
        <f t="shared" si="255"/>
        <v>5</v>
      </c>
      <c r="U956">
        <v>100</v>
      </c>
      <c r="V956">
        <f t="shared" si="256"/>
        <v>0</v>
      </c>
      <c r="W956">
        <f t="shared" si="257"/>
        <v>0</v>
      </c>
      <c r="X956">
        <f t="shared" si="258"/>
        <v>0</v>
      </c>
      <c r="Y956">
        <f t="shared" si="259"/>
        <v>0</v>
      </c>
      <c r="Z956">
        <f t="shared" si="260"/>
        <v>1</v>
      </c>
      <c r="AA956">
        <f t="shared" si="261"/>
        <v>1</v>
      </c>
      <c r="AB956">
        <f t="shared" si="262"/>
        <v>0</v>
      </c>
      <c r="AC956">
        <f t="shared" si="263"/>
        <v>0</v>
      </c>
      <c r="AD956">
        <f t="shared" si="264"/>
        <v>0</v>
      </c>
      <c r="AE956">
        <f t="shared" si="265"/>
        <v>0</v>
      </c>
      <c r="AF956">
        <f t="shared" si="266"/>
        <v>0</v>
      </c>
      <c r="AG956">
        <f t="shared" si="267"/>
        <v>0</v>
      </c>
      <c r="AH956">
        <f t="shared" si="268"/>
        <v>1</v>
      </c>
      <c r="AI956">
        <f t="shared" si="269"/>
        <v>0</v>
      </c>
    </row>
    <row r="957" spans="1:35" x14ac:dyDescent="0.2">
      <c r="A957">
        <v>514</v>
      </c>
      <c r="B957" t="s">
        <v>16</v>
      </c>
      <c r="C957">
        <v>3</v>
      </c>
      <c r="D957" t="s">
        <v>2775</v>
      </c>
      <c r="E957" t="s">
        <v>20</v>
      </c>
      <c r="F957" t="s">
        <v>18</v>
      </c>
      <c r="G957" t="s">
        <v>39</v>
      </c>
      <c r="H957" t="s">
        <v>21</v>
      </c>
      <c r="I957">
        <v>4</v>
      </c>
      <c r="J957">
        <v>3</v>
      </c>
      <c r="K957">
        <v>80</v>
      </c>
      <c r="L957" t="s">
        <v>22</v>
      </c>
      <c r="M957" t="s">
        <v>115</v>
      </c>
      <c r="N957" t="s">
        <v>84</v>
      </c>
      <c r="O957" t="s">
        <v>686</v>
      </c>
      <c r="P957" t="s">
        <v>2776</v>
      </c>
      <c r="Q957">
        <f t="shared" si="252"/>
        <v>2</v>
      </c>
      <c r="R957">
        <f t="shared" si="253"/>
        <v>4</v>
      </c>
      <c r="S957">
        <f t="shared" si="254"/>
        <v>5</v>
      </c>
      <c r="T957">
        <f t="shared" si="255"/>
        <v>1</v>
      </c>
      <c r="U957">
        <v>80</v>
      </c>
      <c r="V957">
        <f t="shared" si="256"/>
        <v>1</v>
      </c>
      <c r="W957">
        <f t="shared" si="257"/>
        <v>0</v>
      </c>
      <c r="X957">
        <f t="shared" si="258"/>
        <v>0</v>
      </c>
      <c r="Y957">
        <f t="shared" si="259"/>
        <v>0</v>
      </c>
      <c r="Z957">
        <f t="shared" si="260"/>
        <v>0</v>
      </c>
      <c r="AA957">
        <f t="shared" si="261"/>
        <v>0</v>
      </c>
      <c r="AB957">
        <f t="shared" si="262"/>
        <v>0</v>
      </c>
      <c r="AC957">
        <f t="shared" si="263"/>
        <v>1</v>
      </c>
      <c r="AD957">
        <f t="shared" si="264"/>
        <v>0</v>
      </c>
      <c r="AE957">
        <f t="shared" si="265"/>
        <v>0</v>
      </c>
      <c r="AF957">
        <f t="shared" si="266"/>
        <v>0</v>
      </c>
      <c r="AG957">
        <f t="shared" si="267"/>
        <v>1</v>
      </c>
      <c r="AH957">
        <f t="shared" si="268"/>
        <v>0</v>
      </c>
      <c r="AI957">
        <f t="shared" si="269"/>
        <v>0</v>
      </c>
    </row>
    <row r="958" spans="1:35" x14ac:dyDescent="0.2">
      <c r="A958">
        <v>515</v>
      </c>
      <c r="B958" t="s">
        <v>16</v>
      </c>
      <c r="C958">
        <v>10</v>
      </c>
      <c r="D958" t="s">
        <v>2777</v>
      </c>
      <c r="E958" t="s">
        <v>18</v>
      </c>
      <c r="F958" t="s">
        <v>39</v>
      </c>
      <c r="G958" t="s">
        <v>39</v>
      </c>
      <c r="H958" t="s">
        <v>18</v>
      </c>
      <c r="I958">
        <v>13</v>
      </c>
      <c r="J958">
        <v>7</v>
      </c>
      <c r="K958" s="1">
        <v>100</v>
      </c>
      <c r="L958" t="s">
        <v>98</v>
      </c>
      <c r="M958" t="s">
        <v>468</v>
      </c>
      <c r="N958" t="s">
        <v>24</v>
      </c>
      <c r="O958" t="s">
        <v>2778</v>
      </c>
      <c r="P958" t="s">
        <v>2779</v>
      </c>
      <c r="Q958">
        <f t="shared" si="252"/>
        <v>4</v>
      </c>
      <c r="R958">
        <f t="shared" si="253"/>
        <v>5</v>
      </c>
      <c r="S958">
        <f t="shared" si="254"/>
        <v>5</v>
      </c>
      <c r="T958">
        <f t="shared" si="255"/>
        <v>4</v>
      </c>
      <c r="U958">
        <v>100</v>
      </c>
      <c r="V958">
        <f t="shared" si="256"/>
        <v>0</v>
      </c>
      <c r="W958">
        <f t="shared" si="257"/>
        <v>1</v>
      </c>
      <c r="X958">
        <f t="shared" si="258"/>
        <v>0</v>
      </c>
      <c r="Y958">
        <f t="shared" si="259"/>
        <v>0</v>
      </c>
      <c r="Z958">
        <f t="shared" si="260"/>
        <v>0</v>
      </c>
      <c r="AA958">
        <f t="shared" si="261"/>
        <v>1</v>
      </c>
      <c r="AB958">
        <f t="shared" si="262"/>
        <v>1</v>
      </c>
      <c r="AC958">
        <f t="shared" si="263"/>
        <v>1</v>
      </c>
      <c r="AD958">
        <f t="shared" si="264"/>
        <v>1</v>
      </c>
      <c r="AE958">
        <f t="shared" si="265"/>
        <v>1</v>
      </c>
      <c r="AF958">
        <f t="shared" si="266"/>
        <v>0</v>
      </c>
      <c r="AG958">
        <f t="shared" si="267"/>
        <v>0</v>
      </c>
      <c r="AH958">
        <f t="shared" si="268"/>
        <v>1</v>
      </c>
      <c r="AI958">
        <f t="shared" si="269"/>
        <v>0</v>
      </c>
    </row>
    <row r="959" spans="1:35" x14ac:dyDescent="0.2">
      <c r="A959">
        <v>516</v>
      </c>
      <c r="B959" t="s">
        <v>16</v>
      </c>
      <c r="C959">
        <v>8</v>
      </c>
      <c r="D959" t="s">
        <v>2780</v>
      </c>
      <c r="E959" t="s">
        <v>18</v>
      </c>
      <c r="F959" t="s">
        <v>21</v>
      </c>
      <c r="G959" t="s">
        <v>20</v>
      </c>
      <c r="H959" t="s">
        <v>18</v>
      </c>
      <c r="I959">
        <v>7</v>
      </c>
      <c r="J959">
        <v>8</v>
      </c>
      <c r="K959" s="1">
        <v>20</v>
      </c>
      <c r="L959" t="s">
        <v>70</v>
      </c>
      <c r="M959" t="s">
        <v>23</v>
      </c>
      <c r="N959" t="s">
        <v>24</v>
      </c>
      <c r="O959" t="s">
        <v>2781</v>
      </c>
      <c r="P959" t="s">
        <v>2782</v>
      </c>
      <c r="Q959">
        <f t="shared" si="252"/>
        <v>4</v>
      </c>
      <c r="R959">
        <f t="shared" si="253"/>
        <v>1</v>
      </c>
      <c r="S959">
        <f t="shared" si="254"/>
        <v>2</v>
      </c>
      <c r="T959">
        <f t="shared" si="255"/>
        <v>4</v>
      </c>
      <c r="U959">
        <v>20</v>
      </c>
      <c r="V959">
        <f t="shared" si="256"/>
        <v>0</v>
      </c>
      <c r="W959">
        <f t="shared" si="257"/>
        <v>0</v>
      </c>
      <c r="X959">
        <f t="shared" si="258"/>
        <v>0</v>
      </c>
      <c r="Y959">
        <f t="shared" si="259"/>
        <v>1</v>
      </c>
      <c r="Z959">
        <f t="shared" si="260"/>
        <v>0</v>
      </c>
      <c r="AA959">
        <f t="shared" si="261"/>
        <v>1</v>
      </c>
      <c r="AB959">
        <f t="shared" si="262"/>
        <v>0</v>
      </c>
      <c r="AC959">
        <f t="shared" si="263"/>
        <v>0</v>
      </c>
      <c r="AD959">
        <f t="shared" si="264"/>
        <v>0</v>
      </c>
      <c r="AE959">
        <f t="shared" si="265"/>
        <v>0</v>
      </c>
      <c r="AF959">
        <f t="shared" si="266"/>
        <v>0</v>
      </c>
      <c r="AG959">
        <f t="shared" si="267"/>
        <v>0</v>
      </c>
      <c r="AH959">
        <f t="shared" si="268"/>
        <v>1</v>
      </c>
      <c r="AI959">
        <f t="shared" si="269"/>
        <v>0</v>
      </c>
    </row>
    <row r="960" spans="1:35" x14ac:dyDescent="0.2">
      <c r="A960">
        <v>517</v>
      </c>
      <c r="B960" t="s">
        <v>16</v>
      </c>
      <c r="C960">
        <v>6</v>
      </c>
      <c r="D960" t="s">
        <v>2783</v>
      </c>
      <c r="E960" t="s">
        <v>20</v>
      </c>
      <c r="F960" t="s">
        <v>21</v>
      </c>
      <c r="G960" t="s">
        <v>19</v>
      </c>
      <c r="H960" t="s">
        <v>21</v>
      </c>
      <c r="I960">
        <v>4</v>
      </c>
      <c r="J960">
        <v>4</v>
      </c>
      <c r="K960">
        <v>1</v>
      </c>
      <c r="L960" t="s">
        <v>22</v>
      </c>
      <c r="M960" t="s">
        <v>179</v>
      </c>
      <c r="N960" t="s">
        <v>24</v>
      </c>
      <c r="O960" t="s">
        <v>2784</v>
      </c>
      <c r="P960" t="s">
        <v>2785</v>
      </c>
      <c r="Q960">
        <f t="shared" si="252"/>
        <v>2</v>
      </c>
      <c r="R960">
        <f t="shared" si="253"/>
        <v>1</v>
      </c>
      <c r="S960">
        <f t="shared" si="254"/>
        <v>3</v>
      </c>
      <c r="T960">
        <f t="shared" si="255"/>
        <v>1</v>
      </c>
      <c r="U960">
        <v>1</v>
      </c>
      <c r="V960">
        <f t="shared" si="256"/>
        <v>1</v>
      </c>
      <c r="W960">
        <f t="shared" si="257"/>
        <v>0</v>
      </c>
      <c r="X960">
        <f t="shared" si="258"/>
        <v>0</v>
      </c>
      <c r="Y960">
        <f t="shared" si="259"/>
        <v>0</v>
      </c>
      <c r="Z960">
        <f t="shared" si="260"/>
        <v>0</v>
      </c>
      <c r="AA960">
        <f t="shared" si="261"/>
        <v>0</v>
      </c>
      <c r="AB960">
        <f t="shared" si="262"/>
        <v>0</v>
      </c>
      <c r="AC960">
        <f t="shared" si="263"/>
        <v>0</v>
      </c>
      <c r="AD960">
        <f t="shared" si="264"/>
        <v>1</v>
      </c>
      <c r="AE960">
        <f t="shared" si="265"/>
        <v>1</v>
      </c>
      <c r="AF960">
        <f t="shared" si="266"/>
        <v>0</v>
      </c>
      <c r="AG960">
        <f t="shared" si="267"/>
        <v>0</v>
      </c>
      <c r="AH960">
        <f t="shared" si="268"/>
        <v>1</v>
      </c>
      <c r="AI960">
        <f t="shared" si="269"/>
        <v>0</v>
      </c>
    </row>
    <row r="961" spans="1:35" x14ac:dyDescent="0.2">
      <c r="A961">
        <v>518</v>
      </c>
      <c r="B961" t="s">
        <v>16</v>
      </c>
      <c r="C961">
        <v>7</v>
      </c>
      <c r="D961" t="s">
        <v>2786</v>
      </c>
      <c r="E961" t="s">
        <v>18</v>
      </c>
      <c r="F961" t="s">
        <v>20</v>
      </c>
      <c r="G961" t="s">
        <v>20</v>
      </c>
      <c r="H961" t="s">
        <v>18</v>
      </c>
      <c r="I961">
        <v>5</v>
      </c>
      <c r="J961">
        <v>5</v>
      </c>
      <c r="K961" s="5">
        <v>220</v>
      </c>
      <c r="L961" t="s">
        <v>47</v>
      </c>
      <c r="M961" t="s">
        <v>23</v>
      </c>
      <c r="N961" t="s">
        <v>24</v>
      </c>
      <c r="O961" t="s">
        <v>416</v>
      </c>
      <c r="P961" t="s">
        <v>2787</v>
      </c>
      <c r="Q961">
        <f t="shared" si="252"/>
        <v>4</v>
      </c>
      <c r="R961">
        <f t="shared" si="253"/>
        <v>2</v>
      </c>
      <c r="S961">
        <f t="shared" si="254"/>
        <v>2</v>
      </c>
      <c r="T961">
        <f t="shared" si="255"/>
        <v>4</v>
      </c>
      <c r="U961">
        <v>220</v>
      </c>
      <c r="V961">
        <f t="shared" si="256"/>
        <v>0</v>
      </c>
      <c r="W961">
        <f t="shared" si="257"/>
        <v>0</v>
      </c>
      <c r="X961">
        <f t="shared" si="258"/>
        <v>1</v>
      </c>
      <c r="Y961">
        <f t="shared" si="259"/>
        <v>0</v>
      </c>
      <c r="Z961">
        <f t="shared" si="260"/>
        <v>1</v>
      </c>
      <c r="AA961">
        <f t="shared" si="261"/>
        <v>1</v>
      </c>
      <c r="AB961">
        <f t="shared" si="262"/>
        <v>0</v>
      </c>
      <c r="AC961">
        <f t="shared" si="263"/>
        <v>0</v>
      </c>
      <c r="AD961">
        <f t="shared" si="264"/>
        <v>0</v>
      </c>
      <c r="AE961">
        <f t="shared" si="265"/>
        <v>0</v>
      </c>
      <c r="AF961">
        <f t="shared" si="266"/>
        <v>0</v>
      </c>
      <c r="AG961">
        <f t="shared" si="267"/>
        <v>0</v>
      </c>
      <c r="AH961">
        <f t="shared" si="268"/>
        <v>1</v>
      </c>
      <c r="AI961">
        <f t="shared" si="269"/>
        <v>0</v>
      </c>
    </row>
    <row r="962" spans="1:35" x14ac:dyDescent="0.2">
      <c r="A962">
        <v>519</v>
      </c>
      <c r="B962" t="s">
        <v>16</v>
      </c>
      <c r="C962">
        <v>5</v>
      </c>
      <c r="D962" t="s">
        <v>2788</v>
      </c>
      <c r="E962" t="s">
        <v>20</v>
      </c>
      <c r="F962" t="s">
        <v>19</v>
      </c>
      <c r="G962" t="s">
        <v>18</v>
      </c>
      <c r="H962" t="s">
        <v>19</v>
      </c>
      <c r="I962">
        <v>6</v>
      </c>
      <c r="J962">
        <v>3</v>
      </c>
      <c r="K962" t="s">
        <v>2789</v>
      </c>
      <c r="L962" t="s">
        <v>53</v>
      </c>
      <c r="M962" t="s">
        <v>23</v>
      </c>
      <c r="N962" t="s">
        <v>24</v>
      </c>
      <c r="O962" t="s">
        <v>2155</v>
      </c>
      <c r="P962" t="s">
        <v>2790</v>
      </c>
      <c r="Q962">
        <f t="shared" si="252"/>
        <v>2</v>
      </c>
      <c r="R962">
        <f t="shared" si="253"/>
        <v>3</v>
      </c>
      <c r="S962">
        <f t="shared" si="254"/>
        <v>4</v>
      </c>
      <c r="T962">
        <f t="shared" si="255"/>
        <v>3</v>
      </c>
      <c r="U962">
        <v>100</v>
      </c>
      <c r="V962">
        <f t="shared" si="256"/>
        <v>0</v>
      </c>
      <c r="W962">
        <f t="shared" si="257"/>
        <v>0</v>
      </c>
      <c r="X962">
        <f t="shared" si="258"/>
        <v>1</v>
      </c>
      <c r="Y962">
        <f t="shared" si="259"/>
        <v>0</v>
      </c>
      <c r="Z962">
        <f t="shared" si="260"/>
        <v>0</v>
      </c>
      <c r="AA962">
        <f t="shared" si="261"/>
        <v>1</v>
      </c>
      <c r="AB962">
        <f t="shared" si="262"/>
        <v>0</v>
      </c>
      <c r="AC962">
        <f t="shared" si="263"/>
        <v>0</v>
      </c>
      <c r="AD962">
        <f t="shared" si="264"/>
        <v>0</v>
      </c>
      <c r="AE962">
        <f t="shared" si="265"/>
        <v>0</v>
      </c>
      <c r="AF962">
        <f t="shared" si="266"/>
        <v>0</v>
      </c>
      <c r="AG962">
        <f t="shared" si="267"/>
        <v>0</v>
      </c>
      <c r="AH962">
        <f t="shared" si="268"/>
        <v>1</v>
      </c>
      <c r="AI962">
        <f t="shared" si="269"/>
        <v>0</v>
      </c>
    </row>
    <row r="963" spans="1:35" x14ac:dyDescent="0.2">
      <c r="A963">
        <v>520</v>
      </c>
      <c r="B963" t="s">
        <v>16</v>
      </c>
      <c r="C963">
        <v>7</v>
      </c>
      <c r="D963" t="s">
        <v>2791</v>
      </c>
      <c r="E963" t="s">
        <v>18</v>
      </c>
      <c r="F963" t="s">
        <v>20</v>
      </c>
      <c r="G963" t="s">
        <v>18</v>
      </c>
      <c r="H963" t="s">
        <v>20</v>
      </c>
      <c r="I963">
        <v>4</v>
      </c>
      <c r="J963">
        <v>5</v>
      </c>
      <c r="K963">
        <v>90</v>
      </c>
      <c r="L963" t="s">
        <v>41</v>
      </c>
      <c r="M963" t="s">
        <v>42</v>
      </c>
      <c r="N963" t="s">
        <v>24</v>
      </c>
      <c r="O963" t="s">
        <v>2792</v>
      </c>
      <c r="P963" t="s">
        <v>2793</v>
      </c>
      <c r="Q963">
        <f t="shared" ref="Q963:Q1026" si="270">IF(E963="", "", LEFT(E963, 1) * 1)</f>
        <v>4</v>
      </c>
      <c r="R963">
        <f t="shared" ref="R963:R1026" si="271">IF(F963="","",VALUE(LEFT(F963,FIND(" ",F963)-1)))</f>
        <v>2</v>
      </c>
      <c r="S963">
        <f t="shared" ref="S963:S1026" si="272">IF(G963="","",VALUE(LEFT(G963,FIND(" ",G963)-1)))</f>
        <v>4</v>
      </c>
      <c r="T963">
        <f t="shared" ref="T963:T1026" si="273">IF(H963="","",VALUE(LEFT(H963,FIND(" ",H963)-1)))</f>
        <v>2</v>
      </c>
      <c r="U963">
        <v>90</v>
      </c>
      <c r="V963">
        <f t="shared" ref="V963:V1026" si="274">IF(L963="",0,IF(ISNUMBER(SEARCH("Bathroom",L963)),1,0))</f>
        <v>0</v>
      </c>
      <c r="W963">
        <f t="shared" ref="W963:W1026" si="275">IF(L963="",0,IF(ISNUMBER(SEARCH("Dining room",L963)),1,0))</f>
        <v>0</v>
      </c>
      <c r="X963">
        <f t="shared" ref="X963:X1026" si="276">IF(L963="",0,IF(ISNUMBER(SEARCH("Office",L963)),1,0))</f>
        <v>0</v>
      </c>
      <c r="Y963">
        <f t="shared" ref="Y963:Y1026" si="277">IF(L963="",0,IF(ISNUMBER(SEARCH("Bedroom",L963)),1,0))</f>
        <v>0</v>
      </c>
      <c r="Z963">
        <f t="shared" ref="Z963:Z1026" si="278">IF(L963="",0,IF(ISNUMBER(SEARCH("Living room",L963)),1,0))</f>
        <v>1</v>
      </c>
      <c r="AA963">
        <f t="shared" ref="AA963:AA1026" si="279">IF(M963="",0, IF(ISNUMBER(SEARCH("By yourself",M963)), 1, 0))</f>
        <v>0</v>
      </c>
      <c r="AB963">
        <f t="shared" ref="AB963:AB1026" si="280">IF(M963="", 0, IF(ISNUMBER(SEARCH("Friends", M963)), 1, 0))</f>
        <v>1</v>
      </c>
      <c r="AC963">
        <f t="shared" ref="AC963:AC1026" si="281">IF(M963="",0,IF(ISNUMBER(SEARCH("Family members", M963)), 1, 0))</f>
        <v>0</v>
      </c>
      <c r="AD963">
        <f t="shared" ref="AD963:AD1026" si="282">IF(M963="", 0, IF(ISNUMBER(SEARCH("Coworkers/Classmates", M963)), 1, 0))</f>
        <v>0</v>
      </c>
      <c r="AE963">
        <f t="shared" ref="AE963:AE1026" si="283">IF(M963="", 0, IF(ISNUMBER(SEARCH("Strangers", M963)), 1, 0))</f>
        <v>0</v>
      </c>
      <c r="AF963">
        <f t="shared" ref="AF963:AF1026" si="284">IF(N963="", 0, IF(ISNUMBER(SEARCH("Spring", N963)), 1, 0))</f>
        <v>0</v>
      </c>
      <c r="AG963">
        <f t="shared" ref="AG963:AG1026" si="285">IF(N963="", 0, IF(ISNUMBER(SEARCH("Summer", N963)), 1, 0))</f>
        <v>0</v>
      </c>
      <c r="AH963">
        <f t="shared" ref="AH963:AH1026" si="286">IF(N963="", 0, IF(ISNUMBER(SEARCH("Fall", N963)), 1, 0))</f>
        <v>1</v>
      </c>
      <c r="AI963">
        <f t="shared" ref="AI963:AI1026" si="287">IF(N963="", 0, IF(ISNUMBER(SEARCH("Winter", N963)), 1, 0))</f>
        <v>0</v>
      </c>
    </row>
    <row r="964" spans="1:35" x14ac:dyDescent="0.2">
      <c r="A964">
        <v>521</v>
      </c>
      <c r="B964" t="s">
        <v>16</v>
      </c>
      <c r="C964">
        <v>7</v>
      </c>
      <c r="D964" t="s">
        <v>2794</v>
      </c>
      <c r="E964" t="s">
        <v>18</v>
      </c>
      <c r="F964" t="s">
        <v>20</v>
      </c>
      <c r="G964" t="s">
        <v>19</v>
      </c>
      <c r="H964" t="s">
        <v>18</v>
      </c>
      <c r="I964">
        <v>6</v>
      </c>
      <c r="J964">
        <v>6</v>
      </c>
      <c r="K964">
        <v>15</v>
      </c>
      <c r="L964" t="s">
        <v>70</v>
      </c>
      <c r="M964" t="s">
        <v>123</v>
      </c>
      <c r="N964" t="s">
        <v>24</v>
      </c>
      <c r="O964" t="s">
        <v>2795</v>
      </c>
      <c r="P964" t="s">
        <v>1551</v>
      </c>
      <c r="Q964">
        <f t="shared" si="270"/>
        <v>4</v>
      </c>
      <c r="R964">
        <f t="shared" si="271"/>
        <v>2</v>
      </c>
      <c r="S964">
        <f t="shared" si="272"/>
        <v>3</v>
      </c>
      <c r="T964">
        <f t="shared" si="273"/>
        <v>4</v>
      </c>
      <c r="U964">
        <v>15</v>
      </c>
      <c r="V964">
        <f t="shared" si="274"/>
        <v>0</v>
      </c>
      <c r="W964">
        <f t="shared" si="275"/>
        <v>0</v>
      </c>
      <c r="X964">
        <f t="shared" si="276"/>
        <v>0</v>
      </c>
      <c r="Y964">
        <f t="shared" si="277"/>
        <v>1</v>
      </c>
      <c r="Z964">
        <f t="shared" si="278"/>
        <v>0</v>
      </c>
      <c r="AA964">
        <f t="shared" si="279"/>
        <v>0</v>
      </c>
      <c r="AB964">
        <f t="shared" si="280"/>
        <v>1</v>
      </c>
      <c r="AC964">
        <f t="shared" si="281"/>
        <v>1</v>
      </c>
      <c r="AD964">
        <f t="shared" si="282"/>
        <v>0</v>
      </c>
      <c r="AE964">
        <f t="shared" si="283"/>
        <v>0</v>
      </c>
      <c r="AF964">
        <f t="shared" si="284"/>
        <v>0</v>
      </c>
      <c r="AG964">
        <f t="shared" si="285"/>
        <v>0</v>
      </c>
      <c r="AH964">
        <f t="shared" si="286"/>
        <v>1</v>
      </c>
      <c r="AI964">
        <f t="shared" si="287"/>
        <v>0</v>
      </c>
    </row>
    <row r="965" spans="1:35" ht="289" x14ac:dyDescent="0.2">
      <c r="A965">
        <v>522</v>
      </c>
      <c r="B965" t="s">
        <v>16</v>
      </c>
      <c r="C965">
        <v>7</v>
      </c>
      <c r="D965" t="s">
        <v>2796</v>
      </c>
      <c r="E965" t="s">
        <v>18</v>
      </c>
      <c r="F965" t="s">
        <v>18</v>
      </c>
      <c r="G965" t="s">
        <v>20</v>
      </c>
      <c r="H965" t="s">
        <v>18</v>
      </c>
      <c r="I965">
        <v>5</v>
      </c>
      <c r="J965">
        <v>8</v>
      </c>
      <c r="K965" s="1">
        <v>500</v>
      </c>
      <c r="L965" t="s">
        <v>53</v>
      </c>
      <c r="M965" t="s">
        <v>80</v>
      </c>
      <c r="N965" t="s">
        <v>24</v>
      </c>
      <c r="O965" t="s">
        <v>2797</v>
      </c>
      <c r="P965" s="3" t="s">
        <v>2798</v>
      </c>
      <c r="Q965">
        <f t="shared" si="270"/>
        <v>4</v>
      </c>
      <c r="R965">
        <f t="shared" si="271"/>
        <v>4</v>
      </c>
      <c r="S965">
        <f t="shared" si="272"/>
        <v>2</v>
      </c>
      <c r="T965">
        <f t="shared" si="273"/>
        <v>4</v>
      </c>
      <c r="U965">
        <v>500</v>
      </c>
      <c r="V965">
        <f t="shared" si="274"/>
        <v>0</v>
      </c>
      <c r="W965">
        <f t="shared" si="275"/>
        <v>0</v>
      </c>
      <c r="X965">
        <f t="shared" si="276"/>
        <v>1</v>
      </c>
      <c r="Y965">
        <f t="shared" si="277"/>
        <v>0</v>
      </c>
      <c r="Z965">
        <f t="shared" si="278"/>
        <v>0</v>
      </c>
      <c r="AA965">
        <f t="shared" si="279"/>
        <v>1</v>
      </c>
      <c r="AB965">
        <f t="shared" si="280"/>
        <v>1</v>
      </c>
      <c r="AC965">
        <f t="shared" si="281"/>
        <v>0</v>
      </c>
      <c r="AD965">
        <f t="shared" si="282"/>
        <v>0</v>
      </c>
      <c r="AE965">
        <f t="shared" si="283"/>
        <v>1</v>
      </c>
      <c r="AF965">
        <f t="shared" si="284"/>
        <v>0</v>
      </c>
      <c r="AG965">
        <f t="shared" si="285"/>
        <v>0</v>
      </c>
      <c r="AH965">
        <f t="shared" si="286"/>
        <v>1</v>
      </c>
      <c r="AI965">
        <f t="shared" si="287"/>
        <v>0</v>
      </c>
    </row>
    <row r="966" spans="1:35" x14ac:dyDescent="0.2">
      <c r="A966">
        <v>523</v>
      </c>
      <c r="B966" t="s">
        <v>16</v>
      </c>
      <c r="C966">
        <v>7</v>
      </c>
      <c r="D966" t="s">
        <v>2799</v>
      </c>
      <c r="E966" t="s">
        <v>19</v>
      </c>
      <c r="F966" t="s">
        <v>21</v>
      </c>
      <c r="G966" t="s">
        <v>19</v>
      </c>
      <c r="H966" t="s">
        <v>18</v>
      </c>
      <c r="I966">
        <v>7</v>
      </c>
      <c r="J966">
        <v>6</v>
      </c>
      <c r="K966" s="1">
        <v>50</v>
      </c>
      <c r="L966" t="s">
        <v>22</v>
      </c>
      <c r="M966" t="s">
        <v>23</v>
      </c>
      <c r="N966" t="s">
        <v>84</v>
      </c>
      <c r="O966" t="s">
        <v>2800</v>
      </c>
      <c r="P966" t="s">
        <v>2801</v>
      </c>
      <c r="Q966">
        <f t="shared" si="270"/>
        <v>3</v>
      </c>
      <c r="R966">
        <f t="shared" si="271"/>
        <v>1</v>
      </c>
      <c r="S966">
        <f t="shared" si="272"/>
        <v>3</v>
      </c>
      <c r="T966">
        <f t="shared" si="273"/>
        <v>4</v>
      </c>
      <c r="U966">
        <v>50</v>
      </c>
      <c r="V966">
        <f t="shared" si="274"/>
        <v>1</v>
      </c>
      <c r="W966">
        <f t="shared" si="275"/>
        <v>0</v>
      </c>
      <c r="X966">
        <f t="shared" si="276"/>
        <v>0</v>
      </c>
      <c r="Y966">
        <f t="shared" si="277"/>
        <v>0</v>
      </c>
      <c r="Z966">
        <f t="shared" si="278"/>
        <v>0</v>
      </c>
      <c r="AA966">
        <f t="shared" si="279"/>
        <v>1</v>
      </c>
      <c r="AB966">
        <f t="shared" si="280"/>
        <v>0</v>
      </c>
      <c r="AC966">
        <f t="shared" si="281"/>
        <v>0</v>
      </c>
      <c r="AD966">
        <f t="shared" si="282"/>
        <v>0</v>
      </c>
      <c r="AE966">
        <f t="shared" si="283"/>
        <v>0</v>
      </c>
      <c r="AF966">
        <f t="shared" si="284"/>
        <v>0</v>
      </c>
      <c r="AG966">
        <f t="shared" si="285"/>
        <v>1</v>
      </c>
      <c r="AH966">
        <f t="shared" si="286"/>
        <v>0</v>
      </c>
      <c r="AI966">
        <f t="shared" si="287"/>
        <v>0</v>
      </c>
    </row>
    <row r="967" spans="1:35" x14ac:dyDescent="0.2">
      <c r="A967">
        <v>524</v>
      </c>
      <c r="B967" t="s">
        <v>16</v>
      </c>
      <c r="C967">
        <v>6</v>
      </c>
      <c r="D967" t="s">
        <v>2802</v>
      </c>
      <c r="E967" t="s">
        <v>18</v>
      </c>
      <c r="F967" t="s">
        <v>20</v>
      </c>
      <c r="G967" t="s">
        <v>21</v>
      </c>
      <c r="H967" t="s">
        <v>39</v>
      </c>
      <c r="I967">
        <v>4</v>
      </c>
      <c r="J967">
        <v>8</v>
      </c>
      <c r="K967">
        <v>50</v>
      </c>
      <c r="L967" t="s">
        <v>53</v>
      </c>
      <c r="M967" t="s">
        <v>48</v>
      </c>
      <c r="N967" t="s">
        <v>49</v>
      </c>
      <c r="O967" t="s">
        <v>2803</v>
      </c>
      <c r="P967" t="s">
        <v>2804</v>
      </c>
      <c r="Q967">
        <f t="shared" si="270"/>
        <v>4</v>
      </c>
      <c r="R967">
        <f t="shared" si="271"/>
        <v>2</v>
      </c>
      <c r="S967">
        <f t="shared" si="272"/>
        <v>1</v>
      </c>
      <c r="T967">
        <f t="shared" si="273"/>
        <v>5</v>
      </c>
      <c r="U967">
        <v>50</v>
      </c>
      <c r="V967">
        <f t="shared" si="274"/>
        <v>0</v>
      </c>
      <c r="W967">
        <f t="shared" si="275"/>
        <v>0</v>
      </c>
      <c r="X967">
        <f t="shared" si="276"/>
        <v>1</v>
      </c>
      <c r="Y967">
        <f t="shared" si="277"/>
        <v>0</v>
      </c>
      <c r="Z967">
        <f t="shared" si="278"/>
        <v>0</v>
      </c>
      <c r="AA967">
        <f t="shared" si="279"/>
        <v>1</v>
      </c>
      <c r="AB967">
        <f t="shared" si="280"/>
        <v>1</v>
      </c>
      <c r="AC967">
        <f t="shared" si="281"/>
        <v>1</v>
      </c>
      <c r="AD967">
        <f t="shared" si="282"/>
        <v>0</v>
      </c>
      <c r="AE967">
        <f t="shared" si="283"/>
        <v>0</v>
      </c>
      <c r="AF967">
        <f t="shared" si="284"/>
        <v>0</v>
      </c>
      <c r="AG967">
        <f t="shared" si="285"/>
        <v>1</v>
      </c>
      <c r="AH967">
        <f t="shared" si="286"/>
        <v>1</v>
      </c>
      <c r="AI967">
        <f t="shared" si="287"/>
        <v>0</v>
      </c>
    </row>
    <row r="968" spans="1:35" x14ac:dyDescent="0.2">
      <c r="A968">
        <v>525</v>
      </c>
      <c r="B968" t="s">
        <v>16</v>
      </c>
      <c r="C968">
        <v>10</v>
      </c>
      <c r="D968" t="s">
        <v>2805</v>
      </c>
      <c r="E968" t="s">
        <v>18</v>
      </c>
      <c r="F968" t="s">
        <v>20</v>
      </c>
      <c r="G968" t="s">
        <v>19</v>
      </c>
      <c r="H968" t="s">
        <v>18</v>
      </c>
      <c r="I968">
        <v>7</v>
      </c>
      <c r="J968">
        <v>7</v>
      </c>
      <c r="K968">
        <v>300</v>
      </c>
      <c r="L968" t="s">
        <v>53</v>
      </c>
      <c r="M968" t="s">
        <v>23</v>
      </c>
      <c r="N968" t="s">
        <v>24</v>
      </c>
      <c r="O968" t="s">
        <v>103</v>
      </c>
      <c r="P968" t="s">
        <v>2806</v>
      </c>
      <c r="Q968">
        <f t="shared" si="270"/>
        <v>4</v>
      </c>
      <c r="R968">
        <f t="shared" si="271"/>
        <v>2</v>
      </c>
      <c r="S968">
        <f t="shared" si="272"/>
        <v>3</v>
      </c>
      <c r="T968">
        <f t="shared" si="273"/>
        <v>4</v>
      </c>
      <c r="U968">
        <v>300</v>
      </c>
      <c r="V968">
        <f t="shared" si="274"/>
        <v>0</v>
      </c>
      <c r="W968">
        <f t="shared" si="275"/>
        <v>0</v>
      </c>
      <c r="X968">
        <f t="shared" si="276"/>
        <v>1</v>
      </c>
      <c r="Y968">
        <f t="shared" si="277"/>
        <v>0</v>
      </c>
      <c r="Z968">
        <f t="shared" si="278"/>
        <v>0</v>
      </c>
      <c r="AA968">
        <f t="shared" si="279"/>
        <v>1</v>
      </c>
      <c r="AB968">
        <f t="shared" si="280"/>
        <v>0</v>
      </c>
      <c r="AC968">
        <f t="shared" si="281"/>
        <v>0</v>
      </c>
      <c r="AD968">
        <f t="shared" si="282"/>
        <v>0</v>
      </c>
      <c r="AE968">
        <f t="shared" si="283"/>
        <v>0</v>
      </c>
      <c r="AF968">
        <f t="shared" si="284"/>
        <v>0</v>
      </c>
      <c r="AG968">
        <f t="shared" si="285"/>
        <v>0</v>
      </c>
      <c r="AH968">
        <f t="shared" si="286"/>
        <v>1</v>
      </c>
      <c r="AI968">
        <f t="shared" si="287"/>
        <v>0</v>
      </c>
    </row>
    <row r="969" spans="1:35" x14ac:dyDescent="0.2">
      <c r="A969">
        <v>526</v>
      </c>
      <c r="B969" t="s">
        <v>16</v>
      </c>
      <c r="C969">
        <v>8</v>
      </c>
      <c r="D969" t="s">
        <v>2807</v>
      </c>
      <c r="E969" t="s">
        <v>39</v>
      </c>
      <c r="F969" t="s">
        <v>20</v>
      </c>
      <c r="G969" t="s">
        <v>20</v>
      </c>
      <c r="H969" t="s">
        <v>18</v>
      </c>
      <c r="I969">
        <v>4</v>
      </c>
      <c r="J969">
        <v>4</v>
      </c>
      <c r="K969">
        <v>60</v>
      </c>
      <c r="L969" t="s">
        <v>70</v>
      </c>
      <c r="M969" t="s">
        <v>23</v>
      </c>
      <c r="N969" t="s">
        <v>36</v>
      </c>
      <c r="O969" t="s">
        <v>195</v>
      </c>
      <c r="P969" t="s">
        <v>2808</v>
      </c>
      <c r="Q969">
        <f t="shared" si="270"/>
        <v>5</v>
      </c>
      <c r="R969">
        <f t="shared" si="271"/>
        <v>2</v>
      </c>
      <c r="S969">
        <f t="shared" si="272"/>
        <v>2</v>
      </c>
      <c r="T969">
        <f t="shared" si="273"/>
        <v>4</v>
      </c>
      <c r="U969">
        <v>60</v>
      </c>
      <c r="V969">
        <f t="shared" si="274"/>
        <v>0</v>
      </c>
      <c r="W969">
        <f t="shared" si="275"/>
        <v>0</v>
      </c>
      <c r="X969">
        <f t="shared" si="276"/>
        <v>0</v>
      </c>
      <c r="Y969">
        <f t="shared" si="277"/>
        <v>1</v>
      </c>
      <c r="Z969">
        <f t="shared" si="278"/>
        <v>0</v>
      </c>
      <c r="AA969">
        <f t="shared" si="279"/>
        <v>1</v>
      </c>
      <c r="AB969">
        <f t="shared" si="280"/>
        <v>0</v>
      </c>
      <c r="AC969">
        <f t="shared" si="281"/>
        <v>0</v>
      </c>
      <c r="AD969">
        <f t="shared" si="282"/>
        <v>0</v>
      </c>
      <c r="AE969">
        <f t="shared" si="283"/>
        <v>0</v>
      </c>
      <c r="AF969">
        <f t="shared" si="284"/>
        <v>0</v>
      </c>
      <c r="AG969">
        <f t="shared" si="285"/>
        <v>0</v>
      </c>
      <c r="AH969">
        <f t="shared" si="286"/>
        <v>0</v>
      </c>
      <c r="AI969">
        <f t="shared" si="287"/>
        <v>1</v>
      </c>
    </row>
    <row r="970" spans="1:35" x14ac:dyDescent="0.2">
      <c r="A970">
        <v>527</v>
      </c>
      <c r="B970" t="s">
        <v>16</v>
      </c>
      <c r="C970">
        <v>3</v>
      </c>
      <c r="D970" t="s">
        <v>2809</v>
      </c>
      <c r="E970" t="s">
        <v>20</v>
      </c>
      <c r="F970" t="s">
        <v>19</v>
      </c>
      <c r="G970" t="s">
        <v>18</v>
      </c>
      <c r="H970" t="s">
        <v>18</v>
      </c>
      <c r="I970">
        <v>7</v>
      </c>
      <c r="J970">
        <v>9</v>
      </c>
      <c r="K970">
        <v>40</v>
      </c>
      <c r="L970" t="s">
        <v>53</v>
      </c>
      <c r="M970" t="s">
        <v>115</v>
      </c>
      <c r="N970" t="s">
        <v>24</v>
      </c>
      <c r="O970" t="s">
        <v>2663</v>
      </c>
      <c r="P970" t="s">
        <v>2810</v>
      </c>
      <c r="Q970">
        <f t="shared" si="270"/>
        <v>2</v>
      </c>
      <c r="R970">
        <f t="shared" si="271"/>
        <v>3</v>
      </c>
      <c r="S970">
        <f t="shared" si="272"/>
        <v>4</v>
      </c>
      <c r="T970">
        <f t="shared" si="273"/>
        <v>4</v>
      </c>
      <c r="U970">
        <v>40</v>
      </c>
      <c r="V970">
        <f t="shared" si="274"/>
        <v>0</v>
      </c>
      <c r="W970">
        <f t="shared" si="275"/>
        <v>0</v>
      </c>
      <c r="X970">
        <f t="shared" si="276"/>
        <v>1</v>
      </c>
      <c r="Y970">
        <f t="shared" si="277"/>
        <v>0</v>
      </c>
      <c r="Z970">
        <f t="shared" si="278"/>
        <v>0</v>
      </c>
      <c r="AA970">
        <f t="shared" si="279"/>
        <v>0</v>
      </c>
      <c r="AB970">
        <f t="shared" si="280"/>
        <v>0</v>
      </c>
      <c r="AC970">
        <f t="shared" si="281"/>
        <v>1</v>
      </c>
      <c r="AD970">
        <f t="shared" si="282"/>
        <v>0</v>
      </c>
      <c r="AE970">
        <f t="shared" si="283"/>
        <v>0</v>
      </c>
      <c r="AF970">
        <f t="shared" si="284"/>
        <v>0</v>
      </c>
      <c r="AG970">
        <f t="shared" si="285"/>
        <v>0</v>
      </c>
      <c r="AH970">
        <f t="shared" si="286"/>
        <v>1</v>
      </c>
      <c r="AI970">
        <f t="shared" si="287"/>
        <v>0</v>
      </c>
    </row>
    <row r="971" spans="1:35" x14ac:dyDescent="0.2">
      <c r="A971">
        <v>528</v>
      </c>
      <c r="B971" t="s">
        <v>16</v>
      </c>
      <c r="C971">
        <v>7</v>
      </c>
      <c r="D971" t="s">
        <v>2811</v>
      </c>
      <c r="E971" t="s">
        <v>18</v>
      </c>
      <c r="F971" t="s">
        <v>20</v>
      </c>
      <c r="G971" t="s">
        <v>19</v>
      </c>
      <c r="H971" t="s">
        <v>18</v>
      </c>
      <c r="I971">
        <v>5</v>
      </c>
      <c r="J971">
        <v>4</v>
      </c>
      <c r="K971" s="1">
        <v>500</v>
      </c>
      <c r="L971" t="s">
        <v>53</v>
      </c>
      <c r="M971" t="s">
        <v>23</v>
      </c>
      <c r="N971" t="s">
        <v>84</v>
      </c>
      <c r="O971" t="s">
        <v>2812</v>
      </c>
      <c r="P971" t="s">
        <v>2813</v>
      </c>
      <c r="Q971">
        <f t="shared" si="270"/>
        <v>4</v>
      </c>
      <c r="R971">
        <f t="shared" si="271"/>
        <v>2</v>
      </c>
      <c r="S971">
        <f t="shared" si="272"/>
        <v>3</v>
      </c>
      <c r="T971">
        <f t="shared" si="273"/>
        <v>4</v>
      </c>
      <c r="U971">
        <v>500</v>
      </c>
      <c r="V971">
        <f t="shared" si="274"/>
        <v>0</v>
      </c>
      <c r="W971">
        <f t="shared" si="275"/>
        <v>0</v>
      </c>
      <c r="X971">
        <f t="shared" si="276"/>
        <v>1</v>
      </c>
      <c r="Y971">
        <f t="shared" si="277"/>
        <v>0</v>
      </c>
      <c r="Z971">
        <f t="shared" si="278"/>
        <v>0</v>
      </c>
      <c r="AA971">
        <f t="shared" si="279"/>
        <v>1</v>
      </c>
      <c r="AB971">
        <f t="shared" si="280"/>
        <v>0</v>
      </c>
      <c r="AC971">
        <f t="shared" si="281"/>
        <v>0</v>
      </c>
      <c r="AD971">
        <f t="shared" si="282"/>
        <v>0</v>
      </c>
      <c r="AE971">
        <f t="shared" si="283"/>
        <v>0</v>
      </c>
      <c r="AF971">
        <f t="shared" si="284"/>
        <v>0</v>
      </c>
      <c r="AG971">
        <f t="shared" si="285"/>
        <v>1</v>
      </c>
      <c r="AH971">
        <f t="shared" si="286"/>
        <v>0</v>
      </c>
      <c r="AI971">
        <f t="shared" si="287"/>
        <v>0</v>
      </c>
    </row>
    <row r="972" spans="1:35" x14ac:dyDescent="0.2">
      <c r="A972">
        <v>529</v>
      </c>
      <c r="B972" t="s">
        <v>16</v>
      </c>
      <c r="C972">
        <v>8</v>
      </c>
      <c r="D972" t="s">
        <v>2814</v>
      </c>
      <c r="E972" t="s">
        <v>18</v>
      </c>
      <c r="F972" t="s">
        <v>20</v>
      </c>
      <c r="G972" t="s">
        <v>20</v>
      </c>
      <c r="H972" t="s">
        <v>18</v>
      </c>
      <c r="I972">
        <v>4</v>
      </c>
      <c r="J972">
        <v>5</v>
      </c>
      <c r="K972">
        <v>80</v>
      </c>
      <c r="L972" t="s">
        <v>53</v>
      </c>
      <c r="M972" t="s">
        <v>280</v>
      </c>
      <c r="N972" t="s">
        <v>84</v>
      </c>
      <c r="O972" t="s">
        <v>2815</v>
      </c>
      <c r="P972" t="s">
        <v>2816</v>
      </c>
      <c r="Q972">
        <f t="shared" si="270"/>
        <v>4</v>
      </c>
      <c r="R972">
        <f t="shared" si="271"/>
        <v>2</v>
      </c>
      <c r="S972">
        <f t="shared" si="272"/>
        <v>2</v>
      </c>
      <c r="T972">
        <f t="shared" si="273"/>
        <v>4</v>
      </c>
      <c r="U972">
        <v>80</v>
      </c>
      <c r="V972">
        <f t="shared" si="274"/>
        <v>0</v>
      </c>
      <c r="W972">
        <f t="shared" si="275"/>
        <v>0</v>
      </c>
      <c r="X972">
        <f t="shared" si="276"/>
        <v>1</v>
      </c>
      <c r="Y972">
        <f t="shared" si="277"/>
        <v>0</v>
      </c>
      <c r="Z972">
        <f t="shared" si="278"/>
        <v>0</v>
      </c>
      <c r="AA972">
        <f t="shared" si="279"/>
        <v>0</v>
      </c>
      <c r="AB972">
        <f t="shared" si="280"/>
        <v>1</v>
      </c>
      <c r="AC972">
        <f t="shared" si="281"/>
        <v>1</v>
      </c>
      <c r="AD972">
        <f t="shared" si="282"/>
        <v>1</v>
      </c>
      <c r="AE972">
        <f t="shared" si="283"/>
        <v>0</v>
      </c>
      <c r="AF972">
        <f t="shared" si="284"/>
        <v>0</v>
      </c>
      <c r="AG972">
        <f t="shared" si="285"/>
        <v>1</v>
      </c>
      <c r="AH972">
        <f t="shared" si="286"/>
        <v>0</v>
      </c>
      <c r="AI972">
        <f t="shared" si="287"/>
        <v>0</v>
      </c>
    </row>
    <row r="973" spans="1:35" x14ac:dyDescent="0.2">
      <c r="A973">
        <v>530</v>
      </c>
      <c r="B973" t="s">
        <v>16</v>
      </c>
      <c r="C973">
        <v>8</v>
      </c>
      <c r="D973" t="s">
        <v>2817</v>
      </c>
      <c r="E973" t="s">
        <v>39</v>
      </c>
      <c r="F973" t="s">
        <v>18</v>
      </c>
      <c r="G973" t="s">
        <v>19</v>
      </c>
      <c r="H973" t="s">
        <v>18</v>
      </c>
      <c r="I973">
        <v>4</v>
      </c>
      <c r="J973">
        <v>6</v>
      </c>
      <c r="K973">
        <v>321</v>
      </c>
      <c r="L973" t="s">
        <v>70</v>
      </c>
      <c r="M973" t="s">
        <v>23</v>
      </c>
      <c r="N973" t="s">
        <v>36</v>
      </c>
      <c r="O973" t="s">
        <v>2818</v>
      </c>
      <c r="P973" t="s">
        <v>2819</v>
      </c>
      <c r="Q973">
        <f t="shared" si="270"/>
        <v>5</v>
      </c>
      <c r="R973">
        <f t="shared" si="271"/>
        <v>4</v>
      </c>
      <c r="S973">
        <f t="shared" si="272"/>
        <v>3</v>
      </c>
      <c r="T973">
        <f t="shared" si="273"/>
        <v>4</v>
      </c>
      <c r="U973">
        <v>321</v>
      </c>
      <c r="V973">
        <f t="shared" si="274"/>
        <v>0</v>
      </c>
      <c r="W973">
        <f t="shared" si="275"/>
        <v>0</v>
      </c>
      <c r="X973">
        <f t="shared" si="276"/>
        <v>0</v>
      </c>
      <c r="Y973">
        <f t="shared" si="277"/>
        <v>1</v>
      </c>
      <c r="Z973">
        <f t="shared" si="278"/>
        <v>0</v>
      </c>
      <c r="AA973">
        <f t="shared" si="279"/>
        <v>1</v>
      </c>
      <c r="AB973">
        <f t="shared" si="280"/>
        <v>0</v>
      </c>
      <c r="AC973">
        <f t="shared" si="281"/>
        <v>0</v>
      </c>
      <c r="AD973">
        <f t="shared" si="282"/>
        <v>0</v>
      </c>
      <c r="AE973">
        <f t="shared" si="283"/>
        <v>0</v>
      </c>
      <c r="AF973">
        <f t="shared" si="284"/>
        <v>0</v>
      </c>
      <c r="AG973">
        <f t="shared" si="285"/>
        <v>0</v>
      </c>
      <c r="AH973">
        <f t="shared" si="286"/>
        <v>0</v>
      </c>
      <c r="AI973">
        <f t="shared" si="287"/>
        <v>1</v>
      </c>
    </row>
    <row r="974" spans="1:35" ht="85" x14ac:dyDescent="0.2">
      <c r="A974">
        <v>531</v>
      </c>
      <c r="B974" t="s">
        <v>16</v>
      </c>
      <c r="C974">
        <v>9</v>
      </c>
      <c r="D974" s="3" t="s">
        <v>2820</v>
      </c>
      <c r="E974" t="s">
        <v>18</v>
      </c>
      <c r="F974" t="s">
        <v>20</v>
      </c>
      <c r="G974" t="s">
        <v>19</v>
      </c>
      <c r="H974" t="s">
        <v>18</v>
      </c>
      <c r="I974">
        <v>6</v>
      </c>
      <c r="J974">
        <v>8</v>
      </c>
      <c r="K974">
        <v>30</v>
      </c>
      <c r="L974" t="s">
        <v>714</v>
      </c>
      <c r="M974" t="s">
        <v>2198</v>
      </c>
      <c r="N974" t="s">
        <v>36</v>
      </c>
      <c r="O974" t="s">
        <v>2031</v>
      </c>
      <c r="P974" t="s">
        <v>2821</v>
      </c>
      <c r="Q974">
        <f t="shared" si="270"/>
        <v>4</v>
      </c>
      <c r="R974">
        <f t="shared" si="271"/>
        <v>2</v>
      </c>
      <c r="S974">
        <f t="shared" si="272"/>
        <v>3</v>
      </c>
      <c r="T974">
        <f t="shared" si="273"/>
        <v>4</v>
      </c>
      <c r="U974">
        <v>30</v>
      </c>
      <c r="V974">
        <f t="shared" si="274"/>
        <v>0</v>
      </c>
      <c r="W974">
        <f t="shared" si="275"/>
        <v>0</v>
      </c>
      <c r="X974">
        <f t="shared" si="276"/>
        <v>1</v>
      </c>
      <c r="Y974">
        <f t="shared" si="277"/>
        <v>1</v>
      </c>
      <c r="Z974">
        <f t="shared" si="278"/>
        <v>1</v>
      </c>
      <c r="AA974">
        <f t="shared" si="279"/>
        <v>1</v>
      </c>
      <c r="AB974">
        <f t="shared" si="280"/>
        <v>0</v>
      </c>
      <c r="AC974">
        <f t="shared" si="281"/>
        <v>1</v>
      </c>
      <c r="AD974">
        <f t="shared" si="282"/>
        <v>1</v>
      </c>
      <c r="AE974">
        <f t="shared" si="283"/>
        <v>1</v>
      </c>
      <c r="AF974">
        <f t="shared" si="284"/>
        <v>0</v>
      </c>
      <c r="AG974">
        <f t="shared" si="285"/>
        <v>0</v>
      </c>
      <c r="AH974">
        <f t="shared" si="286"/>
        <v>0</v>
      </c>
      <c r="AI974">
        <f t="shared" si="287"/>
        <v>1</v>
      </c>
    </row>
    <row r="975" spans="1:35" x14ac:dyDescent="0.2">
      <c r="A975">
        <v>532</v>
      </c>
      <c r="B975" t="s">
        <v>16</v>
      </c>
      <c r="C975">
        <v>4</v>
      </c>
      <c r="D975" t="s">
        <v>2822</v>
      </c>
      <c r="E975" t="s">
        <v>18</v>
      </c>
      <c r="F975" t="s">
        <v>19</v>
      </c>
      <c r="G975" t="s">
        <v>19</v>
      </c>
      <c r="H975" t="s">
        <v>18</v>
      </c>
      <c r="I975">
        <v>6</v>
      </c>
      <c r="J975">
        <v>4</v>
      </c>
      <c r="K975">
        <v>60</v>
      </c>
      <c r="L975" t="s">
        <v>128</v>
      </c>
      <c r="M975" t="s">
        <v>23</v>
      </c>
      <c r="N975" t="s">
        <v>24</v>
      </c>
      <c r="O975" t="s">
        <v>2823</v>
      </c>
      <c r="P975" t="s">
        <v>2824</v>
      </c>
      <c r="Q975">
        <f t="shared" si="270"/>
        <v>4</v>
      </c>
      <c r="R975">
        <f t="shared" si="271"/>
        <v>3</v>
      </c>
      <c r="S975">
        <f t="shared" si="272"/>
        <v>3</v>
      </c>
      <c r="T975">
        <f t="shared" si="273"/>
        <v>4</v>
      </c>
      <c r="U975">
        <v>60</v>
      </c>
      <c r="V975">
        <f t="shared" si="274"/>
        <v>1</v>
      </c>
      <c r="W975">
        <f t="shared" si="275"/>
        <v>0</v>
      </c>
      <c r="X975">
        <f t="shared" si="276"/>
        <v>1</v>
      </c>
      <c r="Y975">
        <f t="shared" si="277"/>
        <v>0</v>
      </c>
      <c r="Z975">
        <f t="shared" si="278"/>
        <v>0</v>
      </c>
      <c r="AA975">
        <f t="shared" si="279"/>
        <v>1</v>
      </c>
      <c r="AB975">
        <f t="shared" si="280"/>
        <v>0</v>
      </c>
      <c r="AC975">
        <f t="shared" si="281"/>
        <v>0</v>
      </c>
      <c r="AD975">
        <f t="shared" si="282"/>
        <v>0</v>
      </c>
      <c r="AE975">
        <f t="shared" si="283"/>
        <v>0</v>
      </c>
      <c r="AF975">
        <f t="shared" si="284"/>
        <v>0</v>
      </c>
      <c r="AG975">
        <f t="shared" si="285"/>
        <v>0</v>
      </c>
      <c r="AH975">
        <f t="shared" si="286"/>
        <v>1</v>
      </c>
      <c r="AI975">
        <f t="shared" si="287"/>
        <v>0</v>
      </c>
    </row>
    <row r="976" spans="1:35" x14ac:dyDescent="0.2">
      <c r="A976">
        <v>533</v>
      </c>
      <c r="B976" t="s">
        <v>16</v>
      </c>
      <c r="C976">
        <v>6</v>
      </c>
      <c r="D976" t="s">
        <v>2825</v>
      </c>
      <c r="E976" t="s">
        <v>39</v>
      </c>
      <c r="F976" t="s">
        <v>20</v>
      </c>
      <c r="G976" t="s">
        <v>18</v>
      </c>
      <c r="H976" t="s">
        <v>18</v>
      </c>
      <c r="I976">
        <v>4</v>
      </c>
      <c r="J976">
        <v>4</v>
      </c>
      <c r="K976">
        <v>100</v>
      </c>
      <c r="L976" t="s">
        <v>70</v>
      </c>
      <c r="M976" t="s">
        <v>23</v>
      </c>
      <c r="N976" t="s">
        <v>84</v>
      </c>
      <c r="O976" t="s">
        <v>2826</v>
      </c>
      <c r="P976" t="s">
        <v>2827</v>
      </c>
      <c r="Q976">
        <f t="shared" si="270"/>
        <v>5</v>
      </c>
      <c r="R976">
        <f t="shared" si="271"/>
        <v>2</v>
      </c>
      <c r="S976">
        <f t="shared" si="272"/>
        <v>4</v>
      </c>
      <c r="T976">
        <f t="shared" si="273"/>
        <v>4</v>
      </c>
      <c r="U976">
        <v>100</v>
      </c>
      <c r="V976">
        <f t="shared" si="274"/>
        <v>0</v>
      </c>
      <c r="W976">
        <f t="shared" si="275"/>
        <v>0</v>
      </c>
      <c r="X976">
        <f t="shared" si="276"/>
        <v>0</v>
      </c>
      <c r="Y976">
        <f t="shared" si="277"/>
        <v>1</v>
      </c>
      <c r="Z976">
        <f t="shared" si="278"/>
        <v>0</v>
      </c>
      <c r="AA976">
        <f t="shared" si="279"/>
        <v>1</v>
      </c>
      <c r="AB976">
        <f t="shared" si="280"/>
        <v>0</v>
      </c>
      <c r="AC976">
        <f t="shared" si="281"/>
        <v>0</v>
      </c>
      <c r="AD976">
        <f t="shared" si="282"/>
        <v>0</v>
      </c>
      <c r="AE976">
        <f t="shared" si="283"/>
        <v>0</v>
      </c>
      <c r="AF976">
        <f t="shared" si="284"/>
        <v>0</v>
      </c>
      <c r="AG976">
        <f t="shared" si="285"/>
        <v>1</v>
      </c>
      <c r="AH976">
        <f t="shared" si="286"/>
        <v>0</v>
      </c>
      <c r="AI976">
        <f t="shared" si="287"/>
        <v>0</v>
      </c>
    </row>
    <row r="977" spans="1:35" x14ac:dyDescent="0.2">
      <c r="A977">
        <v>534</v>
      </c>
      <c r="B977" t="s">
        <v>16</v>
      </c>
      <c r="C977">
        <v>5</v>
      </c>
      <c r="D977" t="s">
        <v>2828</v>
      </c>
      <c r="E977" t="s">
        <v>21</v>
      </c>
      <c r="F977" t="s">
        <v>21</v>
      </c>
      <c r="G977" t="s">
        <v>21</v>
      </c>
      <c r="H977" t="s">
        <v>39</v>
      </c>
      <c r="I977">
        <v>2</v>
      </c>
      <c r="J977">
        <v>5</v>
      </c>
      <c r="K977">
        <v>0</v>
      </c>
      <c r="L977" t="s">
        <v>53</v>
      </c>
      <c r="M977" t="s">
        <v>35</v>
      </c>
      <c r="N977" t="s">
        <v>24</v>
      </c>
      <c r="O977" t="s">
        <v>2829</v>
      </c>
      <c r="P977" t="s">
        <v>2830</v>
      </c>
      <c r="Q977">
        <f t="shared" si="270"/>
        <v>1</v>
      </c>
      <c r="R977">
        <f t="shared" si="271"/>
        <v>1</v>
      </c>
      <c r="S977">
        <f t="shared" si="272"/>
        <v>1</v>
      </c>
      <c r="T977">
        <f t="shared" si="273"/>
        <v>5</v>
      </c>
      <c r="U977">
        <v>0</v>
      </c>
      <c r="V977">
        <f t="shared" si="274"/>
        <v>0</v>
      </c>
      <c r="W977">
        <f t="shared" si="275"/>
        <v>0</v>
      </c>
      <c r="X977">
        <f t="shared" si="276"/>
        <v>1</v>
      </c>
      <c r="Y977">
        <f t="shared" si="277"/>
        <v>0</v>
      </c>
      <c r="Z977">
        <f t="shared" si="278"/>
        <v>0</v>
      </c>
      <c r="AA977">
        <f t="shared" si="279"/>
        <v>0</v>
      </c>
      <c r="AB977">
        <f t="shared" si="280"/>
        <v>0</v>
      </c>
      <c r="AC977">
        <f t="shared" si="281"/>
        <v>0</v>
      </c>
      <c r="AD977">
        <f t="shared" si="282"/>
        <v>1</v>
      </c>
      <c r="AE977">
        <f t="shared" si="283"/>
        <v>0</v>
      </c>
      <c r="AF977">
        <f t="shared" si="284"/>
        <v>0</v>
      </c>
      <c r="AG977">
        <f t="shared" si="285"/>
        <v>0</v>
      </c>
      <c r="AH977">
        <f t="shared" si="286"/>
        <v>1</v>
      </c>
      <c r="AI977">
        <f t="shared" si="287"/>
        <v>0</v>
      </c>
    </row>
    <row r="978" spans="1:35" x14ac:dyDescent="0.2">
      <c r="A978">
        <v>535</v>
      </c>
      <c r="B978" t="s">
        <v>16</v>
      </c>
      <c r="C978">
        <v>8.5</v>
      </c>
      <c r="D978" t="s">
        <v>2831</v>
      </c>
      <c r="E978" t="s">
        <v>39</v>
      </c>
      <c r="F978" t="s">
        <v>19</v>
      </c>
      <c r="G978" t="s">
        <v>18</v>
      </c>
      <c r="H978" t="s">
        <v>39</v>
      </c>
      <c r="I978">
        <v>7</v>
      </c>
      <c r="J978">
        <v>7</v>
      </c>
      <c r="K978">
        <v>40</v>
      </c>
      <c r="L978" t="s">
        <v>128</v>
      </c>
      <c r="M978" t="s">
        <v>436</v>
      </c>
      <c r="N978" t="s">
        <v>84</v>
      </c>
      <c r="O978" t="s">
        <v>1419</v>
      </c>
      <c r="P978" t="s">
        <v>2832</v>
      </c>
      <c r="Q978">
        <f t="shared" si="270"/>
        <v>5</v>
      </c>
      <c r="R978">
        <f t="shared" si="271"/>
        <v>3</v>
      </c>
      <c r="S978">
        <f t="shared" si="272"/>
        <v>4</v>
      </c>
      <c r="T978">
        <f t="shared" si="273"/>
        <v>5</v>
      </c>
      <c r="U978">
        <v>40</v>
      </c>
      <c r="V978">
        <f t="shared" si="274"/>
        <v>1</v>
      </c>
      <c r="W978">
        <f t="shared" si="275"/>
        <v>0</v>
      </c>
      <c r="X978">
        <f t="shared" si="276"/>
        <v>1</v>
      </c>
      <c r="Y978">
        <f t="shared" si="277"/>
        <v>0</v>
      </c>
      <c r="Z978">
        <f t="shared" si="278"/>
        <v>0</v>
      </c>
      <c r="AA978">
        <f t="shared" si="279"/>
        <v>1</v>
      </c>
      <c r="AB978">
        <f t="shared" si="280"/>
        <v>0</v>
      </c>
      <c r="AC978">
        <f t="shared" si="281"/>
        <v>0</v>
      </c>
      <c r="AD978">
        <f t="shared" si="282"/>
        <v>1</v>
      </c>
      <c r="AE978">
        <f t="shared" si="283"/>
        <v>1</v>
      </c>
      <c r="AF978">
        <f t="shared" si="284"/>
        <v>0</v>
      </c>
      <c r="AG978">
        <f t="shared" si="285"/>
        <v>1</v>
      </c>
      <c r="AH978">
        <f t="shared" si="286"/>
        <v>0</v>
      </c>
      <c r="AI978">
        <f t="shared" si="287"/>
        <v>0</v>
      </c>
    </row>
    <row r="979" spans="1:35" x14ac:dyDescent="0.2">
      <c r="A979">
        <v>536</v>
      </c>
      <c r="B979" t="s">
        <v>16</v>
      </c>
      <c r="C979">
        <v>10</v>
      </c>
      <c r="D979" t="s">
        <v>2833</v>
      </c>
      <c r="E979" t="s">
        <v>39</v>
      </c>
      <c r="F979" t="s">
        <v>19</v>
      </c>
      <c r="G979" t="s">
        <v>39</v>
      </c>
      <c r="H979" t="s">
        <v>39</v>
      </c>
      <c r="I979">
        <v>4</v>
      </c>
      <c r="J979">
        <v>3</v>
      </c>
      <c r="K979" s="1">
        <v>100</v>
      </c>
      <c r="L979" t="s">
        <v>53</v>
      </c>
      <c r="M979" t="s">
        <v>42</v>
      </c>
      <c r="N979" t="s">
        <v>84</v>
      </c>
      <c r="O979" t="s">
        <v>2425</v>
      </c>
      <c r="P979" t="s">
        <v>2834</v>
      </c>
      <c r="Q979">
        <f t="shared" si="270"/>
        <v>5</v>
      </c>
      <c r="R979">
        <f t="shared" si="271"/>
        <v>3</v>
      </c>
      <c r="S979">
        <f t="shared" si="272"/>
        <v>5</v>
      </c>
      <c r="T979">
        <f t="shared" si="273"/>
        <v>5</v>
      </c>
      <c r="U979">
        <v>100</v>
      </c>
      <c r="V979">
        <f t="shared" si="274"/>
        <v>0</v>
      </c>
      <c r="W979">
        <f t="shared" si="275"/>
        <v>0</v>
      </c>
      <c r="X979">
        <f t="shared" si="276"/>
        <v>1</v>
      </c>
      <c r="Y979">
        <f t="shared" si="277"/>
        <v>0</v>
      </c>
      <c r="Z979">
        <f t="shared" si="278"/>
        <v>0</v>
      </c>
      <c r="AA979">
        <f t="shared" si="279"/>
        <v>0</v>
      </c>
      <c r="AB979">
        <f t="shared" si="280"/>
        <v>1</v>
      </c>
      <c r="AC979">
        <f t="shared" si="281"/>
        <v>0</v>
      </c>
      <c r="AD979">
        <f t="shared" si="282"/>
        <v>0</v>
      </c>
      <c r="AE979">
        <f t="shared" si="283"/>
        <v>0</v>
      </c>
      <c r="AF979">
        <f t="shared" si="284"/>
        <v>0</v>
      </c>
      <c r="AG979">
        <f t="shared" si="285"/>
        <v>1</v>
      </c>
      <c r="AH979">
        <f t="shared" si="286"/>
        <v>0</v>
      </c>
      <c r="AI979">
        <f t="shared" si="287"/>
        <v>0</v>
      </c>
    </row>
    <row r="980" spans="1:35" x14ac:dyDescent="0.2">
      <c r="A980">
        <v>537</v>
      </c>
      <c r="B980" t="s">
        <v>16</v>
      </c>
      <c r="C980">
        <v>8</v>
      </c>
      <c r="D980" t="s">
        <v>2835</v>
      </c>
      <c r="E980" t="s">
        <v>39</v>
      </c>
      <c r="F980" t="s">
        <v>20</v>
      </c>
      <c r="G980" t="s">
        <v>20</v>
      </c>
      <c r="H980" t="s">
        <v>18</v>
      </c>
      <c r="I980">
        <v>5</v>
      </c>
      <c r="J980">
        <v>6</v>
      </c>
      <c r="K980" s="1">
        <v>5</v>
      </c>
      <c r="L980" t="s">
        <v>22</v>
      </c>
      <c r="M980" t="s">
        <v>23</v>
      </c>
      <c r="N980" t="s">
        <v>651</v>
      </c>
      <c r="O980" t="s">
        <v>2836</v>
      </c>
      <c r="P980" t="s">
        <v>2837</v>
      </c>
      <c r="Q980">
        <f t="shared" si="270"/>
        <v>5</v>
      </c>
      <c r="R980">
        <f t="shared" si="271"/>
        <v>2</v>
      </c>
      <c r="S980">
        <f t="shared" si="272"/>
        <v>2</v>
      </c>
      <c r="T980">
        <f t="shared" si="273"/>
        <v>4</v>
      </c>
      <c r="U980">
        <v>5</v>
      </c>
      <c r="V980">
        <f t="shared" si="274"/>
        <v>1</v>
      </c>
      <c r="W980">
        <f t="shared" si="275"/>
        <v>0</v>
      </c>
      <c r="X980">
        <f t="shared" si="276"/>
        <v>0</v>
      </c>
      <c r="Y980">
        <f t="shared" si="277"/>
        <v>0</v>
      </c>
      <c r="Z980">
        <f t="shared" si="278"/>
        <v>0</v>
      </c>
      <c r="AA980">
        <f t="shared" si="279"/>
        <v>1</v>
      </c>
      <c r="AB980">
        <f t="shared" si="280"/>
        <v>0</v>
      </c>
      <c r="AC980">
        <f t="shared" si="281"/>
        <v>0</v>
      </c>
      <c r="AD980">
        <f t="shared" si="282"/>
        <v>0</v>
      </c>
      <c r="AE980">
        <f t="shared" si="283"/>
        <v>0</v>
      </c>
      <c r="AF980">
        <f t="shared" si="284"/>
        <v>1</v>
      </c>
      <c r="AG980">
        <f t="shared" si="285"/>
        <v>0</v>
      </c>
      <c r="AH980">
        <f t="shared" si="286"/>
        <v>1</v>
      </c>
      <c r="AI980">
        <f t="shared" si="287"/>
        <v>0</v>
      </c>
    </row>
    <row r="981" spans="1:35" x14ac:dyDescent="0.2">
      <c r="A981">
        <v>538</v>
      </c>
      <c r="B981" t="s">
        <v>16</v>
      </c>
      <c r="C981">
        <v>6</v>
      </c>
      <c r="D981" t="s">
        <v>2838</v>
      </c>
      <c r="E981" t="s">
        <v>18</v>
      </c>
      <c r="F981" t="s">
        <v>19</v>
      </c>
      <c r="G981" t="s">
        <v>20</v>
      </c>
      <c r="H981" t="s">
        <v>18</v>
      </c>
      <c r="I981">
        <v>3</v>
      </c>
      <c r="J981">
        <v>4</v>
      </c>
      <c r="K981">
        <v>200</v>
      </c>
      <c r="L981" t="s">
        <v>22</v>
      </c>
      <c r="M981" t="s">
        <v>23</v>
      </c>
      <c r="N981" t="s">
        <v>84</v>
      </c>
      <c r="O981" t="s">
        <v>2839</v>
      </c>
      <c r="P981" t="s">
        <v>2840</v>
      </c>
      <c r="Q981">
        <f t="shared" si="270"/>
        <v>4</v>
      </c>
      <c r="R981">
        <f t="shared" si="271"/>
        <v>3</v>
      </c>
      <c r="S981">
        <f t="shared" si="272"/>
        <v>2</v>
      </c>
      <c r="T981">
        <f t="shared" si="273"/>
        <v>4</v>
      </c>
      <c r="U981">
        <v>200</v>
      </c>
      <c r="V981">
        <f t="shared" si="274"/>
        <v>1</v>
      </c>
      <c r="W981">
        <f t="shared" si="275"/>
        <v>0</v>
      </c>
      <c r="X981">
        <f t="shared" si="276"/>
        <v>0</v>
      </c>
      <c r="Y981">
        <f t="shared" si="277"/>
        <v>0</v>
      </c>
      <c r="Z981">
        <f t="shared" si="278"/>
        <v>0</v>
      </c>
      <c r="AA981">
        <f t="shared" si="279"/>
        <v>1</v>
      </c>
      <c r="AB981">
        <f t="shared" si="280"/>
        <v>0</v>
      </c>
      <c r="AC981">
        <f t="shared" si="281"/>
        <v>0</v>
      </c>
      <c r="AD981">
        <f t="shared" si="282"/>
        <v>0</v>
      </c>
      <c r="AE981">
        <f t="shared" si="283"/>
        <v>0</v>
      </c>
      <c r="AF981">
        <f t="shared" si="284"/>
        <v>0</v>
      </c>
      <c r="AG981">
        <f t="shared" si="285"/>
        <v>1</v>
      </c>
      <c r="AH981">
        <f t="shared" si="286"/>
        <v>0</v>
      </c>
      <c r="AI981">
        <f t="shared" si="287"/>
        <v>0</v>
      </c>
    </row>
    <row r="982" spans="1:35" x14ac:dyDescent="0.2">
      <c r="A982">
        <v>539</v>
      </c>
      <c r="B982" t="s">
        <v>16</v>
      </c>
      <c r="C982">
        <v>6</v>
      </c>
      <c r="D982" t="s">
        <v>2841</v>
      </c>
      <c r="E982" t="s">
        <v>20</v>
      </c>
      <c r="F982" t="s">
        <v>20</v>
      </c>
      <c r="G982" t="s">
        <v>19</v>
      </c>
      <c r="H982" t="s">
        <v>20</v>
      </c>
      <c r="I982">
        <v>8</v>
      </c>
      <c r="J982">
        <v>10</v>
      </c>
      <c r="L982" t="s">
        <v>70</v>
      </c>
      <c r="M982" t="s">
        <v>219</v>
      </c>
      <c r="N982" t="s">
        <v>84</v>
      </c>
      <c r="O982" t="s">
        <v>2842</v>
      </c>
      <c r="P982" t="s">
        <v>2843</v>
      </c>
      <c r="Q982">
        <f t="shared" si="270"/>
        <v>2</v>
      </c>
      <c r="R982">
        <f t="shared" si="271"/>
        <v>2</v>
      </c>
      <c r="S982">
        <f t="shared" si="272"/>
        <v>3</v>
      </c>
      <c r="T982">
        <f t="shared" si="273"/>
        <v>2</v>
      </c>
      <c r="V982">
        <f t="shared" si="274"/>
        <v>0</v>
      </c>
      <c r="W982">
        <f t="shared" si="275"/>
        <v>0</v>
      </c>
      <c r="X982">
        <f t="shared" si="276"/>
        <v>0</v>
      </c>
      <c r="Y982">
        <f t="shared" si="277"/>
        <v>1</v>
      </c>
      <c r="Z982">
        <f t="shared" si="278"/>
        <v>0</v>
      </c>
      <c r="AA982">
        <f t="shared" si="279"/>
        <v>0</v>
      </c>
      <c r="AB982">
        <f t="shared" si="280"/>
        <v>0</v>
      </c>
      <c r="AC982">
        <f t="shared" si="281"/>
        <v>0</v>
      </c>
      <c r="AD982">
        <f t="shared" si="282"/>
        <v>0</v>
      </c>
      <c r="AE982">
        <f t="shared" si="283"/>
        <v>1</v>
      </c>
      <c r="AF982">
        <f t="shared" si="284"/>
        <v>0</v>
      </c>
      <c r="AG982">
        <f t="shared" si="285"/>
        <v>1</v>
      </c>
      <c r="AH982">
        <f t="shared" si="286"/>
        <v>0</v>
      </c>
      <c r="AI982">
        <f t="shared" si="287"/>
        <v>0</v>
      </c>
    </row>
    <row r="983" spans="1:35" x14ac:dyDescent="0.2">
      <c r="A983">
        <v>540</v>
      </c>
      <c r="B983" t="s">
        <v>16</v>
      </c>
      <c r="C983">
        <v>7</v>
      </c>
      <c r="D983" t="s">
        <v>2844</v>
      </c>
      <c r="E983" t="s">
        <v>18</v>
      </c>
      <c r="F983" t="s">
        <v>20</v>
      </c>
      <c r="G983" t="s">
        <v>19</v>
      </c>
      <c r="H983" t="s">
        <v>39</v>
      </c>
      <c r="I983">
        <v>4</v>
      </c>
      <c r="J983">
        <v>5</v>
      </c>
      <c r="K983" s="1">
        <v>300</v>
      </c>
      <c r="L983" t="s">
        <v>562</v>
      </c>
      <c r="M983" t="s">
        <v>23</v>
      </c>
      <c r="N983" t="s">
        <v>147</v>
      </c>
      <c r="O983" t="s">
        <v>409</v>
      </c>
      <c r="P983" t="s">
        <v>2845</v>
      </c>
      <c r="Q983">
        <f t="shared" si="270"/>
        <v>4</v>
      </c>
      <c r="R983">
        <f t="shared" si="271"/>
        <v>2</v>
      </c>
      <c r="S983">
        <f t="shared" si="272"/>
        <v>3</v>
      </c>
      <c r="T983">
        <f t="shared" si="273"/>
        <v>5</v>
      </c>
      <c r="U983">
        <v>300</v>
      </c>
      <c r="V983">
        <f t="shared" si="274"/>
        <v>0</v>
      </c>
      <c r="W983">
        <f t="shared" si="275"/>
        <v>1</v>
      </c>
      <c r="X983">
        <f t="shared" si="276"/>
        <v>1</v>
      </c>
      <c r="Y983">
        <f t="shared" si="277"/>
        <v>0</v>
      </c>
      <c r="Z983">
        <f t="shared" si="278"/>
        <v>1</v>
      </c>
      <c r="AA983">
        <f t="shared" si="279"/>
        <v>1</v>
      </c>
      <c r="AB983">
        <f t="shared" si="280"/>
        <v>0</v>
      </c>
      <c r="AC983">
        <f t="shared" si="281"/>
        <v>0</v>
      </c>
      <c r="AD983">
        <f t="shared" si="282"/>
        <v>0</v>
      </c>
      <c r="AE983">
        <f t="shared" si="283"/>
        <v>0</v>
      </c>
      <c r="AF983">
        <f t="shared" si="284"/>
        <v>0</v>
      </c>
      <c r="AG983">
        <f t="shared" si="285"/>
        <v>0</v>
      </c>
      <c r="AH983">
        <f t="shared" si="286"/>
        <v>1</v>
      </c>
      <c r="AI983">
        <f t="shared" si="287"/>
        <v>1</v>
      </c>
    </row>
    <row r="984" spans="1:35" x14ac:dyDescent="0.2">
      <c r="A984">
        <v>541</v>
      </c>
      <c r="B984" t="s">
        <v>16</v>
      </c>
      <c r="C984">
        <v>8</v>
      </c>
      <c r="D984" t="s">
        <v>2846</v>
      </c>
      <c r="E984" t="s">
        <v>39</v>
      </c>
      <c r="F984" t="s">
        <v>20</v>
      </c>
      <c r="G984" t="s">
        <v>20</v>
      </c>
      <c r="H984" t="s">
        <v>18</v>
      </c>
      <c r="I984">
        <v>4</v>
      </c>
      <c r="J984">
        <v>8</v>
      </c>
      <c r="K984">
        <v>1000000</v>
      </c>
      <c r="L984" t="s">
        <v>53</v>
      </c>
      <c r="M984" t="s">
        <v>42</v>
      </c>
      <c r="N984" t="s">
        <v>24</v>
      </c>
      <c r="O984" t="s">
        <v>402</v>
      </c>
      <c r="P984" t="s">
        <v>2847</v>
      </c>
      <c r="Q984">
        <f t="shared" si="270"/>
        <v>5</v>
      </c>
      <c r="R984">
        <f t="shared" si="271"/>
        <v>2</v>
      </c>
      <c r="S984">
        <f t="shared" si="272"/>
        <v>2</v>
      </c>
      <c r="T984">
        <f t="shared" si="273"/>
        <v>4</v>
      </c>
      <c r="U984">
        <v>1000000</v>
      </c>
      <c r="V984">
        <f t="shared" si="274"/>
        <v>0</v>
      </c>
      <c r="W984">
        <f t="shared" si="275"/>
        <v>0</v>
      </c>
      <c r="X984">
        <f t="shared" si="276"/>
        <v>1</v>
      </c>
      <c r="Y984">
        <f t="shared" si="277"/>
        <v>0</v>
      </c>
      <c r="Z984">
        <f t="shared" si="278"/>
        <v>0</v>
      </c>
      <c r="AA984">
        <f t="shared" si="279"/>
        <v>0</v>
      </c>
      <c r="AB984">
        <f t="shared" si="280"/>
        <v>1</v>
      </c>
      <c r="AC984">
        <f t="shared" si="281"/>
        <v>0</v>
      </c>
      <c r="AD984">
        <f t="shared" si="282"/>
        <v>0</v>
      </c>
      <c r="AE984">
        <f t="shared" si="283"/>
        <v>0</v>
      </c>
      <c r="AF984">
        <f t="shared" si="284"/>
        <v>0</v>
      </c>
      <c r="AG984">
        <f t="shared" si="285"/>
        <v>0</v>
      </c>
      <c r="AH984">
        <f t="shared" si="286"/>
        <v>1</v>
      </c>
      <c r="AI984">
        <f t="shared" si="287"/>
        <v>0</v>
      </c>
    </row>
    <row r="985" spans="1:35" x14ac:dyDescent="0.2">
      <c r="A985">
        <v>542</v>
      </c>
      <c r="B985" t="s">
        <v>16</v>
      </c>
      <c r="C985">
        <v>7</v>
      </c>
      <c r="D985" t="s">
        <v>2848</v>
      </c>
      <c r="E985" t="s">
        <v>18</v>
      </c>
      <c r="F985" t="s">
        <v>19</v>
      </c>
      <c r="G985" t="s">
        <v>20</v>
      </c>
      <c r="H985" t="s">
        <v>18</v>
      </c>
      <c r="I985">
        <v>3</v>
      </c>
      <c r="J985">
        <v>5</v>
      </c>
      <c r="K985">
        <v>50</v>
      </c>
      <c r="L985" t="s">
        <v>53</v>
      </c>
      <c r="M985" t="s">
        <v>48</v>
      </c>
      <c r="N985" t="s">
        <v>43</v>
      </c>
      <c r="O985" t="s">
        <v>2849</v>
      </c>
      <c r="P985" t="s">
        <v>2850</v>
      </c>
      <c r="Q985">
        <f t="shared" si="270"/>
        <v>4</v>
      </c>
      <c r="R985">
        <f t="shared" si="271"/>
        <v>3</v>
      </c>
      <c r="S985">
        <f t="shared" si="272"/>
        <v>2</v>
      </c>
      <c r="T985">
        <f t="shared" si="273"/>
        <v>4</v>
      </c>
      <c r="U985">
        <v>50</v>
      </c>
      <c r="V985">
        <f t="shared" si="274"/>
        <v>0</v>
      </c>
      <c r="W985">
        <f t="shared" si="275"/>
        <v>0</v>
      </c>
      <c r="X985">
        <f t="shared" si="276"/>
        <v>1</v>
      </c>
      <c r="Y985">
        <f t="shared" si="277"/>
        <v>0</v>
      </c>
      <c r="Z985">
        <f t="shared" si="278"/>
        <v>0</v>
      </c>
      <c r="AA985">
        <f t="shared" si="279"/>
        <v>1</v>
      </c>
      <c r="AB985">
        <f t="shared" si="280"/>
        <v>1</v>
      </c>
      <c r="AC985">
        <f t="shared" si="281"/>
        <v>1</v>
      </c>
      <c r="AD985">
        <f t="shared" si="282"/>
        <v>0</v>
      </c>
      <c r="AE985">
        <f t="shared" si="283"/>
        <v>0</v>
      </c>
      <c r="AF985">
        <f t="shared" si="284"/>
        <v>1</v>
      </c>
      <c r="AG985">
        <f t="shared" si="285"/>
        <v>1</v>
      </c>
      <c r="AH985">
        <f t="shared" si="286"/>
        <v>0</v>
      </c>
      <c r="AI985">
        <f t="shared" si="287"/>
        <v>0</v>
      </c>
    </row>
    <row r="986" spans="1:35" x14ac:dyDescent="0.2">
      <c r="A986">
        <v>543</v>
      </c>
      <c r="B986" t="s">
        <v>16</v>
      </c>
      <c r="C986">
        <v>7</v>
      </c>
      <c r="D986" t="s">
        <v>2851</v>
      </c>
      <c r="E986" t="s">
        <v>39</v>
      </c>
      <c r="F986" t="s">
        <v>20</v>
      </c>
      <c r="G986" t="s">
        <v>18</v>
      </c>
      <c r="H986" t="s">
        <v>18</v>
      </c>
      <c r="I986">
        <v>6</v>
      </c>
      <c r="J986">
        <v>8</v>
      </c>
      <c r="K986">
        <v>40</v>
      </c>
      <c r="L986" t="s">
        <v>53</v>
      </c>
      <c r="M986" t="s">
        <v>23</v>
      </c>
      <c r="N986" t="s">
        <v>24</v>
      </c>
      <c r="O986" t="s">
        <v>2852</v>
      </c>
      <c r="P986" t="s">
        <v>2853</v>
      </c>
      <c r="Q986">
        <f t="shared" si="270"/>
        <v>5</v>
      </c>
      <c r="R986">
        <f t="shared" si="271"/>
        <v>2</v>
      </c>
      <c r="S986">
        <f t="shared" si="272"/>
        <v>4</v>
      </c>
      <c r="T986">
        <f t="shared" si="273"/>
        <v>4</v>
      </c>
      <c r="U986">
        <v>40</v>
      </c>
      <c r="V986">
        <f t="shared" si="274"/>
        <v>0</v>
      </c>
      <c r="W986">
        <f t="shared" si="275"/>
        <v>0</v>
      </c>
      <c r="X986">
        <f t="shared" si="276"/>
        <v>1</v>
      </c>
      <c r="Y986">
        <f t="shared" si="277"/>
        <v>0</v>
      </c>
      <c r="Z986">
        <f t="shared" si="278"/>
        <v>0</v>
      </c>
      <c r="AA986">
        <f t="shared" si="279"/>
        <v>1</v>
      </c>
      <c r="AB986">
        <f t="shared" si="280"/>
        <v>0</v>
      </c>
      <c r="AC986">
        <f t="shared" si="281"/>
        <v>0</v>
      </c>
      <c r="AD986">
        <f t="shared" si="282"/>
        <v>0</v>
      </c>
      <c r="AE986">
        <f t="shared" si="283"/>
        <v>0</v>
      </c>
      <c r="AF986">
        <f t="shared" si="284"/>
        <v>0</v>
      </c>
      <c r="AG986">
        <f t="shared" si="285"/>
        <v>0</v>
      </c>
      <c r="AH986">
        <f t="shared" si="286"/>
        <v>1</v>
      </c>
      <c r="AI986">
        <f t="shared" si="287"/>
        <v>0</v>
      </c>
    </row>
    <row r="987" spans="1:35" x14ac:dyDescent="0.2">
      <c r="A987">
        <v>544</v>
      </c>
      <c r="B987" t="s">
        <v>16</v>
      </c>
      <c r="C987">
        <v>10</v>
      </c>
      <c r="D987" t="s">
        <v>2854</v>
      </c>
      <c r="E987" t="s">
        <v>39</v>
      </c>
      <c r="F987" t="s">
        <v>19</v>
      </c>
      <c r="G987" t="s">
        <v>21</v>
      </c>
      <c r="H987" t="s">
        <v>39</v>
      </c>
      <c r="I987">
        <v>7</v>
      </c>
      <c r="J987">
        <v>8</v>
      </c>
      <c r="K987">
        <v>8</v>
      </c>
      <c r="L987" t="s">
        <v>22</v>
      </c>
      <c r="M987" t="s">
        <v>42</v>
      </c>
      <c r="N987" t="s">
        <v>24</v>
      </c>
      <c r="O987" t="s">
        <v>2855</v>
      </c>
      <c r="P987" t="s">
        <v>2856</v>
      </c>
      <c r="Q987">
        <f t="shared" si="270"/>
        <v>5</v>
      </c>
      <c r="R987">
        <f t="shared" si="271"/>
        <v>3</v>
      </c>
      <c r="S987">
        <f t="shared" si="272"/>
        <v>1</v>
      </c>
      <c r="T987">
        <f t="shared" si="273"/>
        <v>5</v>
      </c>
      <c r="U987">
        <v>8</v>
      </c>
      <c r="V987">
        <f t="shared" si="274"/>
        <v>1</v>
      </c>
      <c r="W987">
        <f t="shared" si="275"/>
        <v>0</v>
      </c>
      <c r="X987">
        <f t="shared" si="276"/>
        <v>0</v>
      </c>
      <c r="Y987">
        <f t="shared" si="277"/>
        <v>0</v>
      </c>
      <c r="Z987">
        <f t="shared" si="278"/>
        <v>0</v>
      </c>
      <c r="AA987">
        <f t="shared" si="279"/>
        <v>0</v>
      </c>
      <c r="AB987">
        <f t="shared" si="280"/>
        <v>1</v>
      </c>
      <c r="AC987">
        <f t="shared" si="281"/>
        <v>0</v>
      </c>
      <c r="AD987">
        <f t="shared" si="282"/>
        <v>0</v>
      </c>
      <c r="AE987">
        <f t="shared" si="283"/>
        <v>0</v>
      </c>
      <c r="AF987">
        <f t="shared" si="284"/>
        <v>0</v>
      </c>
      <c r="AG987">
        <f t="shared" si="285"/>
        <v>0</v>
      </c>
      <c r="AH987">
        <f t="shared" si="286"/>
        <v>1</v>
      </c>
      <c r="AI987">
        <f t="shared" si="287"/>
        <v>0</v>
      </c>
    </row>
    <row r="988" spans="1:35" x14ac:dyDescent="0.2">
      <c r="A988">
        <v>545</v>
      </c>
      <c r="B988" t="s">
        <v>16</v>
      </c>
      <c r="C988">
        <v>4</v>
      </c>
      <c r="D988" t="s">
        <v>2857</v>
      </c>
      <c r="E988" t="s">
        <v>18</v>
      </c>
      <c r="F988" t="s">
        <v>20</v>
      </c>
      <c r="G988" t="s">
        <v>20</v>
      </c>
      <c r="H988" t="s">
        <v>18</v>
      </c>
      <c r="I988">
        <v>4</v>
      </c>
      <c r="J988">
        <v>4</v>
      </c>
      <c r="K988">
        <v>30</v>
      </c>
      <c r="L988" t="s">
        <v>53</v>
      </c>
      <c r="M988" t="s">
        <v>35</v>
      </c>
      <c r="N988" t="s">
        <v>24</v>
      </c>
      <c r="O988" t="s">
        <v>2858</v>
      </c>
      <c r="P988" t="s">
        <v>2859</v>
      </c>
      <c r="Q988">
        <f t="shared" si="270"/>
        <v>4</v>
      </c>
      <c r="R988">
        <f t="shared" si="271"/>
        <v>2</v>
      </c>
      <c r="S988">
        <f t="shared" si="272"/>
        <v>2</v>
      </c>
      <c r="T988">
        <f t="shared" si="273"/>
        <v>4</v>
      </c>
      <c r="U988">
        <v>30</v>
      </c>
      <c r="V988">
        <f t="shared" si="274"/>
        <v>0</v>
      </c>
      <c r="W988">
        <f t="shared" si="275"/>
        <v>0</v>
      </c>
      <c r="X988">
        <f t="shared" si="276"/>
        <v>1</v>
      </c>
      <c r="Y988">
        <f t="shared" si="277"/>
        <v>0</v>
      </c>
      <c r="Z988">
        <f t="shared" si="278"/>
        <v>0</v>
      </c>
      <c r="AA988">
        <f t="shared" si="279"/>
        <v>0</v>
      </c>
      <c r="AB988">
        <f t="shared" si="280"/>
        <v>0</v>
      </c>
      <c r="AC988">
        <f t="shared" si="281"/>
        <v>0</v>
      </c>
      <c r="AD988">
        <f t="shared" si="282"/>
        <v>1</v>
      </c>
      <c r="AE988">
        <f t="shared" si="283"/>
        <v>0</v>
      </c>
      <c r="AF988">
        <f t="shared" si="284"/>
        <v>0</v>
      </c>
      <c r="AG988">
        <f t="shared" si="285"/>
        <v>0</v>
      </c>
      <c r="AH988">
        <f t="shared" si="286"/>
        <v>1</v>
      </c>
      <c r="AI988">
        <f t="shared" si="287"/>
        <v>0</v>
      </c>
    </row>
    <row r="989" spans="1:35" x14ac:dyDescent="0.2">
      <c r="A989">
        <v>546</v>
      </c>
      <c r="B989" t="s">
        <v>16</v>
      </c>
      <c r="C989">
        <v>7</v>
      </c>
      <c r="D989" t="s">
        <v>2860</v>
      </c>
      <c r="E989" t="s">
        <v>18</v>
      </c>
      <c r="F989" t="s">
        <v>21</v>
      </c>
      <c r="G989" t="s">
        <v>20</v>
      </c>
      <c r="H989" t="s">
        <v>39</v>
      </c>
      <c r="I989">
        <v>5</v>
      </c>
      <c r="J989">
        <v>6</v>
      </c>
      <c r="K989">
        <v>500</v>
      </c>
      <c r="L989" t="s">
        <v>41</v>
      </c>
      <c r="M989" t="s">
        <v>123</v>
      </c>
      <c r="N989" t="s">
        <v>24</v>
      </c>
      <c r="O989" t="s">
        <v>2861</v>
      </c>
      <c r="P989" t="s">
        <v>2862</v>
      </c>
      <c r="Q989">
        <f t="shared" si="270"/>
        <v>4</v>
      </c>
      <c r="R989">
        <f t="shared" si="271"/>
        <v>1</v>
      </c>
      <c r="S989">
        <f t="shared" si="272"/>
        <v>2</v>
      </c>
      <c r="T989">
        <f t="shared" si="273"/>
        <v>5</v>
      </c>
      <c r="U989">
        <v>500</v>
      </c>
      <c r="V989">
        <f t="shared" si="274"/>
        <v>0</v>
      </c>
      <c r="W989">
        <f t="shared" si="275"/>
        <v>0</v>
      </c>
      <c r="X989">
        <f t="shared" si="276"/>
        <v>0</v>
      </c>
      <c r="Y989">
        <f t="shared" si="277"/>
        <v>0</v>
      </c>
      <c r="Z989">
        <f t="shared" si="278"/>
        <v>1</v>
      </c>
      <c r="AA989">
        <f t="shared" si="279"/>
        <v>0</v>
      </c>
      <c r="AB989">
        <f t="shared" si="280"/>
        <v>1</v>
      </c>
      <c r="AC989">
        <f t="shared" si="281"/>
        <v>1</v>
      </c>
      <c r="AD989">
        <f t="shared" si="282"/>
        <v>0</v>
      </c>
      <c r="AE989">
        <f t="shared" si="283"/>
        <v>0</v>
      </c>
      <c r="AF989">
        <f t="shared" si="284"/>
        <v>0</v>
      </c>
      <c r="AG989">
        <f t="shared" si="285"/>
        <v>0</v>
      </c>
      <c r="AH989">
        <f t="shared" si="286"/>
        <v>1</v>
      </c>
      <c r="AI989">
        <f t="shared" si="287"/>
        <v>0</v>
      </c>
    </row>
    <row r="990" spans="1:35" x14ac:dyDescent="0.2">
      <c r="A990">
        <v>547</v>
      </c>
      <c r="B990" t="s">
        <v>16</v>
      </c>
      <c r="C990">
        <v>8</v>
      </c>
      <c r="D990" t="s">
        <v>2863</v>
      </c>
      <c r="E990" t="s">
        <v>18</v>
      </c>
      <c r="F990" t="s">
        <v>20</v>
      </c>
      <c r="G990" t="s">
        <v>21</v>
      </c>
      <c r="H990" t="s">
        <v>39</v>
      </c>
      <c r="I990">
        <v>4</v>
      </c>
      <c r="J990">
        <v>7</v>
      </c>
      <c r="K990" t="s">
        <v>2864</v>
      </c>
      <c r="L990" t="s">
        <v>41</v>
      </c>
      <c r="M990" t="s">
        <v>23</v>
      </c>
      <c r="N990" t="s">
        <v>24</v>
      </c>
      <c r="O990" t="s">
        <v>2865</v>
      </c>
      <c r="P990" t="s">
        <v>2866</v>
      </c>
      <c r="Q990">
        <f t="shared" si="270"/>
        <v>4</v>
      </c>
      <c r="R990">
        <f t="shared" si="271"/>
        <v>2</v>
      </c>
      <c r="S990">
        <f t="shared" si="272"/>
        <v>1</v>
      </c>
      <c r="T990">
        <f t="shared" si="273"/>
        <v>5</v>
      </c>
      <c r="U990">
        <v>30</v>
      </c>
      <c r="V990">
        <f t="shared" si="274"/>
        <v>0</v>
      </c>
      <c r="W990">
        <f t="shared" si="275"/>
        <v>0</v>
      </c>
      <c r="X990">
        <f t="shared" si="276"/>
        <v>0</v>
      </c>
      <c r="Y990">
        <f t="shared" si="277"/>
        <v>0</v>
      </c>
      <c r="Z990">
        <f t="shared" si="278"/>
        <v>1</v>
      </c>
      <c r="AA990">
        <f t="shared" si="279"/>
        <v>1</v>
      </c>
      <c r="AB990">
        <f t="shared" si="280"/>
        <v>0</v>
      </c>
      <c r="AC990">
        <f t="shared" si="281"/>
        <v>0</v>
      </c>
      <c r="AD990">
        <f t="shared" si="282"/>
        <v>0</v>
      </c>
      <c r="AE990">
        <f t="shared" si="283"/>
        <v>0</v>
      </c>
      <c r="AF990">
        <f t="shared" si="284"/>
        <v>0</v>
      </c>
      <c r="AG990">
        <f t="shared" si="285"/>
        <v>0</v>
      </c>
      <c r="AH990">
        <f t="shared" si="286"/>
        <v>1</v>
      </c>
      <c r="AI990">
        <f t="shared" si="287"/>
        <v>0</v>
      </c>
    </row>
    <row r="991" spans="1:35" ht="409.6" x14ac:dyDescent="0.2">
      <c r="A991">
        <v>548</v>
      </c>
      <c r="B991" t="s">
        <v>16</v>
      </c>
      <c r="C991">
        <v>8</v>
      </c>
      <c r="D991" t="s">
        <v>2867</v>
      </c>
      <c r="E991" t="s">
        <v>18</v>
      </c>
      <c r="F991" t="s">
        <v>21</v>
      </c>
      <c r="G991" t="s">
        <v>21</v>
      </c>
      <c r="H991" t="s">
        <v>18</v>
      </c>
      <c r="I991">
        <v>5</v>
      </c>
      <c r="J991">
        <v>9</v>
      </c>
      <c r="K991">
        <v>0</v>
      </c>
      <c r="L991" t="s">
        <v>22</v>
      </c>
      <c r="M991" t="s">
        <v>23</v>
      </c>
      <c r="N991" t="s">
        <v>36</v>
      </c>
      <c r="O991" t="s">
        <v>2868</v>
      </c>
      <c r="P991" s="3" t="s">
        <v>2869</v>
      </c>
      <c r="Q991">
        <f t="shared" si="270"/>
        <v>4</v>
      </c>
      <c r="R991">
        <f t="shared" si="271"/>
        <v>1</v>
      </c>
      <c r="S991">
        <f t="shared" si="272"/>
        <v>1</v>
      </c>
      <c r="T991">
        <f t="shared" si="273"/>
        <v>4</v>
      </c>
      <c r="U991">
        <v>0</v>
      </c>
      <c r="V991">
        <f t="shared" si="274"/>
        <v>1</v>
      </c>
      <c r="W991">
        <f t="shared" si="275"/>
        <v>0</v>
      </c>
      <c r="X991">
        <f t="shared" si="276"/>
        <v>0</v>
      </c>
      <c r="Y991">
        <f t="shared" si="277"/>
        <v>0</v>
      </c>
      <c r="Z991">
        <f t="shared" si="278"/>
        <v>0</v>
      </c>
      <c r="AA991">
        <f t="shared" si="279"/>
        <v>1</v>
      </c>
      <c r="AB991">
        <f t="shared" si="280"/>
        <v>0</v>
      </c>
      <c r="AC991">
        <f t="shared" si="281"/>
        <v>0</v>
      </c>
      <c r="AD991">
        <f t="shared" si="282"/>
        <v>0</v>
      </c>
      <c r="AE991">
        <f t="shared" si="283"/>
        <v>0</v>
      </c>
      <c r="AF991">
        <f t="shared" si="284"/>
        <v>0</v>
      </c>
      <c r="AG991">
        <f t="shared" si="285"/>
        <v>0</v>
      </c>
      <c r="AH991">
        <f t="shared" si="286"/>
        <v>0</v>
      </c>
      <c r="AI991">
        <f t="shared" si="287"/>
        <v>1</v>
      </c>
    </row>
    <row r="992" spans="1:35" ht="51" x14ac:dyDescent="0.2">
      <c r="A992">
        <v>549</v>
      </c>
      <c r="B992" t="s">
        <v>16</v>
      </c>
      <c r="C992">
        <v>3</v>
      </c>
      <c r="D992" s="3" t="s">
        <v>2870</v>
      </c>
      <c r="E992" t="s">
        <v>18</v>
      </c>
      <c r="F992" t="s">
        <v>20</v>
      </c>
      <c r="G992" t="s">
        <v>20</v>
      </c>
      <c r="H992" t="s">
        <v>18</v>
      </c>
      <c r="I992">
        <v>2</v>
      </c>
      <c r="J992">
        <v>6</v>
      </c>
      <c r="K992">
        <v>-50</v>
      </c>
      <c r="L992" t="s">
        <v>22</v>
      </c>
      <c r="M992" t="s">
        <v>80</v>
      </c>
      <c r="N992" t="s">
        <v>84</v>
      </c>
      <c r="O992" t="s">
        <v>2871</v>
      </c>
      <c r="P992" t="s">
        <v>2872</v>
      </c>
      <c r="Q992">
        <f t="shared" si="270"/>
        <v>4</v>
      </c>
      <c r="R992">
        <f t="shared" si="271"/>
        <v>2</v>
      </c>
      <c r="S992">
        <f t="shared" si="272"/>
        <v>2</v>
      </c>
      <c r="T992">
        <f t="shared" si="273"/>
        <v>4</v>
      </c>
      <c r="U992">
        <v>-50</v>
      </c>
      <c r="V992">
        <f t="shared" si="274"/>
        <v>1</v>
      </c>
      <c r="W992">
        <f t="shared" si="275"/>
        <v>0</v>
      </c>
      <c r="X992">
        <f t="shared" si="276"/>
        <v>0</v>
      </c>
      <c r="Y992">
        <f t="shared" si="277"/>
        <v>0</v>
      </c>
      <c r="Z992">
        <f t="shared" si="278"/>
        <v>0</v>
      </c>
      <c r="AA992">
        <f t="shared" si="279"/>
        <v>1</v>
      </c>
      <c r="AB992">
        <f t="shared" si="280"/>
        <v>1</v>
      </c>
      <c r="AC992">
        <f t="shared" si="281"/>
        <v>0</v>
      </c>
      <c r="AD992">
        <f t="shared" si="282"/>
        <v>0</v>
      </c>
      <c r="AE992">
        <f t="shared" si="283"/>
        <v>1</v>
      </c>
      <c r="AF992">
        <f t="shared" si="284"/>
        <v>0</v>
      </c>
      <c r="AG992">
        <f t="shared" si="285"/>
        <v>1</v>
      </c>
      <c r="AH992">
        <f t="shared" si="286"/>
        <v>0</v>
      </c>
      <c r="AI992">
        <f t="shared" si="287"/>
        <v>0</v>
      </c>
    </row>
    <row r="993" spans="1:35" x14ac:dyDescent="0.2">
      <c r="A993">
        <v>550</v>
      </c>
      <c r="B993" t="s">
        <v>16</v>
      </c>
      <c r="C993">
        <v>3</v>
      </c>
      <c r="D993" t="s">
        <v>2278</v>
      </c>
      <c r="E993" t="s">
        <v>18</v>
      </c>
      <c r="F993" t="s">
        <v>18</v>
      </c>
      <c r="G993" t="s">
        <v>18</v>
      </c>
      <c r="H993" t="s">
        <v>18</v>
      </c>
      <c r="I993">
        <v>3</v>
      </c>
      <c r="J993">
        <v>4</v>
      </c>
      <c r="K993">
        <v>67</v>
      </c>
      <c r="L993" t="s">
        <v>22</v>
      </c>
      <c r="M993" t="s">
        <v>23</v>
      </c>
      <c r="N993" t="s">
        <v>24</v>
      </c>
      <c r="O993" t="s">
        <v>2873</v>
      </c>
      <c r="P993" t="s">
        <v>2874</v>
      </c>
      <c r="Q993">
        <f t="shared" si="270"/>
        <v>4</v>
      </c>
      <c r="R993">
        <f t="shared" si="271"/>
        <v>4</v>
      </c>
      <c r="S993">
        <f t="shared" si="272"/>
        <v>4</v>
      </c>
      <c r="T993">
        <f t="shared" si="273"/>
        <v>4</v>
      </c>
      <c r="U993">
        <v>67</v>
      </c>
      <c r="V993">
        <f t="shared" si="274"/>
        <v>1</v>
      </c>
      <c r="W993">
        <f t="shared" si="275"/>
        <v>0</v>
      </c>
      <c r="X993">
        <f t="shared" si="276"/>
        <v>0</v>
      </c>
      <c r="Y993">
        <f t="shared" si="277"/>
        <v>0</v>
      </c>
      <c r="Z993">
        <f t="shared" si="278"/>
        <v>0</v>
      </c>
      <c r="AA993">
        <f t="shared" si="279"/>
        <v>1</v>
      </c>
      <c r="AB993">
        <f t="shared" si="280"/>
        <v>0</v>
      </c>
      <c r="AC993">
        <f t="shared" si="281"/>
        <v>0</v>
      </c>
      <c r="AD993">
        <f t="shared" si="282"/>
        <v>0</v>
      </c>
      <c r="AE993">
        <f t="shared" si="283"/>
        <v>0</v>
      </c>
      <c r="AF993">
        <f t="shared" si="284"/>
        <v>0</v>
      </c>
      <c r="AG993">
        <f t="shared" si="285"/>
        <v>0</v>
      </c>
      <c r="AH993">
        <f t="shared" si="286"/>
        <v>1</v>
      </c>
      <c r="AI993">
        <f t="shared" si="287"/>
        <v>0</v>
      </c>
    </row>
    <row r="994" spans="1:35" x14ac:dyDescent="0.2">
      <c r="A994">
        <v>551</v>
      </c>
      <c r="B994" t="s">
        <v>16</v>
      </c>
      <c r="C994">
        <v>7</v>
      </c>
      <c r="D994" t="s">
        <v>2875</v>
      </c>
      <c r="E994" t="s">
        <v>18</v>
      </c>
      <c r="F994" t="s">
        <v>19</v>
      </c>
      <c r="G994" t="s">
        <v>20</v>
      </c>
      <c r="H994" t="s">
        <v>18</v>
      </c>
      <c r="I994">
        <v>4</v>
      </c>
      <c r="J994">
        <v>6</v>
      </c>
      <c r="K994">
        <v>0</v>
      </c>
      <c r="L994" t="s">
        <v>47</v>
      </c>
      <c r="M994" t="s">
        <v>80</v>
      </c>
      <c r="N994" t="s">
        <v>651</v>
      </c>
      <c r="O994" t="s">
        <v>2876</v>
      </c>
      <c r="P994" t="s">
        <v>2877</v>
      </c>
      <c r="Q994">
        <f t="shared" si="270"/>
        <v>4</v>
      </c>
      <c r="R994">
        <f t="shared" si="271"/>
        <v>3</v>
      </c>
      <c r="S994">
        <f t="shared" si="272"/>
        <v>2</v>
      </c>
      <c r="T994">
        <f t="shared" si="273"/>
        <v>4</v>
      </c>
      <c r="U994">
        <v>0</v>
      </c>
      <c r="V994">
        <f t="shared" si="274"/>
        <v>0</v>
      </c>
      <c r="W994">
        <f t="shared" si="275"/>
        <v>0</v>
      </c>
      <c r="X994">
        <f t="shared" si="276"/>
        <v>1</v>
      </c>
      <c r="Y994">
        <f t="shared" si="277"/>
        <v>0</v>
      </c>
      <c r="Z994">
        <f t="shared" si="278"/>
        <v>1</v>
      </c>
      <c r="AA994">
        <f t="shared" si="279"/>
        <v>1</v>
      </c>
      <c r="AB994">
        <f t="shared" si="280"/>
        <v>1</v>
      </c>
      <c r="AC994">
        <f t="shared" si="281"/>
        <v>0</v>
      </c>
      <c r="AD994">
        <f t="shared" si="282"/>
        <v>0</v>
      </c>
      <c r="AE994">
        <f t="shared" si="283"/>
        <v>1</v>
      </c>
      <c r="AF994">
        <f t="shared" si="284"/>
        <v>1</v>
      </c>
      <c r="AG994">
        <f t="shared" si="285"/>
        <v>0</v>
      </c>
      <c r="AH994">
        <f t="shared" si="286"/>
        <v>1</v>
      </c>
      <c r="AI994">
        <f t="shared" si="287"/>
        <v>0</v>
      </c>
    </row>
    <row r="995" spans="1:35" x14ac:dyDescent="0.2">
      <c r="A995">
        <v>552</v>
      </c>
      <c r="B995" t="s">
        <v>16</v>
      </c>
      <c r="C995">
        <v>5</v>
      </c>
      <c r="D995" t="s">
        <v>2878</v>
      </c>
      <c r="E995" t="s">
        <v>39</v>
      </c>
      <c r="F995" t="s">
        <v>21</v>
      </c>
      <c r="G995" t="s">
        <v>21</v>
      </c>
      <c r="H995" t="s">
        <v>18</v>
      </c>
      <c r="I995">
        <v>5</v>
      </c>
      <c r="J995">
        <v>5</v>
      </c>
      <c r="K995">
        <v>5</v>
      </c>
      <c r="L995" t="s">
        <v>53</v>
      </c>
      <c r="M995" t="s">
        <v>219</v>
      </c>
      <c r="N995" t="s">
        <v>36</v>
      </c>
      <c r="O995" t="s">
        <v>1065</v>
      </c>
      <c r="P995" t="s">
        <v>2879</v>
      </c>
      <c r="Q995">
        <f t="shared" si="270"/>
        <v>5</v>
      </c>
      <c r="R995">
        <f t="shared" si="271"/>
        <v>1</v>
      </c>
      <c r="S995">
        <f t="shared" si="272"/>
        <v>1</v>
      </c>
      <c r="T995">
        <f t="shared" si="273"/>
        <v>4</v>
      </c>
      <c r="U995">
        <v>5</v>
      </c>
      <c r="V995">
        <f t="shared" si="274"/>
        <v>0</v>
      </c>
      <c r="W995">
        <f t="shared" si="275"/>
        <v>0</v>
      </c>
      <c r="X995">
        <f t="shared" si="276"/>
        <v>1</v>
      </c>
      <c r="Y995">
        <f t="shared" si="277"/>
        <v>0</v>
      </c>
      <c r="Z995">
        <f t="shared" si="278"/>
        <v>0</v>
      </c>
      <c r="AA995">
        <f t="shared" si="279"/>
        <v>0</v>
      </c>
      <c r="AB995">
        <f t="shared" si="280"/>
        <v>0</v>
      </c>
      <c r="AC995">
        <f t="shared" si="281"/>
        <v>0</v>
      </c>
      <c r="AD995">
        <f t="shared" si="282"/>
        <v>0</v>
      </c>
      <c r="AE995">
        <f t="shared" si="283"/>
        <v>1</v>
      </c>
      <c r="AF995">
        <f t="shared" si="284"/>
        <v>0</v>
      </c>
      <c r="AG995">
        <f t="shared" si="285"/>
        <v>0</v>
      </c>
      <c r="AH995">
        <f t="shared" si="286"/>
        <v>0</v>
      </c>
      <c r="AI995">
        <f t="shared" si="287"/>
        <v>1</v>
      </c>
    </row>
    <row r="996" spans="1:35" x14ac:dyDescent="0.2">
      <c r="A996">
        <v>553</v>
      </c>
      <c r="B996" t="s">
        <v>16</v>
      </c>
      <c r="C996">
        <v>7</v>
      </c>
      <c r="D996" t="s">
        <v>2880</v>
      </c>
      <c r="E996" t="s">
        <v>39</v>
      </c>
      <c r="F996" t="s">
        <v>21</v>
      </c>
      <c r="G996" t="s">
        <v>18</v>
      </c>
      <c r="H996" t="s">
        <v>18</v>
      </c>
      <c r="I996">
        <v>3</v>
      </c>
      <c r="J996">
        <v>3</v>
      </c>
      <c r="K996">
        <v>500</v>
      </c>
      <c r="L996" t="s">
        <v>41</v>
      </c>
      <c r="M996" t="s">
        <v>115</v>
      </c>
      <c r="N996" t="s">
        <v>24</v>
      </c>
      <c r="O996" t="s">
        <v>60</v>
      </c>
      <c r="P996" t="s">
        <v>2881</v>
      </c>
      <c r="Q996">
        <f t="shared" si="270"/>
        <v>5</v>
      </c>
      <c r="R996">
        <f t="shared" si="271"/>
        <v>1</v>
      </c>
      <c r="S996">
        <f t="shared" si="272"/>
        <v>4</v>
      </c>
      <c r="T996">
        <f t="shared" si="273"/>
        <v>4</v>
      </c>
      <c r="U996">
        <v>500</v>
      </c>
      <c r="V996">
        <f t="shared" si="274"/>
        <v>0</v>
      </c>
      <c r="W996">
        <f t="shared" si="275"/>
        <v>0</v>
      </c>
      <c r="X996">
        <f t="shared" si="276"/>
        <v>0</v>
      </c>
      <c r="Y996">
        <f t="shared" si="277"/>
        <v>0</v>
      </c>
      <c r="Z996">
        <f t="shared" si="278"/>
        <v>1</v>
      </c>
      <c r="AA996">
        <f t="shared" si="279"/>
        <v>0</v>
      </c>
      <c r="AB996">
        <f t="shared" si="280"/>
        <v>0</v>
      </c>
      <c r="AC996">
        <f t="shared" si="281"/>
        <v>1</v>
      </c>
      <c r="AD996">
        <f t="shared" si="282"/>
        <v>0</v>
      </c>
      <c r="AE996">
        <f t="shared" si="283"/>
        <v>0</v>
      </c>
      <c r="AF996">
        <f t="shared" si="284"/>
        <v>0</v>
      </c>
      <c r="AG996">
        <f t="shared" si="285"/>
        <v>0</v>
      </c>
      <c r="AH996">
        <f t="shared" si="286"/>
        <v>1</v>
      </c>
      <c r="AI996">
        <f t="shared" si="287"/>
        <v>0</v>
      </c>
    </row>
    <row r="997" spans="1:35" x14ac:dyDescent="0.2">
      <c r="A997">
        <v>554</v>
      </c>
      <c r="B997" t="s">
        <v>16</v>
      </c>
      <c r="C997">
        <v>6</v>
      </c>
      <c r="D997" t="s">
        <v>2882</v>
      </c>
      <c r="E997" t="s">
        <v>18</v>
      </c>
      <c r="F997" t="s">
        <v>21</v>
      </c>
      <c r="G997" t="s">
        <v>21</v>
      </c>
      <c r="H997" t="s">
        <v>39</v>
      </c>
      <c r="I997">
        <v>4</v>
      </c>
      <c r="J997">
        <v>5</v>
      </c>
      <c r="K997">
        <v>110</v>
      </c>
      <c r="L997" t="s">
        <v>47</v>
      </c>
      <c r="M997" t="s">
        <v>23</v>
      </c>
      <c r="N997" t="s">
        <v>24</v>
      </c>
      <c r="O997" t="s">
        <v>2883</v>
      </c>
      <c r="P997" t="s">
        <v>2884</v>
      </c>
      <c r="Q997">
        <f t="shared" si="270"/>
        <v>4</v>
      </c>
      <c r="R997">
        <f t="shared" si="271"/>
        <v>1</v>
      </c>
      <c r="S997">
        <f t="shared" si="272"/>
        <v>1</v>
      </c>
      <c r="T997">
        <f t="shared" si="273"/>
        <v>5</v>
      </c>
      <c r="U997">
        <v>110</v>
      </c>
      <c r="V997">
        <f t="shared" si="274"/>
        <v>0</v>
      </c>
      <c r="W997">
        <f t="shared" si="275"/>
        <v>0</v>
      </c>
      <c r="X997">
        <f t="shared" si="276"/>
        <v>1</v>
      </c>
      <c r="Y997">
        <f t="shared" si="277"/>
        <v>0</v>
      </c>
      <c r="Z997">
        <f t="shared" si="278"/>
        <v>1</v>
      </c>
      <c r="AA997">
        <f t="shared" si="279"/>
        <v>1</v>
      </c>
      <c r="AB997">
        <f t="shared" si="280"/>
        <v>0</v>
      </c>
      <c r="AC997">
        <f t="shared" si="281"/>
        <v>0</v>
      </c>
      <c r="AD997">
        <f t="shared" si="282"/>
        <v>0</v>
      </c>
      <c r="AE997">
        <f t="shared" si="283"/>
        <v>0</v>
      </c>
      <c r="AF997">
        <f t="shared" si="284"/>
        <v>0</v>
      </c>
      <c r="AG997">
        <f t="shared" si="285"/>
        <v>0</v>
      </c>
      <c r="AH997">
        <f t="shared" si="286"/>
        <v>1</v>
      </c>
      <c r="AI997">
        <f t="shared" si="287"/>
        <v>0</v>
      </c>
    </row>
    <row r="998" spans="1:35" x14ac:dyDescent="0.2">
      <c r="A998">
        <v>555</v>
      </c>
      <c r="B998" t="s">
        <v>16</v>
      </c>
      <c r="C998">
        <v>6</v>
      </c>
      <c r="D998" t="s">
        <v>2885</v>
      </c>
      <c r="E998" t="s">
        <v>19</v>
      </c>
      <c r="F998" t="s">
        <v>20</v>
      </c>
      <c r="G998" t="s">
        <v>18</v>
      </c>
      <c r="H998" t="s">
        <v>18</v>
      </c>
      <c r="I998">
        <v>4</v>
      </c>
      <c r="J998">
        <v>5</v>
      </c>
      <c r="K998">
        <v>200</v>
      </c>
      <c r="L998" t="s">
        <v>41</v>
      </c>
      <c r="M998" t="s">
        <v>35</v>
      </c>
      <c r="N998" t="s">
        <v>84</v>
      </c>
      <c r="O998" t="s">
        <v>2155</v>
      </c>
      <c r="P998" t="s">
        <v>2886</v>
      </c>
      <c r="Q998">
        <f t="shared" si="270"/>
        <v>3</v>
      </c>
      <c r="R998">
        <f t="shared" si="271"/>
        <v>2</v>
      </c>
      <c r="S998">
        <f t="shared" si="272"/>
        <v>4</v>
      </c>
      <c r="T998">
        <f t="shared" si="273"/>
        <v>4</v>
      </c>
      <c r="U998">
        <v>200</v>
      </c>
      <c r="V998">
        <f t="shared" si="274"/>
        <v>0</v>
      </c>
      <c r="W998">
        <f t="shared" si="275"/>
        <v>0</v>
      </c>
      <c r="X998">
        <f t="shared" si="276"/>
        <v>0</v>
      </c>
      <c r="Y998">
        <f t="shared" si="277"/>
        <v>0</v>
      </c>
      <c r="Z998">
        <f t="shared" si="278"/>
        <v>1</v>
      </c>
      <c r="AA998">
        <f t="shared" si="279"/>
        <v>0</v>
      </c>
      <c r="AB998">
        <f t="shared" si="280"/>
        <v>0</v>
      </c>
      <c r="AC998">
        <f t="shared" si="281"/>
        <v>0</v>
      </c>
      <c r="AD998">
        <f t="shared" si="282"/>
        <v>1</v>
      </c>
      <c r="AE998">
        <f t="shared" si="283"/>
        <v>0</v>
      </c>
      <c r="AF998">
        <f t="shared" si="284"/>
        <v>0</v>
      </c>
      <c r="AG998">
        <f t="shared" si="285"/>
        <v>1</v>
      </c>
      <c r="AH998">
        <f t="shared" si="286"/>
        <v>0</v>
      </c>
      <c r="AI998">
        <f t="shared" si="287"/>
        <v>0</v>
      </c>
    </row>
    <row r="999" spans="1:35" x14ac:dyDescent="0.2">
      <c r="A999">
        <v>556</v>
      </c>
      <c r="B999" t="s">
        <v>16</v>
      </c>
      <c r="C999">
        <v>7</v>
      </c>
      <c r="D999" t="s">
        <v>2887</v>
      </c>
      <c r="E999" t="s">
        <v>18</v>
      </c>
      <c r="F999" t="s">
        <v>20</v>
      </c>
      <c r="G999" t="s">
        <v>19</v>
      </c>
      <c r="H999" t="s">
        <v>18</v>
      </c>
      <c r="I999">
        <v>6</v>
      </c>
      <c r="J999">
        <v>5</v>
      </c>
      <c r="K999">
        <v>20</v>
      </c>
      <c r="L999" t="s">
        <v>22</v>
      </c>
      <c r="M999" t="s">
        <v>436</v>
      </c>
      <c r="N999" t="s">
        <v>24</v>
      </c>
      <c r="O999" t="s">
        <v>2888</v>
      </c>
      <c r="P999" t="s">
        <v>2889</v>
      </c>
      <c r="Q999">
        <f t="shared" si="270"/>
        <v>4</v>
      </c>
      <c r="R999">
        <f t="shared" si="271"/>
        <v>2</v>
      </c>
      <c r="S999">
        <f t="shared" si="272"/>
        <v>3</v>
      </c>
      <c r="T999">
        <f t="shared" si="273"/>
        <v>4</v>
      </c>
      <c r="U999">
        <v>20</v>
      </c>
      <c r="V999">
        <f t="shared" si="274"/>
        <v>1</v>
      </c>
      <c r="W999">
        <f t="shared" si="275"/>
        <v>0</v>
      </c>
      <c r="X999">
        <f t="shared" si="276"/>
        <v>0</v>
      </c>
      <c r="Y999">
        <f t="shared" si="277"/>
        <v>0</v>
      </c>
      <c r="Z999">
        <f t="shared" si="278"/>
        <v>0</v>
      </c>
      <c r="AA999">
        <f t="shared" si="279"/>
        <v>1</v>
      </c>
      <c r="AB999">
        <f t="shared" si="280"/>
        <v>0</v>
      </c>
      <c r="AC999">
        <f t="shared" si="281"/>
        <v>0</v>
      </c>
      <c r="AD999">
        <f t="shared" si="282"/>
        <v>1</v>
      </c>
      <c r="AE999">
        <f t="shared" si="283"/>
        <v>1</v>
      </c>
      <c r="AF999">
        <f t="shared" si="284"/>
        <v>0</v>
      </c>
      <c r="AG999">
        <f t="shared" si="285"/>
        <v>0</v>
      </c>
      <c r="AH999">
        <f t="shared" si="286"/>
        <v>1</v>
      </c>
      <c r="AI999">
        <f t="shared" si="287"/>
        <v>0</v>
      </c>
    </row>
    <row r="1000" spans="1:35" x14ac:dyDescent="0.2">
      <c r="A1000">
        <v>557</v>
      </c>
      <c r="B1000" t="s">
        <v>16</v>
      </c>
      <c r="C1000">
        <v>7</v>
      </c>
      <c r="D1000" t="s">
        <v>2890</v>
      </c>
      <c r="E1000" t="s">
        <v>18</v>
      </c>
      <c r="F1000" t="s">
        <v>19</v>
      </c>
      <c r="G1000" t="s">
        <v>19</v>
      </c>
      <c r="H1000" t="s">
        <v>18</v>
      </c>
      <c r="I1000">
        <v>4</v>
      </c>
      <c r="J1000">
        <v>5</v>
      </c>
      <c r="K1000">
        <v>200</v>
      </c>
      <c r="L1000" t="s">
        <v>70</v>
      </c>
      <c r="M1000" t="s">
        <v>219</v>
      </c>
      <c r="N1000" t="s">
        <v>24</v>
      </c>
      <c r="O1000" t="s">
        <v>2891</v>
      </c>
      <c r="P1000" t="s">
        <v>2892</v>
      </c>
      <c r="Q1000">
        <f t="shared" si="270"/>
        <v>4</v>
      </c>
      <c r="R1000">
        <f t="shared" si="271"/>
        <v>3</v>
      </c>
      <c r="S1000">
        <f t="shared" si="272"/>
        <v>3</v>
      </c>
      <c r="T1000">
        <f t="shared" si="273"/>
        <v>4</v>
      </c>
      <c r="U1000">
        <v>200</v>
      </c>
      <c r="V1000">
        <f t="shared" si="274"/>
        <v>0</v>
      </c>
      <c r="W1000">
        <f t="shared" si="275"/>
        <v>0</v>
      </c>
      <c r="X1000">
        <f t="shared" si="276"/>
        <v>0</v>
      </c>
      <c r="Y1000">
        <f t="shared" si="277"/>
        <v>1</v>
      </c>
      <c r="Z1000">
        <f t="shared" si="278"/>
        <v>0</v>
      </c>
      <c r="AA1000">
        <f t="shared" si="279"/>
        <v>0</v>
      </c>
      <c r="AB1000">
        <f t="shared" si="280"/>
        <v>0</v>
      </c>
      <c r="AC1000">
        <f t="shared" si="281"/>
        <v>0</v>
      </c>
      <c r="AD1000">
        <f t="shared" si="282"/>
        <v>0</v>
      </c>
      <c r="AE1000">
        <f t="shared" si="283"/>
        <v>1</v>
      </c>
      <c r="AF1000">
        <f t="shared" si="284"/>
        <v>0</v>
      </c>
      <c r="AG1000">
        <f t="shared" si="285"/>
        <v>0</v>
      </c>
      <c r="AH1000">
        <f t="shared" si="286"/>
        <v>1</v>
      </c>
      <c r="AI1000">
        <f t="shared" si="287"/>
        <v>0</v>
      </c>
    </row>
    <row r="1001" spans="1:35" x14ac:dyDescent="0.2">
      <c r="A1001">
        <v>558</v>
      </c>
      <c r="B1001" t="s">
        <v>16</v>
      </c>
      <c r="C1001">
        <v>3</v>
      </c>
      <c r="D1001" t="s">
        <v>2893</v>
      </c>
      <c r="E1001" t="s">
        <v>18</v>
      </c>
      <c r="F1001" t="s">
        <v>20</v>
      </c>
      <c r="G1001" t="s">
        <v>20</v>
      </c>
      <c r="H1001" t="s">
        <v>18</v>
      </c>
      <c r="I1001">
        <v>4</v>
      </c>
      <c r="J1001">
        <v>3</v>
      </c>
      <c r="K1001" s="1">
        <v>50</v>
      </c>
      <c r="L1001" t="s">
        <v>47</v>
      </c>
      <c r="M1001" t="s">
        <v>280</v>
      </c>
      <c r="N1001" t="s">
        <v>36</v>
      </c>
      <c r="O1001" t="s">
        <v>2894</v>
      </c>
      <c r="P1001" t="s">
        <v>2895</v>
      </c>
      <c r="Q1001">
        <f t="shared" si="270"/>
        <v>4</v>
      </c>
      <c r="R1001">
        <f t="shared" si="271"/>
        <v>2</v>
      </c>
      <c r="S1001">
        <f t="shared" si="272"/>
        <v>2</v>
      </c>
      <c r="T1001">
        <f t="shared" si="273"/>
        <v>4</v>
      </c>
      <c r="U1001">
        <v>50</v>
      </c>
      <c r="V1001">
        <f t="shared" si="274"/>
        <v>0</v>
      </c>
      <c r="W1001">
        <f t="shared" si="275"/>
        <v>0</v>
      </c>
      <c r="X1001">
        <f t="shared" si="276"/>
        <v>1</v>
      </c>
      <c r="Y1001">
        <f t="shared" si="277"/>
        <v>0</v>
      </c>
      <c r="Z1001">
        <f t="shared" si="278"/>
        <v>1</v>
      </c>
      <c r="AA1001">
        <f t="shared" si="279"/>
        <v>0</v>
      </c>
      <c r="AB1001">
        <f t="shared" si="280"/>
        <v>1</v>
      </c>
      <c r="AC1001">
        <f t="shared" si="281"/>
        <v>1</v>
      </c>
      <c r="AD1001">
        <f t="shared" si="282"/>
        <v>1</v>
      </c>
      <c r="AE1001">
        <f t="shared" si="283"/>
        <v>0</v>
      </c>
      <c r="AF1001">
        <f t="shared" si="284"/>
        <v>0</v>
      </c>
      <c r="AG1001">
        <f t="shared" si="285"/>
        <v>0</v>
      </c>
      <c r="AH1001">
        <f t="shared" si="286"/>
        <v>0</v>
      </c>
      <c r="AI1001">
        <f t="shared" si="287"/>
        <v>1</v>
      </c>
    </row>
    <row r="1002" spans="1:35" x14ac:dyDescent="0.2">
      <c r="A1002">
        <v>559</v>
      </c>
      <c r="B1002" t="s">
        <v>16</v>
      </c>
      <c r="C1002">
        <v>7</v>
      </c>
      <c r="D1002" t="s">
        <v>2896</v>
      </c>
      <c r="E1002" t="s">
        <v>18</v>
      </c>
      <c r="F1002" t="s">
        <v>19</v>
      </c>
      <c r="G1002" t="s">
        <v>18</v>
      </c>
      <c r="H1002" t="s">
        <v>18</v>
      </c>
      <c r="I1002">
        <v>6</v>
      </c>
      <c r="J1002">
        <v>7</v>
      </c>
      <c r="K1002">
        <v>20</v>
      </c>
      <c r="L1002" t="s">
        <v>98</v>
      </c>
      <c r="M1002" t="s">
        <v>42</v>
      </c>
      <c r="N1002" t="s">
        <v>215</v>
      </c>
      <c r="O1002" t="s">
        <v>2897</v>
      </c>
      <c r="P1002" t="s">
        <v>2898</v>
      </c>
      <c r="Q1002">
        <f t="shared" si="270"/>
        <v>4</v>
      </c>
      <c r="R1002">
        <f t="shared" si="271"/>
        <v>3</v>
      </c>
      <c r="S1002">
        <f t="shared" si="272"/>
        <v>4</v>
      </c>
      <c r="T1002">
        <f t="shared" si="273"/>
        <v>4</v>
      </c>
      <c r="U1002">
        <v>20</v>
      </c>
      <c r="V1002">
        <f t="shared" si="274"/>
        <v>0</v>
      </c>
      <c r="W1002">
        <f t="shared" si="275"/>
        <v>1</v>
      </c>
      <c r="X1002">
        <f t="shared" si="276"/>
        <v>0</v>
      </c>
      <c r="Y1002">
        <f t="shared" si="277"/>
        <v>0</v>
      </c>
      <c r="Z1002">
        <f t="shared" si="278"/>
        <v>0</v>
      </c>
      <c r="AA1002">
        <f t="shared" si="279"/>
        <v>0</v>
      </c>
      <c r="AB1002">
        <f t="shared" si="280"/>
        <v>1</v>
      </c>
      <c r="AC1002">
        <f t="shared" si="281"/>
        <v>0</v>
      </c>
      <c r="AD1002">
        <f t="shared" si="282"/>
        <v>0</v>
      </c>
      <c r="AE1002">
        <f t="shared" si="283"/>
        <v>0</v>
      </c>
      <c r="AF1002">
        <f t="shared" si="284"/>
        <v>1</v>
      </c>
      <c r="AG1002">
        <f t="shared" si="285"/>
        <v>0</v>
      </c>
      <c r="AH1002">
        <f t="shared" si="286"/>
        <v>0</v>
      </c>
      <c r="AI1002">
        <f t="shared" si="287"/>
        <v>0</v>
      </c>
    </row>
    <row r="1003" spans="1:35" x14ac:dyDescent="0.2">
      <c r="A1003">
        <v>560</v>
      </c>
      <c r="B1003" t="s">
        <v>16</v>
      </c>
      <c r="C1003">
        <v>2</v>
      </c>
      <c r="D1003" t="s">
        <v>2899</v>
      </c>
      <c r="E1003" t="s">
        <v>18</v>
      </c>
      <c r="F1003" t="s">
        <v>20</v>
      </c>
      <c r="G1003" t="s">
        <v>19</v>
      </c>
      <c r="H1003" t="s">
        <v>18</v>
      </c>
      <c r="I1003">
        <v>4</v>
      </c>
      <c r="J1003">
        <v>4</v>
      </c>
      <c r="K1003" t="s">
        <v>2900</v>
      </c>
      <c r="L1003" t="s">
        <v>22</v>
      </c>
      <c r="M1003" t="s">
        <v>23</v>
      </c>
      <c r="N1003" t="s">
        <v>24</v>
      </c>
      <c r="O1003" t="s">
        <v>2901</v>
      </c>
      <c r="P1003" t="s">
        <v>2902</v>
      </c>
      <c r="Q1003">
        <f t="shared" si="270"/>
        <v>4</v>
      </c>
      <c r="R1003">
        <f t="shared" si="271"/>
        <v>2</v>
      </c>
      <c r="S1003">
        <f t="shared" si="272"/>
        <v>3</v>
      </c>
      <c r="T1003">
        <f t="shared" si="273"/>
        <v>4</v>
      </c>
      <c r="U1003">
        <v>25</v>
      </c>
      <c r="V1003">
        <f t="shared" si="274"/>
        <v>1</v>
      </c>
      <c r="W1003">
        <f t="shared" si="275"/>
        <v>0</v>
      </c>
      <c r="X1003">
        <f t="shared" si="276"/>
        <v>0</v>
      </c>
      <c r="Y1003">
        <f t="shared" si="277"/>
        <v>0</v>
      </c>
      <c r="Z1003">
        <f t="shared" si="278"/>
        <v>0</v>
      </c>
      <c r="AA1003">
        <f t="shared" si="279"/>
        <v>1</v>
      </c>
      <c r="AB1003">
        <f t="shared" si="280"/>
        <v>0</v>
      </c>
      <c r="AC1003">
        <f t="shared" si="281"/>
        <v>0</v>
      </c>
      <c r="AD1003">
        <f t="shared" si="282"/>
        <v>0</v>
      </c>
      <c r="AE1003">
        <f t="shared" si="283"/>
        <v>0</v>
      </c>
      <c r="AF1003">
        <f t="shared" si="284"/>
        <v>0</v>
      </c>
      <c r="AG1003">
        <f t="shared" si="285"/>
        <v>0</v>
      </c>
      <c r="AH1003">
        <f t="shared" si="286"/>
        <v>1</v>
      </c>
      <c r="AI1003">
        <f t="shared" si="287"/>
        <v>0</v>
      </c>
    </row>
    <row r="1004" spans="1:35" x14ac:dyDescent="0.2">
      <c r="A1004">
        <v>561</v>
      </c>
      <c r="B1004" t="s">
        <v>16</v>
      </c>
      <c r="C1004">
        <v>7</v>
      </c>
      <c r="D1004" t="s">
        <v>2903</v>
      </c>
      <c r="E1004" t="s">
        <v>18</v>
      </c>
      <c r="F1004" t="s">
        <v>20</v>
      </c>
      <c r="G1004" t="s">
        <v>20</v>
      </c>
      <c r="H1004" t="s">
        <v>18</v>
      </c>
      <c r="I1004">
        <v>7</v>
      </c>
      <c r="J1004">
        <v>3</v>
      </c>
      <c r="K1004">
        <v>10</v>
      </c>
      <c r="L1004" t="s">
        <v>53</v>
      </c>
      <c r="M1004" t="s">
        <v>291</v>
      </c>
      <c r="N1004" t="s">
        <v>24</v>
      </c>
      <c r="O1004" t="s">
        <v>2904</v>
      </c>
      <c r="P1004" t="s">
        <v>2905</v>
      </c>
      <c r="Q1004">
        <f t="shared" si="270"/>
        <v>4</v>
      </c>
      <c r="R1004">
        <f t="shared" si="271"/>
        <v>2</v>
      </c>
      <c r="S1004">
        <f t="shared" si="272"/>
        <v>2</v>
      </c>
      <c r="T1004">
        <f t="shared" si="273"/>
        <v>4</v>
      </c>
      <c r="U1004">
        <v>10</v>
      </c>
      <c r="V1004">
        <f t="shared" si="274"/>
        <v>0</v>
      </c>
      <c r="W1004">
        <f t="shared" si="275"/>
        <v>0</v>
      </c>
      <c r="X1004">
        <f t="shared" si="276"/>
        <v>1</v>
      </c>
      <c r="Y1004">
        <f t="shared" si="277"/>
        <v>0</v>
      </c>
      <c r="Z1004">
        <f t="shared" si="278"/>
        <v>0</v>
      </c>
      <c r="AA1004">
        <f t="shared" si="279"/>
        <v>0</v>
      </c>
      <c r="AB1004">
        <f t="shared" si="280"/>
        <v>1</v>
      </c>
      <c r="AC1004">
        <f t="shared" si="281"/>
        <v>0</v>
      </c>
      <c r="AD1004">
        <f t="shared" si="282"/>
        <v>1</v>
      </c>
      <c r="AE1004">
        <f t="shared" si="283"/>
        <v>0</v>
      </c>
      <c r="AF1004">
        <f t="shared" si="284"/>
        <v>0</v>
      </c>
      <c r="AG1004">
        <f t="shared" si="285"/>
        <v>0</v>
      </c>
      <c r="AH1004">
        <f t="shared" si="286"/>
        <v>1</v>
      </c>
      <c r="AI1004">
        <f t="shared" si="287"/>
        <v>0</v>
      </c>
    </row>
    <row r="1005" spans="1:35" x14ac:dyDescent="0.2">
      <c r="A1005">
        <v>562</v>
      </c>
      <c r="B1005" t="s">
        <v>16</v>
      </c>
      <c r="C1005">
        <v>8</v>
      </c>
      <c r="D1005" t="s">
        <v>2906</v>
      </c>
      <c r="E1005" t="s">
        <v>18</v>
      </c>
      <c r="F1005" t="s">
        <v>19</v>
      </c>
      <c r="G1005" t="s">
        <v>18</v>
      </c>
      <c r="H1005" t="s">
        <v>19</v>
      </c>
      <c r="I1005">
        <v>9</v>
      </c>
      <c r="J1005">
        <v>10</v>
      </c>
      <c r="K1005">
        <v>40</v>
      </c>
      <c r="L1005" t="s">
        <v>79</v>
      </c>
      <c r="M1005" t="s">
        <v>48</v>
      </c>
      <c r="N1005" t="s">
        <v>651</v>
      </c>
      <c r="O1005" t="s">
        <v>2907</v>
      </c>
      <c r="P1005" t="s">
        <v>2908</v>
      </c>
      <c r="Q1005">
        <f t="shared" si="270"/>
        <v>4</v>
      </c>
      <c r="R1005">
        <f t="shared" si="271"/>
        <v>3</v>
      </c>
      <c r="S1005">
        <f t="shared" si="272"/>
        <v>4</v>
      </c>
      <c r="T1005">
        <f t="shared" si="273"/>
        <v>3</v>
      </c>
      <c r="U1005">
        <v>40</v>
      </c>
      <c r="V1005">
        <f t="shared" si="274"/>
        <v>0</v>
      </c>
      <c r="W1005">
        <f t="shared" si="275"/>
        <v>1</v>
      </c>
      <c r="X1005">
        <f t="shared" si="276"/>
        <v>0</v>
      </c>
      <c r="Y1005">
        <f t="shared" si="277"/>
        <v>0</v>
      </c>
      <c r="Z1005">
        <f t="shared" si="278"/>
        <v>1</v>
      </c>
      <c r="AA1005">
        <f t="shared" si="279"/>
        <v>1</v>
      </c>
      <c r="AB1005">
        <f t="shared" si="280"/>
        <v>1</v>
      </c>
      <c r="AC1005">
        <f t="shared" si="281"/>
        <v>1</v>
      </c>
      <c r="AD1005">
        <f t="shared" si="282"/>
        <v>0</v>
      </c>
      <c r="AE1005">
        <f t="shared" si="283"/>
        <v>0</v>
      </c>
      <c r="AF1005">
        <f t="shared" si="284"/>
        <v>1</v>
      </c>
      <c r="AG1005">
        <f t="shared" si="285"/>
        <v>0</v>
      </c>
      <c r="AH1005">
        <f t="shared" si="286"/>
        <v>1</v>
      </c>
      <c r="AI1005">
        <f t="shared" si="287"/>
        <v>0</v>
      </c>
    </row>
    <row r="1006" spans="1:35" x14ac:dyDescent="0.2">
      <c r="A1006">
        <v>222</v>
      </c>
      <c r="B1006" t="s">
        <v>749</v>
      </c>
      <c r="Q1006" t="str">
        <f t="shared" si="270"/>
        <v/>
      </c>
      <c r="R1006" t="str">
        <f t="shared" si="271"/>
        <v/>
      </c>
      <c r="S1006" t="str">
        <f t="shared" si="272"/>
        <v/>
      </c>
      <c r="T1006" t="str">
        <f t="shared" si="273"/>
        <v/>
      </c>
      <c r="V1006">
        <f t="shared" si="274"/>
        <v>0</v>
      </c>
      <c r="W1006">
        <f t="shared" si="275"/>
        <v>0</v>
      </c>
      <c r="X1006">
        <f t="shared" si="276"/>
        <v>0</v>
      </c>
      <c r="Y1006">
        <f t="shared" si="277"/>
        <v>0</v>
      </c>
      <c r="Z1006">
        <f t="shared" si="278"/>
        <v>0</v>
      </c>
      <c r="AA1006">
        <f t="shared" si="279"/>
        <v>0</v>
      </c>
      <c r="AB1006">
        <f t="shared" si="280"/>
        <v>0</v>
      </c>
      <c r="AC1006">
        <f t="shared" si="281"/>
        <v>0</v>
      </c>
      <c r="AD1006">
        <f t="shared" si="282"/>
        <v>0</v>
      </c>
      <c r="AE1006">
        <f t="shared" si="283"/>
        <v>0</v>
      </c>
      <c r="AF1006">
        <f t="shared" si="284"/>
        <v>0</v>
      </c>
      <c r="AG1006">
        <f t="shared" si="285"/>
        <v>0</v>
      </c>
      <c r="AH1006">
        <f t="shared" si="286"/>
        <v>0</v>
      </c>
      <c r="AI1006">
        <f t="shared" si="287"/>
        <v>0</v>
      </c>
    </row>
    <row r="1007" spans="1:35" x14ac:dyDescent="0.2">
      <c r="A1007">
        <v>223</v>
      </c>
      <c r="B1007" t="s">
        <v>749</v>
      </c>
      <c r="Q1007" t="str">
        <f t="shared" si="270"/>
        <v/>
      </c>
      <c r="R1007" t="str">
        <f t="shared" si="271"/>
        <v/>
      </c>
      <c r="S1007" t="str">
        <f t="shared" si="272"/>
        <v/>
      </c>
      <c r="T1007" t="str">
        <f t="shared" si="273"/>
        <v/>
      </c>
      <c r="V1007">
        <f t="shared" si="274"/>
        <v>0</v>
      </c>
      <c r="W1007">
        <f t="shared" si="275"/>
        <v>0</v>
      </c>
      <c r="X1007">
        <f t="shared" si="276"/>
        <v>0</v>
      </c>
      <c r="Y1007">
        <f t="shared" si="277"/>
        <v>0</v>
      </c>
      <c r="Z1007">
        <f t="shared" si="278"/>
        <v>0</v>
      </c>
      <c r="AA1007">
        <f t="shared" si="279"/>
        <v>0</v>
      </c>
      <c r="AB1007">
        <f t="shared" si="280"/>
        <v>0</v>
      </c>
      <c r="AC1007">
        <f t="shared" si="281"/>
        <v>0</v>
      </c>
      <c r="AD1007">
        <f t="shared" si="282"/>
        <v>0</v>
      </c>
      <c r="AE1007">
        <f t="shared" si="283"/>
        <v>0</v>
      </c>
      <c r="AF1007">
        <f t="shared" si="284"/>
        <v>0</v>
      </c>
      <c r="AG1007">
        <f t="shared" si="285"/>
        <v>0</v>
      </c>
      <c r="AH1007">
        <f t="shared" si="286"/>
        <v>0</v>
      </c>
      <c r="AI1007">
        <f t="shared" si="287"/>
        <v>0</v>
      </c>
    </row>
    <row r="1008" spans="1:35" x14ac:dyDescent="0.2">
      <c r="A1008">
        <v>224</v>
      </c>
      <c r="B1008" t="s">
        <v>749</v>
      </c>
      <c r="Q1008" t="str">
        <f t="shared" si="270"/>
        <v/>
      </c>
      <c r="R1008" t="str">
        <f t="shared" si="271"/>
        <v/>
      </c>
      <c r="S1008" t="str">
        <f t="shared" si="272"/>
        <v/>
      </c>
      <c r="T1008" t="str">
        <f t="shared" si="273"/>
        <v/>
      </c>
      <c r="V1008">
        <f t="shared" si="274"/>
        <v>0</v>
      </c>
      <c r="W1008">
        <f t="shared" si="275"/>
        <v>0</v>
      </c>
      <c r="X1008">
        <f t="shared" si="276"/>
        <v>0</v>
      </c>
      <c r="Y1008">
        <f t="shared" si="277"/>
        <v>0</v>
      </c>
      <c r="Z1008">
        <f t="shared" si="278"/>
        <v>0</v>
      </c>
      <c r="AA1008">
        <f t="shared" si="279"/>
        <v>0</v>
      </c>
      <c r="AB1008">
        <f t="shared" si="280"/>
        <v>0</v>
      </c>
      <c r="AC1008">
        <f t="shared" si="281"/>
        <v>0</v>
      </c>
      <c r="AD1008">
        <f t="shared" si="282"/>
        <v>0</v>
      </c>
      <c r="AE1008">
        <f t="shared" si="283"/>
        <v>0</v>
      </c>
      <c r="AF1008">
        <f t="shared" si="284"/>
        <v>0</v>
      </c>
      <c r="AG1008">
        <f t="shared" si="285"/>
        <v>0</v>
      </c>
      <c r="AH1008">
        <f t="shared" si="286"/>
        <v>0</v>
      </c>
      <c r="AI1008">
        <f t="shared" si="287"/>
        <v>0</v>
      </c>
    </row>
    <row r="1009" spans="1:35" x14ac:dyDescent="0.2">
      <c r="A1009">
        <v>225</v>
      </c>
      <c r="B1009" t="s">
        <v>749</v>
      </c>
      <c r="C1009">
        <v>3</v>
      </c>
      <c r="Q1009" t="str">
        <f t="shared" si="270"/>
        <v/>
      </c>
      <c r="R1009" t="str">
        <f t="shared" si="271"/>
        <v/>
      </c>
      <c r="S1009" t="str">
        <f t="shared" si="272"/>
        <v/>
      </c>
      <c r="T1009" t="str">
        <f t="shared" si="273"/>
        <v/>
      </c>
      <c r="V1009">
        <f t="shared" si="274"/>
        <v>0</v>
      </c>
      <c r="W1009">
        <f t="shared" si="275"/>
        <v>0</v>
      </c>
      <c r="X1009">
        <f t="shared" si="276"/>
        <v>0</v>
      </c>
      <c r="Y1009">
        <f t="shared" si="277"/>
        <v>0</v>
      </c>
      <c r="Z1009">
        <f t="shared" si="278"/>
        <v>0</v>
      </c>
      <c r="AA1009">
        <f t="shared" si="279"/>
        <v>0</v>
      </c>
      <c r="AB1009">
        <f t="shared" si="280"/>
        <v>0</v>
      </c>
      <c r="AC1009">
        <f t="shared" si="281"/>
        <v>0</v>
      </c>
      <c r="AD1009">
        <f t="shared" si="282"/>
        <v>0</v>
      </c>
      <c r="AE1009">
        <f t="shared" si="283"/>
        <v>0</v>
      </c>
      <c r="AF1009">
        <f t="shared" si="284"/>
        <v>0</v>
      </c>
      <c r="AG1009">
        <f t="shared" si="285"/>
        <v>0</v>
      </c>
      <c r="AH1009">
        <f t="shared" si="286"/>
        <v>0</v>
      </c>
      <c r="AI1009">
        <f t="shared" si="287"/>
        <v>0</v>
      </c>
    </row>
    <row r="1010" spans="1:35" x14ac:dyDescent="0.2">
      <c r="A1010">
        <v>226</v>
      </c>
      <c r="B1010" t="s">
        <v>749</v>
      </c>
      <c r="Q1010" t="str">
        <f t="shared" si="270"/>
        <v/>
      </c>
      <c r="R1010" t="str">
        <f t="shared" si="271"/>
        <v/>
      </c>
      <c r="S1010" t="str">
        <f t="shared" si="272"/>
        <v/>
      </c>
      <c r="T1010" t="str">
        <f t="shared" si="273"/>
        <v/>
      </c>
      <c r="V1010">
        <f t="shared" si="274"/>
        <v>0</v>
      </c>
      <c r="W1010">
        <f t="shared" si="275"/>
        <v>0</v>
      </c>
      <c r="X1010">
        <f t="shared" si="276"/>
        <v>0</v>
      </c>
      <c r="Y1010">
        <f t="shared" si="277"/>
        <v>0</v>
      </c>
      <c r="Z1010">
        <f t="shared" si="278"/>
        <v>0</v>
      </c>
      <c r="AA1010">
        <f t="shared" si="279"/>
        <v>0</v>
      </c>
      <c r="AB1010">
        <f t="shared" si="280"/>
        <v>0</v>
      </c>
      <c r="AC1010">
        <f t="shared" si="281"/>
        <v>0</v>
      </c>
      <c r="AD1010">
        <f t="shared" si="282"/>
        <v>0</v>
      </c>
      <c r="AE1010">
        <f t="shared" si="283"/>
        <v>0</v>
      </c>
      <c r="AF1010">
        <f t="shared" si="284"/>
        <v>0</v>
      </c>
      <c r="AG1010">
        <f t="shared" si="285"/>
        <v>0</v>
      </c>
      <c r="AH1010">
        <f t="shared" si="286"/>
        <v>0</v>
      </c>
      <c r="AI1010">
        <f t="shared" si="287"/>
        <v>0</v>
      </c>
    </row>
    <row r="1011" spans="1:35" x14ac:dyDescent="0.2">
      <c r="A1011">
        <v>227</v>
      </c>
      <c r="B1011" t="s">
        <v>749</v>
      </c>
      <c r="Q1011" t="str">
        <f t="shared" si="270"/>
        <v/>
      </c>
      <c r="R1011" t="str">
        <f t="shared" si="271"/>
        <v/>
      </c>
      <c r="S1011" t="str">
        <f t="shared" si="272"/>
        <v/>
      </c>
      <c r="T1011" t="str">
        <f t="shared" si="273"/>
        <v/>
      </c>
      <c r="V1011">
        <f t="shared" si="274"/>
        <v>0</v>
      </c>
      <c r="W1011">
        <f t="shared" si="275"/>
        <v>0</v>
      </c>
      <c r="X1011">
        <f t="shared" si="276"/>
        <v>0</v>
      </c>
      <c r="Y1011">
        <f t="shared" si="277"/>
        <v>0</v>
      </c>
      <c r="Z1011">
        <f t="shared" si="278"/>
        <v>0</v>
      </c>
      <c r="AA1011">
        <f t="shared" si="279"/>
        <v>0</v>
      </c>
      <c r="AB1011">
        <f t="shared" si="280"/>
        <v>0</v>
      </c>
      <c r="AC1011">
        <f t="shared" si="281"/>
        <v>0</v>
      </c>
      <c r="AD1011">
        <f t="shared" si="282"/>
        <v>0</v>
      </c>
      <c r="AE1011">
        <f t="shared" si="283"/>
        <v>0</v>
      </c>
      <c r="AF1011">
        <f t="shared" si="284"/>
        <v>0</v>
      </c>
      <c r="AG1011">
        <f t="shared" si="285"/>
        <v>0</v>
      </c>
      <c r="AH1011">
        <f t="shared" si="286"/>
        <v>0</v>
      </c>
      <c r="AI1011">
        <f t="shared" si="287"/>
        <v>0</v>
      </c>
    </row>
    <row r="1012" spans="1:35" x14ac:dyDescent="0.2">
      <c r="A1012">
        <v>228</v>
      </c>
      <c r="B1012" t="s">
        <v>749</v>
      </c>
      <c r="C1012">
        <v>7</v>
      </c>
      <c r="D1012" t="s">
        <v>2097</v>
      </c>
      <c r="E1012" t="s">
        <v>39</v>
      </c>
      <c r="F1012" t="s">
        <v>39</v>
      </c>
      <c r="G1012" t="s">
        <v>39</v>
      </c>
      <c r="H1012" t="s">
        <v>20</v>
      </c>
      <c r="I1012">
        <v>3</v>
      </c>
      <c r="J1012">
        <v>3</v>
      </c>
      <c r="K1012">
        <v>25</v>
      </c>
      <c r="L1012" t="s">
        <v>194</v>
      </c>
      <c r="M1012" t="s">
        <v>23</v>
      </c>
      <c r="N1012" t="s">
        <v>36</v>
      </c>
      <c r="O1012" t="s">
        <v>2909</v>
      </c>
      <c r="P1012" t="s">
        <v>2910</v>
      </c>
      <c r="Q1012">
        <f t="shared" si="270"/>
        <v>5</v>
      </c>
      <c r="R1012">
        <f t="shared" si="271"/>
        <v>5</v>
      </c>
      <c r="S1012">
        <f t="shared" si="272"/>
        <v>5</v>
      </c>
      <c r="T1012">
        <f t="shared" si="273"/>
        <v>2</v>
      </c>
      <c r="U1012">
        <v>25</v>
      </c>
      <c r="V1012">
        <f t="shared" si="274"/>
        <v>0</v>
      </c>
      <c r="W1012">
        <f t="shared" si="275"/>
        <v>0</v>
      </c>
      <c r="X1012">
        <f t="shared" si="276"/>
        <v>0</v>
      </c>
      <c r="Y1012">
        <f t="shared" si="277"/>
        <v>1</v>
      </c>
      <c r="Z1012">
        <f t="shared" si="278"/>
        <v>1</v>
      </c>
      <c r="AA1012">
        <f t="shared" si="279"/>
        <v>1</v>
      </c>
      <c r="AB1012">
        <f t="shared" si="280"/>
        <v>0</v>
      </c>
      <c r="AC1012">
        <f t="shared" si="281"/>
        <v>0</v>
      </c>
      <c r="AD1012">
        <f t="shared" si="282"/>
        <v>0</v>
      </c>
      <c r="AE1012">
        <f t="shared" si="283"/>
        <v>0</v>
      </c>
      <c r="AF1012">
        <f t="shared" si="284"/>
        <v>0</v>
      </c>
      <c r="AG1012">
        <f t="shared" si="285"/>
        <v>0</v>
      </c>
      <c r="AH1012">
        <f t="shared" si="286"/>
        <v>0</v>
      </c>
      <c r="AI1012">
        <f t="shared" si="287"/>
        <v>1</v>
      </c>
    </row>
    <row r="1013" spans="1:35" x14ac:dyDescent="0.2">
      <c r="A1013">
        <v>229</v>
      </c>
      <c r="B1013" t="s">
        <v>749</v>
      </c>
      <c r="C1013">
        <v>8</v>
      </c>
      <c r="D1013" t="s">
        <v>2911</v>
      </c>
      <c r="E1013" t="s">
        <v>20</v>
      </c>
      <c r="F1013" t="s">
        <v>39</v>
      </c>
      <c r="G1013" t="s">
        <v>18</v>
      </c>
      <c r="H1013" t="s">
        <v>21</v>
      </c>
      <c r="I1013">
        <v>2</v>
      </c>
      <c r="J1013">
        <v>2</v>
      </c>
      <c r="K1013">
        <v>200</v>
      </c>
      <c r="L1013" t="s">
        <v>494</v>
      </c>
      <c r="M1013" t="s">
        <v>161</v>
      </c>
      <c r="N1013" t="s">
        <v>43</v>
      </c>
      <c r="O1013" t="s">
        <v>2912</v>
      </c>
      <c r="P1013" t="s">
        <v>2913</v>
      </c>
      <c r="Q1013">
        <f t="shared" si="270"/>
        <v>2</v>
      </c>
      <c r="R1013">
        <f t="shared" si="271"/>
        <v>5</v>
      </c>
      <c r="S1013">
        <f t="shared" si="272"/>
        <v>4</v>
      </c>
      <c r="T1013">
        <f t="shared" si="273"/>
        <v>1</v>
      </c>
      <c r="U1013">
        <v>200</v>
      </c>
      <c r="V1013">
        <f t="shared" si="274"/>
        <v>0</v>
      </c>
      <c r="W1013">
        <f t="shared" si="275"/>
        <v>1</v>
      </c>
      <c r="X1013">
        <f t="shared" si="276"/>
        <v>1</v>
      </c>
      <c r="Y1013">
        <f t="shared" si="277"/>
        <v>1</v>
      </c>
      <c r="Z1013">
        <f t="shared" si="278"/>
        <v>1</v>
      </c>
      <c r="AA1013">
        <f t="shared" si="279"/>
        <v>1</v>
      </c>
      <c r="AB1013">
        <f t="shared" si="280"/>
        <v>1</v>
      </c>
      <c r="AC1013">
        <f t="shared" si="281"/>
        <v>1</v>
      </c>
      <c r="AD1013">
        <f t="shared" si="282"/>
        <v>1</v>
      </c>
      <c r="AE1013">
        <f t="shared" si="283"/>
        <v>0</v>
      </c>
      <c r="AF1013">
        <f t="shared" si="284"/>
        <v>1</v>
      </c>
      <c r="AG1013">
        <f t="shared" si="285"/>
        <v>1</v>
      </c>
      <c r="AH1013">
        <f t="shared" si="286"/>
        <v>0</v>
      </c>
      <c r="AI1013">
        <f t="shared" si="287"/>
        <v>0</v>
      </c>
    </row>
    <row r="1014" spans="1:35" x14ac:dyDescent="0.2">
      <c r="A1014">
        <v>230</v>
      </c>
      <c r="B1014" t="s">
        <v>749</v>
      </c>
      <c r="C1014">
        <v>3</v>
      </c>
      <c r="D1014" t="s">
        <v>1130</v>
      </c>
      <c r="E1014" t="s">
        <v>20</v>
      </c>
      <c r="F1014" t="s">
        <v>18</v>
      </c>
      <c r="G1014" t="s">
        <v>39</v>
      </c>
      <c r="H1014" t="s">
        <v>21</v>
      </c>
      <c r="I1014">
        <v>2</v>
      </c>
      <c r="J1014">
        <v>2</v>
      </c>
      <c r="K1014">
        <v>100</v>
      </c>
      <c r="L1014" t="s">
        <v>230</v>
      </c>
      <c r="M1014" t="s">
        <v>468</v>
      </c>
      <c r="N1014" t="s">
        <v>84</v>
      </c>
      <c r="O1014" t="s">
        <v>2914</v>
      </c>
      <c r="P1014" t="s">
        <v>2915</v>
      </c>
      <c r="Q1014">
        <f t="shared" si="270"/>
        <v>2</v>
      </c>
      <c r="R1014">
        <f t="shared" si="271"/>
        <v>4</v>
      </c>
      <c r="S1014">
        <f t="shared" si="272"/>
        <v>5</v>
      </c>
      <c r="T1014">
        <f t="shared" si="273"/>
        <v>1</v>
      </c>
      <c r="U1014">
        <v>100</v>
      </c>
      <c r="V1014">
        <f t="shared" si="274"/>
        <v>1</v>
      </c>
      <c r="W1014">
        <f t="shared" si="275"/>
        <v>1</v>
      </c>
      <c r="X1014">
        <f t="shared" si="276"/>
        <v>1</v>
      </c>
      <c r="Y1014">
        <f t="shared" si="277"/>
        <v>1</v>
      </c>
      <c r="Z1014">
        <f t="shared" si="278"/>
        <v>1</v>
      </c>
      <c r="AA1014">
        <f t="shared" si="279"/>
        <v>1</v>
      </c>
      <c r="AB1014">
        <f t="shared" si="280"/>
        <v>1</v>
      </c>
      <c r="AC1014">
        <f t="shared" si="281"/>
        <v>1</v>
      </c>
      <c r="AD1014">
        <f t="shared" si="282"/>
        <v>1</v>
      </c>
      <c r="AE1014">
        <f t="shared" si="283"/>
        <v>1</v>
      </c>
      <c r="AF1014">
        <f t="shared" si="284"/>
        <v>0</v>
      </c>
      <c r="AG1014">
        <f t="shared" si="285"/>
        <v>1</v>
      </c>
      <c r="AH1014">
        <f t="shared" si="286"/>
        <v>0</v>
      </c>
      <c r="AI1014">
        <f t="shared" si="287"/>
        <v>0</v>
      </c>
    </row>
    <row r="1015" spans="1:35" x14ac:dyDescent="0.2">
      <c r="A1015">
        <v>231</v>
      </c>
      <c r="B1015" t="s">
        <v>749</v>
      </c>
      <c r="C1015">
        <v>7</v>
      </c>
      <c r="D1015" t="s">
        <v>2916</v>
      </c>
      <c r="E1015" t="s">
        <v>19</v>
      </c>
      <c r="F1015" t="s">
        <v>19</v>
      </c>
      <c r="G1015" t="s">
        <v>20</v>
      </c>
      <c r="H1015" t="s">
        <v>18</v>
      </c>
      <c r="I1015">
        <v>7</v>
      </c>
      <c r="J1015">
        <v>5</v>
      </c>
      <c r="K1015">
        <v>500</v>
      </c>
      <c r="L1015" t="s">
        <v>70</v>
      </c>
      <c r="M1015" t="s">
        <v>468</v>
      </c>
      <c r="N1015" t="s">
        <v>36</v>
      </c>
      <c r="O1015" t="s">
        <v>2917</v>
      </c>
      <c r="P1015" t="s">
        <v>2918</v>
      </c>
      <c r="Q1015">
        <f t="shared" si="270"/>
        <v>3</v>
      </c>
      <c r="R1015">
        <f t="shared" si="271"/>
        <v>3</v>
      </c>
      <c r="S1015">
        <f t="shared" si="272"/>
        <v>2</v>
      </c>
      <c r="T1015">
        <f t="shared" si="273"/>
        <v>4</v>
      </c>
      <c r="U1015">
        <v>500</v>
      </c>
      <c r="V1015">
        <f t="shared" si="274"/>
        <v>0</v>
      </c>
      <c r="W1015">
        <f t="shared" si="275"/>
        <v>0</v>
      </c>
      <c r="X1015">
        <f t="shared" si="276"/>
        <v>0</v>
      </c>
      <c r="Y1015">
        <f t="shared" si="277"/>
        <v>1</v>
      </c>
      <c r="Z1015">
        <f t="shared" si="278"/>
        <v>0</v>
      </c>
      <c r="AA1015">
        <f t="shared" si="279"/>
        <v>1</v>
      </c>
      <c r="AB1015">
        <f t="shared" si="280"/>
        <v>1</v>
      </c>
      <c r="AC1015">
        <f t="shared" si="281"/>
        <v>1</v>
      </c>
      <c r="AD1015">
        <f t="shared" si="282"/>
        <v>1</v>
      </c>
      <c r="AE1015">
        <f t="shared" si="283"/>
        <v>1</v>
      </c>
      <c r="AF1015">
        <f t="shared" si="284"/>
        <v>0</v>
      </c>
      <c r="AG1015">
        <f t="shared" si="285"/>
        <v>0</v>
      </c>
      <c r="AH1015">
        <f t="shared" si="286"/>
        <v>0</v>
      </c>
      <c r="AI1015">
        <f t="shared" si="287"/>
        <v>1</v>
      </c>
    </row>
    <row r="1016" spans="1:35" x14ac:dyDescent="0.2">
      <c r="A1016">
        <v>232</v>
      </c>
      <c r="B1016" t="s">
        <v>749</v>
      </c>
      <c r="C1016">
        <v>7</v>
      </c>
      <c r="D1016" t="s">
        <v>2919</v>
      </c>
      <c r="E1016" t="s">
        <v>18</v>
      </c>
      <c r="F1016" t="s">
        <v>18</v>
      </c>
      <c r="G1016" t="s">
        <v>18</v>
      </c>
      <c r="H1016" t="s">
        <v>20</v>
      </c>
      <c r="I1016">
        <v>3</v>
      </c>
      <c r="J1016">
        <v>1</v>
      </c>
      <c r="K1016">
        <v>50</v>
      </c>
      <c r="L1016" t="s">
        <v>41</v>
      </c>
      <c r="M1016" t="s">
        <v>123</v>
      </c>
      <c r="N1016" t="s">
        <v>36</v>
      </c>
      <c r="O1016" t="s">
        <v>2920</v>
      </c>
      <c r="P1016" t="s">
        <v>2921</v>
      </c>
      <c r="Q1016">
        <f t="shared" si="270"/>
        <v>4</v>
      </c>
      <c r="R1016">
        <f t="shared" si="271"/>
        <v>4</v>
      </c>
      <c r="S1016">
        <f t="shared" si="272"/>
        <v>4</v>
      </c>
      <c r="T1016">
        <f t="shared" si="273"/>
        <v>2</v>
      </c>
      <c r="U1016">
        <v>50</v>
      </c>
      <c r="V1016">
        <f t="shared" si="274"/>
        <v>0</v>
      </c>
      <c r="W1016">
        <f t="shared" si="275"/>
        <v>0</v>
      </c>
      <c r="X1016">
        <f t="shared" si="276"/>
        <v>0</v>
      </c>
      <c r="Y1016">
        <f t="shared" si="277"/>
        <v>0</v>
      </c>
      <c r="Z1016">
        <f t="shared" si="278"/>
        <v>1</v>
      </c>
      <c r="AA1016">
        <f t="shared" si="279"/>
        <v>0</v>
      </c>
      <c r="AB1016">
        <f t="shared" si="280"/>
        <v>1</v>
      </c>
      <c r="AC1016">
        <f t="shared" si="281"/>
        <v>1</v>
      </c>
      <c r="AD1016">
        <f t="shared" si="282"/>
        <v>0</v>
      </c>
      <c r="AE1016">
        <f t="shared" si="283"/>
        <v>0</v>
      </c>
      <c r="AF1016">
        <f t="shared" si="284"/>
        <v>0</v>
      </c>
      <c r="AG1016">
        <f t="shared" si="285"/>
        <v>0</v>
      </c>
      <c r="AH1016">
        <f t="shared" si="286"/>
        <v>0</v>
      </c>
      <c r="AI1016">
        <f t="shared" si="287"/>
        <v>1</v>
      </c>
    </row>
    <row r="1017" spans="1:35" x14ac:dyDescent="0.2">
      <c r="A1017">
        <v>233</v>
      </c>
      <c r="B1017" t="s">
        <v>749</v>
      </c>
      <c r="C1017">
        <v>3</v>
      </c>
      <c r="D1017" t="s">
        <v>2922</v>
      </c>
      <c r="E1017" t="s">
        <v>20</v>
      </c>
      <c r="F1017" t="s">
        <v>18</v>
      </c>
      <c r="G1017" t="s">
        <v>18</v>
      </c>
      <c r="H1017" t="s">
        <v>20</v>
      </c>
      <c r="I1017">
        <v>3</v>
      </c>
      <c r="J1017">
        <v>2</v>
      </c>
      <c r="K1017" s="1">
        <v>150</v>
      </c>
      <c r="L1017" t="s">
        <v>70</v>
      </c>
      <c r="M1017" t="s">
        <v>115</v>
      </c>
      <c r="N1017" t="s">
        <v>84</v>
      </c>
      <c r="O1017" t="s">
        <v>504</v>
      </c>
      <c r="P1017" t="s">
        <v>2923</v>
      </c>
      <c r="Q1017">
        <f t="shared" si="270"/>
        <v>2</v>
      </c>
      <c r="R1017">
        <f t="shared" si="271"/>
        <v>4</v>
      </c>
      <c r="S1017">
        <f t="shared" si="272"/>
        <v>4</v>
      </c>
      <c r="T1017">
        <f t="shared" si="273"/>
        <v>2</v>
      </c>
      <c r="U1017">
        <v>150</v>
      </c>
      <c r="V1017">
        <f t="shared" si="274"/>
        <v>0</v>
      </c>
      <c r="W1017">
        <f t="shared" si="275"/>
        <v>0</v>
      </c>
      <c r="X1017">
        <f t="shared" si="276"/>
        <v>0</v>
      </c>
      <c r="Y1017">
        <f t="shared" si="277"/>
        <v>1</v>
      </c>
      <c r="Z1017">
        <f t="shared" si="278"/>
        <v>0</v>
      </c>
      <c r="AA1017">
        <f t="shared" si="279"/>
        <v>0</v>
      </c>
      <c r="AB1017">
        <f t="shared" si="280"/>
        <v>0</v>
      </c>
      <c r="AC1017">
        <f t="shared" si="281"/>
        <v>1</v>
      </c>
      <c r="AD1017">
        <f t="shared" si="282"/>
        <v>0</v>
      </c>
      <c r="AE1017">
        <f t="shared" si="283"/>
        <v>0</v>
      </c>
      <c r="AF1017">
        <f t="shared" si="284"/>
        <v>0</v>
      </c>
      <c r="AG1017">
        <f t="shared" si="285"/>
        <v>1</v>
      </c>
      <c r="AH1017">
        <f t="shared" si="286"/>
        <v>0</v>
      </c>
      <c r="AI1017">
        <f t="shared" si="287"/>
        <v>0</v>
      </c>
    </row>
    <row r="1018" spans="1:35" x14ac:dyDescent="0.2">
      <c r="A1018">
        <v>234</v>
      </c>
      <c r="B1018" t="s">
        <v>749</v>
      </c>
      <c r="C1018">
        <v>6</v>
      </c>
      <c r="D1018" t="s">
        <v>2924</v>
      </c>
      <c r="E1018" t="s">
        <v>20</v>
      </c>
      <c r="F1018" t="s">
        <v>18</v>
      </c>
      <c r="G1018" t="s">
        <v>18</v>
      </c>
      <c r="H1018" t="s">
        <v>20</v>
      </c>
      <c r="I1018">
        <v>3</v>
      </c>
      <c r="J1018">
        <v>4</v>
      </c>
      <c r="K1018" t="s">
        <v>2925</v>
      </c>
      <c r="L1018" t="s">
        <v>98</v>
      </c>
      <c r="M1018" t="s">
        <v>115</v>
      </c>
      <c r="N1018" t="s">
        <v>43</v>
      </c>
      <c r="O1018" t="s">
        <v>2926</v>
      </c>
      <c r="P1018" t="s">
        <v>2927</v>
      </c>
      <c r="Q1018">
        <f t="shared" si="270"/>
        <v>2</v>
      </c>
      <c r="R1018">
        <f t="shared" si="271"/>
        <v>4</v>
      </c>
      <c r="S1018">
        <f t="shared" si="272"/>
        <v>4</v>
      </c>
      <c r="T1018">
        <f t="shared" si="273"/>
        <v>2</v>
      </c>
      <c r="U1018">
        <v>500000</v>
      </c>
      <c r="V1018">
        <f t="shared" si="274"/>
        <v>0</v>
      </c>
      <c r="W1018">
        <f t="shared" si="275"/>
        <v>1</v>
      </c>
      <c r="X1018">
        <f t="shared" si="276"/>
        <v>0</v>
      </c>
      <c r="Y1018">
        <f t="shared" si="277"/>
        <v>0</v>
      </c>
      <c r="Z1018">
        <f t="shared" si="278"/>
        <v>0</v>
      </c>
      <c r="AA1018">
        <f t="shared" si="279"/>
        <v>0</v>
      </c>
      <c r="AB1018">
        <f t="shared" si="280"/>
        <v>0</v>
      </c>
      <c r="AC1018">
        <f t="shared" si="281"/>
        <v>1</v>
      </c>
      <c r="AD1018">
        <f t="shared" si="282"/>
        <v>0</v>
      </c>
      <c r="AE1018">
        <f t="shared" si="283"/>
        <v>0</v>
      </c>
      <c r="AF1018">
        <f t="shared" si="284"/>
        <v>1</v>
      </c>
      <c r="AG1018">
        <f t="shared" si="285"/>
        <v>1</v>
      </c>
      <c r="AH1018">
        <f t="shared" si="286"/>
        <v>0</v>
      </c>
      <c r="AI1018">
        <f t="shared" si="287"/>
        <v>0</v>
      </c>
    </row>
    <row r="1019" spans="1:35" x14ac:dyDescent="0.2">
      <c r="A1019">
        <v>235</v>
      </c>
      <c r="B1019" t="s">
        <v>749</v>
      </c>
      <c r="C1019">
        <v>6</v>
      </c>
      <c r="D1019" t="s">
        <v>2928</v>
      </c>
      <c r="E1019" t="s">
        <v>20</v>
      </c>
      <c r="F1019" t="s">
        <v>19</v>
      </c>
      <c r="G1019" t="s">
        <v>19</v>
      </c>
      <c r="H1019" t="s">
        <v>19</v>
      </c>
      <c r="I1019">
        <v>3</v>
      </c>
      <c r="J1019">
        <v>4</v>
      </c>
      <c r="K1019">
        <v>20</v>
      </c>
      <c r="L1019" t="s">
        <v>98</v>
      </c>
      <c r="M1019" t="s">
        <v>115</v>
      </c>
      <c r="N1019" t="s">
        <v>36</v>
      </c>
      <c r="O1019" t="s">
        <v>787</v>
      </c>
      <c r="P1019" t="s">
        <v>2929</v>
      </c>
      <c r="Q1019">
        <f t="shared" si="270"/>
        <v>2</v>
      </c>
      <c r="R1019">
        <f t="shared" si="271"/>
        <v>3</v>
      </c>
      <c r="S1019">
        <f t="shared" si="272"/>
        <v>3</v>
      </c>
      <c r="T1019">
        <f t="shared" si="273"/>
        <v>3</v>
      </c>
      <c r="U1019">
        <v>20</v>
      </c>
      <c r="V1019">
        <f t="shared" si="274"/>
        <v>0</v>
      </c>
      <c r="W1019">
        <f t="shared" si="275"/>
        <v>1</v>
      </c>
      <c r="X1019">
        <f t="shared" si="276"/>
        <v>0</v>
      </c>
      <c r="Y1019">
        <f t="shared" si="277"/>
        <v>0</v>
      </c>
      <c r="Z1019">
        <f t="shared" si="278"/>
        <v>0</v>
      </c>
      <c r="AA1019">
        <f t="shared" si="279"/>
        <v>0</v>
      </c>
      <c r="AB1019">
        <f t="shared" si="280"/>
        <v>0</v>
      </c>
      <c r="AC1019">
        <f t="shared" si="281"/>
        <v>1</v>
      </c>
      <c r="AD1019">
        <f t="shared" si="282"/>
        <v>0</v>
      </c>
      <c r="AE1019">
        <f t="shared" si="283"/>
        <v>0</v>
      </c>
      <c r="AF1019">
        <f t="shared" si="284"/>
        <v>0</v>
      </c>
      <c r="AG1019">
        <f t="shared" si="285"/>
        <v>0</v>
      </c>
      <c r="AH1019">
        <f t="shared" si="286"/>
        <v>0</v>
      </c>
      <c r="AI1019">
        <f t="shared" si="287"/>
        <v>1</v>
      </c>
    </row>
    <row r="1020" spans="1:35" x14ac:dyDescent="0.2">
      <c r="A1020">
        <v>236</v>
      </c>
      <c r="B1020" t="s">
        <v>749</v>
      </c>
      <c r="C1020">
        <v>9</v>
      </c>
      <c r="D1020" t="s">
        <v>2930</v>
      </c>
      <c r="E1020" t="s">
        <v>39</v>
      </c>
      <c r="F1020" t="s">
        <v>39</v>
      </c>
      <c r="G1020" t="s">
        <v>39</v>
      </c>
      <c r="H1020" t="s">
        <v>21</v>
      </c>
      <c r="I1020">
        <v>3</v>
      </c>
      <c r="J1020">
        <v>3</v>
      </c>
      <c r="K1020" s="1">
        <v>50</v>
      </c>
      <c r="L1020" t="s">
        <v>47</v>
      </c>
      <c r="M1020" t="s">
        <v>468</v>
      </c>
      <c r="N1020" t="s">
        <v>36</v>
      </c>
      <c r="O1020" t="s">
        <v>2931</v>
      </c>
      <c r="P1020" t="s">
        <v>2932</v>
      </c>
      <c r="Q1020">
        <f t="shared" si="270"/>
        <v>5</v>
      </c>
      <c r="R1020">
        <f t="shared" si="271"/>
        <v>5</v>
      </c>
      <c r="S1020">
        <f t="shared" si="272"/>
        <v>5</v>
      </c>
      <c r="T1020">
        <f t="shared" si="273"/>
        <v>1</v>
      </c>
      <c r="U1020">
        <v>50</v>
      </c>
      <c r="V1020">
        <f t="shared" si="274"/>
        <v>0</v>
      </c>
      <c r="W1020">
        <f t="shared" si="275"/>
        <v>0</v>
      </c>
      <c r="X1020">
        <f t="shared" si="276"/>
        <v>1</v>
      </c>
      <c r="Y1020">
        <f t="shared" si="277"/>
        <v>0</v>
      </c>
      <c r="Z1020">
        <f t="shared" si="278"/>
        <v>1</v>
      </c>
      <c r="AA1020">
        <f t="shared" si="279"/>
        <v>1</v>
      </c>
      <c r="AB1020">
        <f t="shared" si="280"/>
        <v>1</v>
      </c>
      <c r="AC1020">
        <f t="shared" si="281"/>
        <v>1</v>
      </c>
      <c r="AD1020">
        <f t="shared" si="282"/>
        <v>1</v>
      </c>
      <c r="AE1020">
        <f t="shared" si="283"/>
        <v>1</v>
      </c>
      <c r="AF1020">
        <f t="shared" si="284"/>
        <v>0</v>
      </c>
      <c r="AG1020">
        <f t="shared" si="285"/>
        <v>0</v>
      </c>
      <c r="AH1020">
        <f t="shared" si="286"/>
        <v>0</v>
      </c>
      <c r="AI1020">
        <f t="shared" si="287"/>
        <v>1</v>
      </c>
    </row>
    <row r="1021" spans="1:35" x14ac:dyDescent="0.2">
      <c r="A1021">
        <v>237</v>
      </c>
      <c r="B1021" t="s">
        <v>749</v>
      </c>
      <c r="C1021">
        <v>7</v>
      </c>
      <c r="D1021" t="s">
        <v>2933</v>
      </c>
      <c r="E1021" t="s">
        <v>20</v>
      </c>
      <c r="F1021" t="s">
        <v>18</v>
      </c>
      <c r="G1021" t="s">
        <v>18</v>
      </c>
      <c r="H1021" t="s">
        <v>20</v>
      </c>
      <c r="I1021">
        <v>4</v>
      </c>
      <c r="J1021">
        <v>5</v>
      </c>
      <c r="K1021">
        <v>25</v>
      </c>
      <c r="L1021" t="s">
        <v>70</v>
      </c>
      <c r="M1021" t="s">
        <v>115</v>
      </c>
      <c r="N1021" t="s">
        <v>36</v>
      </c>
      <c r="O1021" t="s">
        <v>2934</v>
      </c>
      <c r="P1021" t="s">
        <v>2935</v>
      </c>
      <c r="Q1021">
        <f t="shared" si="270"/>
        <v>2</v>
      </c>
      <c r="R1021">
        <f t="shared" si="271"/>
        <v>4</v>
      </c>
      <c r="S1021">
        <f t="shared" si="272"/>
        <v>4</v>
      </c>
      <c r="T1021">
        <f t="shared" si="273"/>
        <v>2</v>
      </c>
      <c r="U1021">
        <v>25</v>
      </c>
      <c r="V1021">
        <f t="shared" si="274"/>
        <v>0</v>
      </c>
      <c r="W1021">
        <f t="shared" si="275"/>
        <v>0</v>
      </c>
      <c r="X1021">
        <f t="shared" si="276"/>
        <v>0</v>
      </c>
      <c r="Y1021">
        <f t="shared" si="277"/>
        <v>1</v>
      </c>
      <c r="Z1021">
        <f t="shared" si="278"/>
        <v>0</v>
      </c>
      <c r="AA1021">
        <f t="shared" si="279"/>
        <v>0</v>
      </c>
      <c r="AB1021">
        <f t="shared" si="280"/>
        <v>0</v>
      </c>
      <c r="AC1021">
        <f t="shared" si="281"/>
        <v>1</v>
      </c>
      <c r="AD1021">
        <f t="shared" si="282"/>
        <v>0</v>
      </c>
      <c r="AE1021">
        <f t="shared" si="283"/>
        <v>0</v>
      </c>
      <c r="AF1021">
        <f t="shared" si="284"/>
        <v>0</v>
      </c>
      <c r="AG1021">
        <f t="shared" si="285"/>
        <v>0</v>
      </c>
      <c r="AH1021">
        <f t="shared" si="286"/>
        <v>0</v>
      </c>
      <c r="AI1021">
        <f t="shared" si="287"/>
        <v>1</v>
      </c>
    </row>
    <row r="1022" spans="1:35" x14ac:dyDescent="0.2">
      <c r="A1022">
        <v>238</v>
      </c>
      <c r="B1022" t="s">
        <v>749</v>
      </c>
      <c r="C1022">
        <v>9</v>
      </c>
      <c r="D1022" t="s">
        <v>2936</v>
      </c>
      <c r="E1022" t="s">
        <v>21</v>
      </c>
      <c r="F1022" t="s">
        <v>20</v>
      </c>
      <c r="G1022" t="s">
        <v>20</v>
      </c>
      <c r="H1022" t="s">
        <v>21</v>
      </c>
      <c r="I1022">
        <v>4</v>
      </c>
      <c r="J1022">
        <v>3</v>
      </c>
      <c r="K1022" t="s">
        <v>2937</v>
      </c>
      <c r="L1022" t="s">
        <v>494</v>
      </c>
      <c r="M1022" t="s">
        <v>1354</v>
      </c>
      <c r="N1022" t="s">
        <v>847</v>
      </c>
      <c r="O1022" t="s">
        <v>2938</v>
      </c>
      <c r="P1022" t="s">
        <v>2939</v>
      </c>
      <c r="Q1022">
        <f t="shared" si="270"/>
        <v>1</v>
      </c>
      <c r="R1022">
        <f t="shared" si="271"/>
        <v>2</v>
      </c>
      <c r="S1022">
        <f t="shared" si="272"/>
        <v>2</v>
      </c>
      <c r="T1022">
        <f t="shared" si="273"/>
        <v>1</v>
      </c>
      <c r="U1022">
        <v>100000000</v>
      </c>
      <c r="V1022">
        <f t="shared" si="274"/>
        <v>0</v>
      </c>
      <c r="W1022">
        <f t="shared" si="275"/>
        <v>1</v>
      </c>
      <c r="X1022">
        <f t="shared" si="276"/>
        <v>1</v>
      </c>
      <c r="Y1022">
        <f t="shared" si="277"/>
        <v>1</v>
      </c>
      <c r="Z1022">
        <f t="shared" si="278"/>
        <v>1</v>
      </c>
      <c r="AA1022">
        <f t="shared" si="279"/>
        <v>0</v>
      </c>
      <c r="AB1022">
        <f t="shared" si="280"/>
        <v>1</v>
      </c>
      <c r="AC1022">
        <f t="shared" si="281"/>
        <v>1</v>
      </c>
      <c r="AD1022">
        <f t="shared" si="282"/>
        <v>0</v>
      </c>
      <c r="AE1022">
        <f t="shared" si="283"/>
        <v>1</v>
      </c>
      <c r="AF1022">
        <f t="shared" si="284"/>
        <v>1</v>
      </c>
      <c r="AG1022">
        <f t="shared" si="285"/>
        <v>0</v>
      </c>
      <c r="AH1022">
        <f t="shared" si="286"/>
        <v>0</v>
      </c>
      <c r="AI1022">
        <f t="shared" si="287"/>
        <v>1</v>
      </c>
    </row>
    <row r="1023" spans="1:35" x14ac:dyDescent="0.2">
      <c r="A1023">
        <v>239</v>
      </c>
      <c r="B1023" t="s">
        <v>749</v>
      </c>
      <c r="C1023">
        <v>8</v>
      </c>
      <c r="D1023" t="s">
        <v>2940</v>
      </c>
      <c r="E1023" t="s">
        <v>18</v>
      </c>
      <c r="F1023" t="s">
        <v>20</v>
      </c>
      <c r="G1023" t="s">
        <v>20</v>
      </c>
      <c r="H1023" t="s">
        <v>19</v>
      </c>
      <c r="I1023">
        <v>2</v>
      </c>
      <c r="J1023">
        <v>4</v>
      </c>
      <c r="K1023">
        <v>50</v>
      </c>
      <c r="L1023" t="s">
        <v>41</v>
      </c>
      <c r="M1023" t="s">
        <v>115</v>
      </c>
      <c r="N1023" t="s">
        <v>147</v>
      </c>
      <c r="O1023" t="s">
        <v>2941</v>
      </c>
      <c r="P1023" t="s">
        <v>2942</v>
      </c>
      <c r="Q1023">
        <f t="shared" si="270"/>
        <v>4</v>
      </c>
      <c r="R1023">
        <f t="shared" si="271"/>
        <v>2</v>
      </c>
      <c r="S1023">
        <f t="shared" si="272"/>
        <v>2</v>
      </c>
      <c r="T1023">
        <f t="shared" si="273"/>
        <v>3</v>
      </c>
      <c r="U1023">
        <v>50</v>
      </c>
      <c r="V1023">
        <f t="shared" si="274"/>
        <v>0</v>
      </c>
      <c r="W1023">
        <f t="shared" si="275"/>
        <v>0</v>
      </c>
      <c r="X1023">
        <f t="shared" si="276"/>
        <v>0</v>
      </c>
      <c r="Y1023">
        <f t="shared" si="277"/>
        <v>0</v>
      </c>
      <c r="Z1023">
        <f t="shared" si="278"/>
        <v>1</v>
      </c>
      <c r="AA1023">
        <f t="shared" si="279"/>
        <v>0</v>
      </c>
      <c r="AB1023">
        <f t="shared" si="280"/>
        <v>0</v>
      </c>
      <c r="AC1023">
        <f t="shared" si="281"/>
        <v>1</v>
      </c>
      <c r="AD1023">
        <f t="shared" si="282"/>
        <v>0</v>
      </c>
      <c r="AE1023">
        <f t="shared" si="283"/>
        <v>0</v>
      </c>
      <c r="AF1023">
        <f t="shared" si="284"/>
        <v>0</v>
      </c>
      <c r="AG1023">
        <f t="shared" si="285"/>
        <v>0</v>
      </c>
      <c r="AH1023">
        <f t="shared" si="286"/>
        <v>1</v>
      </c>
      <c r="AI1023">
        <f t="shared" si="287"/>
        <v>1</v>
      </c>
    </row>
    <row r="1024" spans="1:35" x14ac:dyDescent="0.2">
      <c r="A1024">
        <v>240</v>
      </c>
      <c r="B1024" t="s">
        <v>749</v>
      </c>
      <c r="C1024">
        <v>10</v>
      </c>
      <c r="D1024" t="s">
        <v>2943</v>
      </c>
      <c r="E1024" t="s">
        <v>20</v>
      </c>
      <c r="F1024" t="s">
        <v>18</v>
      </c>
      <c r="G1024" t="s">
        <v>18</v>
      </c>
      <c r="H1024" t="s">
        <v>20</v>
      </c>
      <c r="I1024">
        <v>4</v>
      </c>
      <c r="J1024">
        <v>3</v>
      </c>
      <c r="K1024">
        <v>40</v>
      </c>
      <c r="L1024" t="s">
        <v>70</v>
      </c>
      <c r="M1024" t="s">
        <v>23</v>
      </c>
      <c r="N1024" t="s">
        <v>49</v>
      </c>
      <c r="O1024" t="s">
        <v>2944</v>
      </c>
      <c r="P1024" t="s">
        <v>2945</v>
      </c>
      <c r="Q1024">
        <f t="shared" si="270"/>
        <v>2</v>
      </c>
      <c r="R1024">
        <f t="shared" si="271"/>
        <v>4</v>
      </c>
      <c r="S1024">
        <f t="shared" si="272"/>
        <v>4</v>
      </c>
      <c r="T1024">
        <f t="shared" si="273"/>
        <v>2</v>
      </c>
      <c r="U1024">
        <v>40</v>
      </c>
      <c r="V1024">
        <f t="shared" si="274"/>
        <v>0</v>
      </c>
      <c r="W1024">
        <f t="shared" si="275"/>
        <v>0</v>
      </c>
      <c r="X1024">
        <f t="shared" si="276"/>
        <v>0</v>
      </c>
      <c r="Y1024">
        <f t="shared" si="277"/>
        <v>1</v>
      </c>
      <c r="Z1024">
        <f t="shared" si="278"/>
        <v>0</v>
      </c>
      <c r="AA1024">
        <f t="shared" si="279"/>
        <v>1</v>
      </c>
      <c r="AB1024">
        <f t="shared" si="280"/>
        <v>0</v>
      </c>
      <c r="AC1024">
        <f t="shared" si="281"/>
        <v>0</v>
      </c>
      <c r="AD1024">
        <f t="shared" si="282"/>
        <v>0</v>
      </c>
      <c r="AE1024">
        <f t="shared" si="283"/>
        <v>0</v>
      </c>
      <c r="AF1024">
        <f t="shared" si="284"/>
        <v>0</v>
      </c>
      <c r="AG1024">
        <f t="shared" si="285"/>
        <v>1</v>
      </c>
      <c r="AH1024">
        <f t="shared" si="286"/>
        <v>1</v>
      </c>
      <c r="AI1024">
        <f t="shared" si="287"/>
        <v>0</v>
      </c>
    </row>
    <row r="1025" spans="1:35" x14ac:dyDescent="0.2">
      <c r="A1025">
        <v>241</v>
      </c>
      <c r="B1025" t="s">
        <v>749</v>
      </c>
      <c r="C1025">
        <v>7</v>
      </c>
      <c r="D1025" t="s">
        <v>2946</v>
      </c>
      <c r="E1025" t="s">
        <v>20</v>
      </c>
      <c r="F1025" t="s">
        <v>18</v>
      </c>
      <c r="G1025" t="s">
        <v>18</v>
      </c>
      <c r="H1025" t="s">
        <v>20</v>
      </c>
      <c r="I1025">
        <v>3</v>
      </c>
      <c r="J1025">
        <v>4</v>
      </c>
      <c r="K1025">
        <v>50000</v>
      </c>
      <c r="L1025" t="s">
        <v>70</v>
      </c>
      <c r="M1025" t="s">
        <v>777</v>
      </c>
      <c r="N1025" t="s">
        <v>651</v>
      </c>
      <c r="O1025" t="s">
        <v>250</v>
      </c>
      <c r="P1025" t="s">
        <v>2947</v>
      </c>
      <c r="Q1025">
        <f t="shared" si="270"/>
        <v>2</v>
      </c>
      <c r="R1025">
        <f t="shared" si="271"/>
        <v>4</v>
      </c>
      <c r="S1025">
        <f t="shared" si="272"/>
        <v>4</v>
      </c>
      <c r="T1025">
        <f t="shared" si="273"/>
        <v>2</v>
      </c>
      <c r="U1025">
        <v>50000</v>
      </c>
      <c r="V1025">
        <f t="shared" si="274"/>
        <v>0</v>
      </c>
      <c r="W1025">
        <f t="shared" si="275"/>
        <v>0</v>
      </c>
      <c r="X1025">
        <f t="shared" si="276"/>
        <v>0</v>
      </c>
      <c r="Y1025">
        <f t="shared" si="277"/>
        <v>1</v>
      </c>
      <c r="Z1025">
        <f t="shared" si="278"/>
        <v>0</v>
      </c>
      <c r="AA1025">
        <f t="shared" si="279"/>
        <v>0</v>
      </c>
      <c r="AB1025">
        <f t="shared" si="280"/>
        <v>1</v>
      </c>
      <c r="AC1025">
        <f t="shared" si="281"/>
        <v>0</v>
      </c>
      <c r="AD1025">
        <f t="shared" si="282"/>
        <v>0</v>
      </c>
      <c r="AE1025">
        <f t="shared" si="283"/>
        <v>1</v>
      </c>
      <c r="AF1025">
        <f t="shared" si="284"/>
        <v>1</v>
      </c>
      <c r="AG1025">
        <f t="shared" si="285"/>
        <v>0</v>
      </c>
      <c r="AH1025">
        <f t="shared" si="286"/>
        <v>1</v>
      </c>
      <c r="AI1025">
        <f t="shared" si="287"/>
        <v>0</v>
      </c>
    </row>
    <row r="1026" spans="1:35" x14ac:dyDescent="0.2">
      <c r="A1026">
        <v>242</v>
      </c>
      <c r="B1026" t="s">
        <v>749</v>
      </c>
      <c r="C1026">
        <v>8</v>
      </c>
      <c r="D1026" t="s">
        <v>2948</v>
      </c>
      <c r="E1026" t="s">
        <v>18</v>
      </c>
      <c r="F1026" t="s">
        <v>18</v>
      </c>
      <c r="G1026" t="s">
        <v>19</v>
      </c>
      <c r="H1026" t="s">
        <v>21</v>
      </c>
      <c r="I1026">
        <v>4</v>
      </c>
      <c r="J1026">
        <v>3</v>
      </c>
      <c r="K1026">
        <v>1000</v>
      </c>
      <c r="L1026" t="s">
        <v>128</v>
      </c>
      <c r="M1026" t="s">
        <v>123</v>
      </c>
      <c r="N1026" t="s">
        <v>36</v>
      </c>
      <c r="O1026" t="s">
        <v>590</v>
      </c>
      <c r="P1026" t="s">
        <v>2949</v>
      </c>
      <c r="Q1026">
        <f t="shared" si="270"/>
        <v>4</v>
      </c>
      <c r="R1026">
        <f t="shared" si="271"/>
        <v>4</v>
      </c>
      <c r="S1026">
        <f t="shared" si="272"/>
        <v>3</v>
      </c>
      <c r="T1026">
        <f t="shared" si="273"/>
        <v>1</v>
      </c>
      <c r="U1026">
        <v>1000</v>
      </c>
      <c r="V1026">
        <f t="shared" si="274"/>
        <v>1</v>
      </c>
      <c r="W1026">
        <f t="shared" si="275"/>
        <v>0</v>
      </c>
      <c r="X1026">
        <f t="shared" si="276"/>
        <v>1</v>
      </c>
      <c r="Y1026">
        <f t="shared" si="277"/>
        <v>0</v>
      </c>
      <c r="Z1026">
        <f t="shared" si="278"/>
        <v>0</v>
      </c>
      <c r="AA1026">
        <f t="shared" si="279"/>
        <v>0</v>
      </c>
      <c r="AB1026">
        <f t="shared" si="280"/>
        <v>1</v>
      </c>
      <c r="AC1026">
        <f t="shared" si="281"/>
        <v>1</v>
      </c>
      <c r="AD1026">
        <f t="shared" si="282"/>
        <v>0</v>
      </c>
      <c r="AE1026">
        <f t="shared" si="283"/>
        <v>0</v>
      </c>
      <c r="AF1026">
        <f t="shared" si="284"/>
        <v>0</v>
      </c>
      <c r="AG1026">
        <f t="shared" si="285"/>
        <v>0</v>
      </c>
      <c r="AH1026">
        <f t="shared" si="286"/>
        <v>0</v>
      </c>
      <c r="AI1026">
        <f t="shared" si="287"/>
        <v>1</v>
      </c>
    </row>
    <row r="1027" spans="1:35" x14ac:dyDescent="0.2">
      <c r="A1027">
        <v>243</v>
      </c>
      <c r="B1027" t="s">
        <v>749</v>
      </c>
      <c r="C1027">
        <v>5</v>
      </c>
      <c r="D1027" t="s">
        <v>2950</v>
      </c>
      <c r="E1027" t="s">
        <v>19</v>
      </c>
      <c r="F1027" t="s">
        <v>19</v>
      </c>
      <c r="G1027" t="s">
        <v>18</v>
      </c>
      <c r="H1027" t="s">
        <v>20</v>
      </c>
      <c r="I1027">
        <v>5</v>
      </c>
      <c r="J1027">
        <v>4</v>
      </c>
      <c r="K1027">
        <v>10</v>
      </c>
      <c r="L1027" t="s">
        <v>41</v>
      </c>
      <c r="M1027" t="s">
        <v>23</v>
      </c>
      <c r="N1027" t="s">
        <v>215</v>
      </c>
      <c r="O1027" t="s">
        <v>2951</v>
      </c>
      <c r="P1027" t="s">
        <v>2952</v>
      </c>
      <c r="Q1027">
        <f t="shared" ref="Q1027:Q1090" si="288">IF(E1027="", "", LEFT(E1027, 1) * 1)</f>
        <v>3</v>
      </c>
      <c r="R1027">
        <f t="shared" ref="R1027:R1090" si="289">IF(F1027="","",VALUE(LEFT(F1027,FIND(" ",F1027)-1)))</f>
        <v>3</v>
      </c>
      <c r="S1027">
        <f t="shared" ref="S1027:S1090" si="290">IF(G1027="","",VALUE(LEFT(G1027,FIND(" ",G1027)-1)))</f>
        <v>4</v>
      </c>
      <c r="T1027">
        <f t="shared" ref="T1027:T1090" si="291">IF(H1027="","",VALUE(LEFT(H1027,FIND(" ",H1027)-1)))</f>
        <v>2</v>
      </c>
      <c r="U1027">
        <v>10</v>
      </c>
      <c r="V1027">
        <f t="shared" ref="V1027:V1090" si="292">IF(L1027="",0,IF(ISNUMBER(SEARCH("Bathroom",L1027)),1,0))</f>
        <v>0</v>
      </c>
      <c r="W1027">
        <f t="shared" ref="W1027:W1090" si="293">IF(L1027="",0,IF(ISNUMBER(SEARCH("Dining room",L1027)),1,0))</f>
        <v>0</v>
      </c>
      <c r="X1027">
        <f t="shared" ref="X1027:X1090" si="294">IF(L1027="",0,IF(ISNUMBER(SEARCH("Office",L1027)),1,0))</f>
        <v>0</v>
      </c>
      <c r="Y1027">
        <f t="shared" ref="Y1027:Y1090" si="295">IF(L1027="",0,IF(ISNUMBER(SEARCH("Bedroom",L1027)),1,0))</f>
        <v>0</v>
      </c>
      <c r="Z1027">
        <f t="shared" ref="Z1027:Z1090" si="296">IF(L1027="",0,IF(ISNUMBER(SEARCH("Living room",L1027)),1,0))</f>
        <v>1</v>
      </c>
      <c r="AA1027">
        <f t="shared" ref="AA1027:AA1090" si="297">IF(M1027="",0, IF(ISNUMBER(SEARCH("By yourself",M1027)), 1, 0))</f>
        <v>1</v>
      </c>
      <c r="AB1027">
        <f t="shared" ref="AB1027:AB1090" si="298">IF(M1027="", 0, IF(ISNUMBER(SEARCH("Friends", M1027)), 1, 0))</f>
        <v>0</v>
      </c>
      <c r="AC1027">
        <f t="shared" ref="AC1027:AC1090" si="299">IF(M1027="",0,IF(ISNUMBER(SEARCH("Family members", M1027)), 1, 0))</f>
        <v>0</v>
      </c>
      <c r="AD1027">
        <f t="shared" ref="AD1027:AD1090" si="300">IF(M1027="", 0, IF(ISNUMBER(SEARCH("Coworkers/Classmates", M1027)), 1, 0))</f>
        <v>0</v>
      </c>
      <c r="AE1027">
        <f t="shared" ref="AE1027:AE1090" si="301">IF(M1027="", 0, IF(ISNUMBER(SEARCH("Strangers", M1027)), 1, 0))</f>
        <v>0</v>
      </c>
      <c r="AF1027">
        <f t="shared" ref="AF1027:AF1090" si="302">IF(N1027="", 0, IF(ISNUMBER(SEARCH("Spring", N1027)), 1, 0))</f>
        <v>1</v>
      </c>
      <c r="AG1027">
        <f t="shared" ref="AG1027:AG1090" si="303">IF(N1027="", 0, IF(ISNUMBER(SEARCH("Summer", N1027)), 1, 0))</f>
        <v>0</v>
      </c>
      <c r="AH1027">
        <f t="shared" ref="AH1027:AH1090" si="304">IF(N1027="", 0, IF(ISNUMBER(SEARCH("Fall", N1027)), 1, 0))</f>
        <v>0</v>
      </c>
      <c r="AI1027">
        <f t="shared" ref="AI1027:AI1090" si="305">IF(N1027="", 0, IF(ISNUMBER(SEARCH("Winter", N1027)), 1, 0))</f>
        <v>0</v>
      </c>
    </row>
    <row r="1028" spans="1:35" x14ac:dyDescent="0.2">
      <c r="A1028">
        <v>244</v>
      </c>
      <c r="B1028" t="s">
        <v>749</v>
      </c>
      <c r="C1028">
        <v>6</v>
      </c>
      <c r="D1028" t="s">
        <v>2953</v>
      </c>
      <c r="E1028" t="s">
        <v>20</v>
      </c>
      <c r="F1028" t="s">
        <v>19</v>
      </c>
      <c r="G1028" t="s">
        <v>20</v>
      </c>
      <c r="H1028" t="s">
        <v>18</v>
      </c>
      <c r="I1028">
        <v>2</v>
      </c>
      <c r="J1028">
        <v>2</v>
      </c>
      <c r="K1028">
        <v>1000</v>
      </c>
      <c r="L1028" t="s">
        <v>47</v>
      </c>
      <c r="M1028" t="s">
        <v>48</v>
      </c>
      <c r="N1028" t="s">
        <v>36</v>
      </c>
      <c r="O1028" t="s">
        <v>590</v>
      </c>
      <c r="P1028" t="s">
        <v>2954</v>
      </c>
      <c r="Q1028">
        <f t="shared" si="288"/>
        <v>2</v>
      </c>
      <c r="R1028">
        <f t="shared" si="289"/>
        <v>3</v>
      </c>
      <c r="S1028">
        <f t="shared" si="290"/>
        <v>2</v>
      </c>
      <c r="T1028">
        <f t="shared" si="291"/>
        <v>4</v>
      </c>
      <c r="U1028">
        <v>1000</v>
      </c>
      <c r="V1028">
        <f t="shared" si="292"/>
        <v>0</v>
      </c>
      <c r="W1028">
        <f t="shared" si="293"/>
        <v>0</v>
      </c>
      <c r="X1028">
        <f t="shared" si="294"/>
        <v>1</v>
      </c>
      <c r="Y1028">
        <f t="shared" si="295"/>
        <v>0</v>
      </c>
      <c r="Z1028">
        <f t="shared" si="296"/>
        <v>1</v>
      </c>
      <c r="AA1028">
        <f t="shared" si="297"/>
        <v>1</v>
      </c>
      <c r="AB1028">
        <f t="shared" si="298"/>
        <v>1</v>
      </c>
      <c r="AC1028">
        <f t="shared" si="299"/>
        <v>1</v>
      </c>
      <c r="AD1028">
        <f t="shared" si="300"/>
        <v>0</v>
      </c>
      <c r="AE1028">
        <f t="shared" si="301"/>
        <v>0</v>
      </c>
      <c r="AF1028">
        <f t="shared" si="302"/>
        <v>0</v>
      </c>
      <c r="AG1028">
        <f t="shared" si="303"/>
        <v>0</v>
      </c>
      <c r="AH1028">
        <f t="shared" si="304"/>
        <v>0</v>
      </c>
      <c r="AI1028">
        <f t="shared" si="305"/>
        <v>1</v>
      </c>
    </row>
    <row r="1029" spans="1:35" x14ac:dyDescent="0.2">
      <c r="A1029">
        <v>245</v>
      </c>
      <c r="B1029" t="s">
        <v>749</v>
      </c>
      <c r="C1029">
        <v>8</v>
      </c>
      <c r="D1029" t="s">
        <v>2955</v>
      </c>
      <c r="E1029" t="s">
        <v>18</v>
      </c>
      <c r="F1029" t="s">
        <v>19</v>
      </c>
      <c r="G1029" t="s">
        <v>19</v>
      </c>
      <c r="H1029" t="s">
        <v>18</v>
      </c>
      <c r="I1029">
        <v>4</v>
      </c>
      <c r="J1029">
        <v>3</v>
      </c>
      <c r="K1029">
        <v>2000</v>
      </c>
      <c r="L1029" t="s">
        <v>70</v>
      </c>
      <c r="M1029" t="s">
        <v>48</v>
      </c>
      <c r="N1029" t="s">
        <v>147</v>
      </c>
      <c r="O1029" t="s">
        <v>955</v>
      </c>
      <c r="P1029" t="s">
        <v>2956</v>
      </c>
      <c r="Q1029">
        <f t="shared" si="288"/>
        <v>4</v>
      </c>
      <c r="R1029">
        <f t="shared" si="289"/>
        <v>3</v>
      </c>
      <c r="S1029">
        <f t="shared" si="290"/>
        <v>3</v>
      </c>
      <c r="T1029">
        <f t="shared" si="291"/>
        <v>4</v>
      </c>
      <c r="U1029">
        <v>2000</v>
      </c>
      <c r="V1029">
        <f t="shared" si="292"/>
        <v>0</v>
      </c>
      <c r="W1029">
        <f t="shared" si="293"/>
        <v>0</v>
      </c>
      <c r="X1029">
        <f t="shared" si="294"/>
        <v>0</v>
      </c>
      <c r="Y1029">
        <f t="shared" si="295"/>
        <v>1</v>
      </c>
      <c r="Z1029">
        <f t="shared" si="296"/>
        <v>0</v>
      </c>
      <c r="AA1029">
        <f t="shared" si="297"/>
        <v>1</v>
      </c>
      <c r="AB1029">
        <f t="shared" si="298"/>
        <v>1</v>
      </c>
      <c r="AC1029">
        <f t="shared" si="299"/>
        <v>1</v>
      </c>
      <c r="AD1029">
        <f t="shared" si="300"/>
        <v>0</v>
      </c>
      <c r="AE1029">
        <f t="shared" si="301"/>
        <v>0</v>
      </c>
      <c r="AF1029">
        <f t="shared" si="302"/>
        <v>0</v>
      </c>
      <c r="AG1029">
        <f t="shared" si="303"/>
        <v>0</v>
      </c>
      <c r="AH1029">
        <f t="shared" si="304"/>
        <v>1</v>
      </c>
      <c r="AI1029">
        <f t="shared" si="305"/>
        <v>1</v>
      </c>
    </row>
    <row r="1030" spans="1:35" x14ac:dyDescent="0.2">
      <c r="A1030">
        <v>246</v>
      </c>
      <c r="B1030" t="s">
        <v>749</v>
      </c>
      <c r="C1030">
        <v>8</v>
      </c>
      <c r="D1030" t="s">
        <v>2957</v>
      </c>
      <c r="E1030" t="s">
        <v>39</v>
      </c>
      <c r="F1030" t="s">
        <v>39</v>
      </c>
      <c r="G1030" t="s">
        <v>39</v>
      </c>
      <c r="H1030" t="s">
        <v>21</v>
      </c>
      <c r="I1030">
        <v>3</v>
      </c>
      <c r="J1030">
        <v>5</v>
      </c>
      <c r="K1030">
        <v>40</v>
      </c>
      <c r="L1030" t="s">
        <v>194</v>
      </c>
      <c r="M1030" t="s">
        <v>135</v>
      </c>
      <c r="N1030" t="s">
        <v>36</v>
      </c>
      <c r="O1030" t="s">
        <v>540</v>
      </c>
      <c r="P1030" t="s">
        <v>2958</v>
      </c>
      <c r="Q1030">
        <f t="shared" si="288"/>
        <v>5</v>
      </c>
      <c r="R1030">
        <f t="shared" si="289"/>
        <v>5</v>
      </c>
      <c r="S1030">
        <f t="shared" si="290"/>
        <v>5</v>
      </c>
      <c r="T1030">
        <f t="shared" si="291"/>
        <v>1</v>
      </c>
      <c r="U1030">
        <v>40</v>
      </c>
      <c r="V1030">
        <f t="shared" si="292"/>
        <v>0</v>
      </c>
      <c r="W1030">
        <f t="shared" si="293"/>
        <v>0</v>
      </c>
      <c r="X1030">
        <f t="shared" si="294"/>
        <v>0</v>
      </c>
      <c r="Y1030">
        <f t="shared" si="295"/>
        <v>1</v>
      </c>
      <c r="Z1030">
        <f t="shared" si="296"/>
        <v>1</v>
      </c>
      <c r="AA1030">
        <f t="shared" si="297"/>
        <v>1</v>
      </c>
      <c r="AB1030">
        <f t="shared" si="298"/>
        <v>1</v>
      </c>
      <c r="AC1030">
        <f t="shared" si="299"/>
        <v>0</v>
      </c>
      <c r="AD1030">
        <f t="shared" si="300"/>
        <v>0</v>
      </c>
      <c r="AE1030">
        <f t="shared" si="301"/>
        <v>0</v>
      </c>
      <c r="AF1030">
        <f t="shared" si="302"/>
        <v>0</v>
      </c>
      <c r="AG1030">
        <f t="shared" si="303"/>
        <v>0</v>
      </c>
      <c r="AH1030">
        <f t="shared" si="304"/>
        <v>0</v>
      </c>
      <c r="AI1030">
        <f t="shared" si="305"/>
        <v>1</v>
      </c>
    </row>
    <row r="1031" spans="1:35" x14ac:dyDescent="0.2">
      <c r="A1031">
        <v>247</v>
      </c>
      <c r="B1031" t="s">
        <v>749</v>
      </c>
      <c r="C1031">
        <v>7</v>
      </c>
      <c r="D1031" t="s">
        <v>2959</v>
      </c>
      <c r="E1031" t="s">
        <v>20</v>
      </c>
      <c r="F1031" t="s">
        <v>18</v>
      </c>
      <c r="G1031" t="s">
        <v>39</v>
      </c>
      <c r="H1031" t="s">
        <v>21</v>
      </c>
      <c r="I1031">
        <v>4</v>
      </c>
      <c r="J1031">
        <v>3</v>
      </c>
      <c r="K1031" s="1">
        <v>50</v>
      </c>
      <c r="L1031" t="s">
        <v>601</v>
      </c>
      <c r="M1031" t="s">
        <v>468</v>
      </c>
      <c r="N1031" t="s">
        <v>84</v>
      </c>
      <c r="O1031" t="s">
        <v>943</v>
      </c>
      <c r="P1031" t="s">
        <v>2960</v>
      </c>
      <c r="Q1031">
        <f t="shared" si="288"/>
        <v>2</v>
      </c>
      <c r="R1031">
        <f t="shared" si="289"/>
        <v>4</v>
      </c>
      <c r="S1031">
        <f t="shared" si="290"/>
        <v>5</v>
      </c>
      <c r="T1031">
        <f t="shared" si="291"/>
        <v>1</v>
      </c>
      <c r="U1031">
        <v>50</v>
      </c>
      <c r="V1031">
        <f t="shared" si="292"/>
        <v>0</v>
      </c>
      <c r="W1031">
        <f t="shared" si="293"/>
        <v>1</v>
      </c>
      <c r="X1031">
        <f t="shared" si="294"/>
        <v>0</v>
      </c>
      <c r="Y1031">
        <f t="shared" si="295"/>
        <v>1</v>
      </c>
      <c r="Z1031">
        <f t="shared" si="296"/>
        <v>1</v>
      </c>
      <c r="AA1031">
        <f t="shared" si="297"/>
        <v>1</v>
      </c>
      <c r="AB1031">
        <f t="shared" si="298"/>
        <v>1</v>
      </c>
      <c r="AC1031">
        <f t="shared" si="299"/>
        <v>1</v>
      </c>
      <c r="AD1031">
        <f t="shared" si="300"/>
        <v>1</v>
      </c>
      <c r="AE1031">
        <f t="shared" si="301"/>
        <v>1</v>
      </c>
      <c r="AF1031">
        <f t="shared" si="302"/>
        <v>0</v>
      </c>
      <c r="AG1031">
        <f t="shared" si="303"/>
        <v>1</v>
      </c>
      <c r="AH1031">
        <f t="shared" si="304"/>
        <v>0</v>
      </c>
      <c r="AI1031">
        <f t="shared" si="305"/>
        <v>0</v>
      </c>
    </row>
    <row r="1032" spans="1:35" x14ac:dyDescent="0.2">
      <c r="A1032">
        <v>248</v>
      </c>
      <c r="B1032" t="s">
        <v>749</v>
      </c>
      <c r="C1032">
        <v>4</v>
      </c>
      <c r="D1032" t="s">
        <v>2961</v>
      </c>
      <c r="E1032" t="s">
        <v>19</v>
      </c>
      <c r="F1032" t="s">
        <v>19</v>
      </c>
      <c r="G1032" t="s">
        <v>18</v>
      </c>
      <c r="H1032" t="s">
        <v>20</v>
      </c>
      <c r="I1032">
        <v>4</v>
      </c>
      <c r="J1032">
        <v>2</v>
      </c>
      <c r="K1032">
        <v>250</v>
      </c>
      <c r="L1032" t="s">
        <v>41</v>
      </c>
      <c r="M1032" t="s">
        <v>42</v>
      </c>
      <c r="N1032" t="s">
        <v>215</v>
      </c>
      <c r="O1032" t="s">
        <v>787</v>
      </c>
      <c r="P1032" t="s">
        <v>1420</v>
      </c>
      <c r="Q1032">
        <f t="shared" si="288"/>
        <v>3</v>
      </c>
      <c r="R1032">
        <f t="shared" si="289"/>
        <v>3</v>
      </c>
      <c r="S1032">
        <f t="shared" si="290"/>
        <v>4</v>
      </c>
      <c r="T1032">
        <f t="shared" si="291"/>
        <v>2</v>
      </c>
      <c r="U1032">
        <v>250</v>
      </c>
      <c r="V1032">
        <f t="shared" si="292"/>
        <v>0</v>
      </c>
      <c r="W1032">
        <f t="shared" si="293"/>
        <v>0</v>
      </c>
      <c r="X1032">
        <f t="shared" si="294"/>
        <v>0</v>
      </c>
      <c r="Y1032">
        <f t="shared" si="295"/>
        <v>0</v>
      </c>
      <c r="Z1032">
        <f t="shared" si="296"/>
        <v>1</v>
      </c>
      <c r="AA1032">
        <f t="shared" si="297"/>
        <v>0</v>
      </c>
      <c r="AB1032">
        <f t="shared" si="298"/>
        <v>1</v>
      </c>
      <c r="AC1032">
        <f t="shared" si="299"/>
        <v>0</v>
      </c>
      <c r="AD1032">
        <f t="shared" si="300"/>
        <v>0</v>
      </c>
      <c r="AE1032">
        <f t="shared" si="301"/>
        <v>0</v>
      </c>
      <c r="AF1032">
        <f t="shared" si="302"/>
        <v>1</v>
      </c>
      <c r="AG1032">
        <f t="shared" si="303"/>
        <v>0</v>
      </c>
      <c r="AH1032">
        <f t="shared" si="304"/>
        <v>0</v>
      </c>
      <c r="AI1032">
        <f t="shared" si="305"/>
        <v>0</v>
      </c>
    </row>
    <row r="1033" spans="1:35" x14ac:dyDescent="0.2">
      <c r="A1033">
        <v>249</v>
      </c>
      <c r="B1033" t="s">
        <v>749</v>
      </c>
      <c r="C1033">
        <v>4</v>
      </c>
      <c r="D1033" t="s">
        <v>2962</v>
      </c>
      <c r="E1033" t="s">
        <v>20</v>
      </c>
      <c r="F1033" t="s">
        <v>18</v>
      </c>
      <c r="G1033" t="s">
        <v>18</v>
      </c>
      <c r="H1033" t="s">
        <v>20</v>
      </c>
      <c r="I1033">
        <v>1</v>
      </c>
      <c r="J1033">
        <v>2</v>
      </c>
      <c r="K1033">
        <v>100</v>
      </c>
      <c r="L1033" t="s">
        <v>230</v>
      </c>
      <c r="M1033" t="s">
        <v>468</v>
      </c>
      <c r="N1033" t="s">
        <v>36</v>
      </c>
      <c r="O1033" t="s">
        <v>1532</v>
      </c>
      <c r="P1033" t="s">
        <v>2963</v>
      </c>
      <c r="Q1033">
        <f t="shared" si="288"/>
        <v>2</v>
      </c>
      <c r="R1033">
        <f t="shared" si="289"/>
        <v>4</v>
      </c>
      <c r="S1033">
        <f t="shared" si="290"/>
        <v>4</v>
      </c>
      <c r="T1033">
        <f t="shared" si="291"/>
        <v>2</v>
      </c>
      <c r="U1033">
        <v>100</v>
      </c>
      <c r="V1033">
        <f t="shared" si="292"/>
        <v>1</v>
      </c>
      <c r="W1033">
        <f t="shared" si="293"/>
        <v>1</v>
      </c>
      <c r="X1033">
        <f t="shared" si="294"/>
        <v>1</v>
      </c>
      <c r="Y1033">
        <f t="shared" si="295"/>
        <v>1</v>
      </c>
      <c r="Z1033">
        <f t="shared" si="296"/>
        <v>1</v>
      </c>
      <c r="AA1033">
        <f t="shared" si="297"/>
        <v>1</v>
      </c>
      <c r="AB1033">
        <f t="shared" si="298"/>
        <v>1</v>
      </c>
      <c r="AC1033">
        <f t="shared" si="299"/>
        <v>1</v>
      </c>
      <c r="AD1033">
        <f t="shared" si="300"/>
        <v>1</v>
      </c>
      <c r="AE1033">
        <f t="shared" si="301"/>
        <v>1</v>
      </c>
      <c r="AF1033">
        <f t="shared" si="302"/>
        <v>0</v>
      </c>
      <c r="AG1033">
        <f t="shared" si="303"/>
        <v>0</v>
      </c>
      <c r="AH1033">
        <f t="shared" si="304"/>
        <v>0</v>
      </c>
      <c r="AI1033">
        <f t="shared" si="305"/>
        <v>1</v>
      </c>
    </row>
    <row r="1034" spans="1:35" x14ac:dyDescent="0.2">
      <c r="A1034">
        <v>250</v>
      </c>
      <c r="B1034" t="s">
        <v>749</v>
      </c>
      <c r="C1034">
        <v>5</v>
      </c>
      <c r="D1034" t="s">
        <v>2964</v>
      </c>
      <c r="E1034" t="s">
        <v>20</v>
      </c>
      <c r="F1034" t="s">
        <v>19</v>
      </c>
      <c r="G1034" t="s">
        <v>18</v>
      </c>
      <c r="H1034" t="s">
        <v>20</v>
      </c>
      <c r="I1034">
        <v>2</v>
      </c>
      <c r="J1034">
        <v>5</v>
      </c>
      <c r="K1034" t="s">
        <v>2965</v>
      </c>
      <c r="L1034" t="s">
        <v>494</v>
      </c>
      <c r="M1034" t="s">
        <v>280</v>
      </c>
      <c r="N1034" t="s">
        <v>215</v>
      </c>
      <c r="O1034" t="s">
        <v>2966</v>
      </c>
      <c r="P1034" t="s">
        <v>2967</v>
      </c>
      <c r="Q1034">
        <f t="shared" si="288"/>
        <v>2</v>
      </c>
      <c r="R1034">
        <f t="shared" si="289"/>
        <v>3</v>
      </c>
      <c r="S1034">
        <f t="shared" si="290"/>
        <v>4</v>
      </c>
      <c r="T1034">
        <f t="shared" si="291"/>
        <v>2</v>
      </c>
      <c r="U1034">
        <v>1000000</v>
      </c>
      <c r="V1034">
        <f t="shared" si="292"/>
        <v>0</v>
      </c>
      <c r="W1034">
        <f t="shared" si="293"/>
        <v>1</v>
      </c>
      <c r="X1034">
        <f t="shared" si="294"/>
        <v>1</v>
      </c>
      <c r="Y1034">
        <f t="shared" si="295"/>
        <v>1</v>
      </c>
      <c r="Z1034">
        <f t="shared" si="296"/>
        <v>1</v>
      </c>
      <c r="AA1034">
        <f t="shared" si="297"/>
        <v>0</v>
      </c>
      <c r="AB1034">
        <f t="shared" si="298"/>
        <v>1</v>
      </c>
      <c r="AC1034">
        <f t="shared" si="299"/>
        <v>1</v>
      </c>
      <c r="AD1034">
        <f t="shared" si="300"/>
        <v>1</v>
      </c>
      <c r="AE1034">
        <f t="shared" si="301"/>
        <v>0</v>
      </c>
      <c r="AF1034">
        <f t="shared" si="302"/>
        <v>1</v>
      </c>
      <c r="AG1034">
        <f t="shared" si="303"/>
        <v>0</v>
      </c>
      <c r="AH1034">
        <f t="shared" si="304"/>
        <v>0</v>
      </c>
      <c r="AI1034">
        <f t="shared" si="305"/>
        <v>0</v>
      </c>
    </row>
    <row r="1035" spans="1:35" x14ac:dyDescent="0.2">
      <c r="A1035">
        <v>251</v>
      </c>
      <c r="B1035" t="s">
        <v>749</v>
      </c>
      <c r="C1035">
        <v>7</v>
      </c>
      <c r="D1035" t="s">
        <v>2968</v>
      </c>
      <c r="E1035" t="s">
        <v>21</v>
      </c>
      <c r="F1035" t="s">
        <v>39</v>
      </c>
      <c r="G1035" t="s">
        <v>18</v>
      </c>
      <c r="H1035" t="s">
        <v>21</v>
      </c>
      <c r="I1035">
        <v>4</v>
      </c>
      <c r="J1035">
        <v>3</v>
      </c>
      <c r="K1035">
        <v>100</v>
      </c>
      <c r="L1035" t="s">
        <v>494</v>
      </c>
      <c r="M1035" t="s">
        <v>80</v>
      </c>
      <c r="N1035" t="s">
        <v>43</v>
      </c>
      <c r="O1035" t="s">
        <v>2969</v>
      </c>
      <c r="P1035" t="s">
        <v>2970</v>
      </c>
      <c r="Q1035">
        <f t="shared" si="288"/>
        <v>1</v>
      </c>
      <c r="R1035">
        <f t="shared" si="289"/>
        <v>5</v>
      </c>
      <c r="S1035">
        <f t="shared" si="290"/>
        <v>4</v>
      </c>
      <c r="T1035">
        <f t="shared" si="291"/>
        <v>1</v>
      </c>
      <c r="U1035">
        <v>100</v>
      </c>
      <c r="V1035">
        <f t="shared" si="292"/>
        <v>0</v>
      </c>
      <c r="W1035">
        <f t="shared" si="293"/>
        <v>1</v>
      </c>
      <c r="X1035">
        <f t="shared" si="294"/>
        <v>1</v>
      </c>
      <c r="Y1035">
        <f t="shared" si="295"/>
        <v>1</v>
      </c>
      <c r="Z1035">
        <f t="shared" si="296"/>
        <v>1</v>
      </c>
      <c r="AA1035">
        <f t="shared" si="297"/>
        <v>1</v>
      </c>
      <c r="AB1035">
        <f t="shared" si="298"/>
        <v>1</v>
      </c>
      <c r="AC1035">
        <f t="shared" si="299"/>
        <v>0</v>
      </c>
      <c r="AD1035">
        <f t="shared" si="300"/>
        <v>0</v>
      </c>
      <c r="AE1035">
        <f t="shared" si="301"/>
        <v>1</v>
      </c>
      <c r="AF1035">
        <f t="shared" si="302"/>
        <v>1</v>
      </c>
      <c r="AG1035">
        <f t="shared" si="303"/>
        <v>1</v>
      </c>
      <c r="AH1035">
        <f t="shared" si="304"/>
        <v>0</v>
      </c>
      <c r="AI1035">
        <f t="shared" si="305"/>
        <v>0</v>
      </c>
    </row>
    <row r="1036" spans="1:35" x14ac:dyDescent="0.2">
      <c r="A1036">
        <v>252</v>
      </c>
      <c r="B1036" t="s">
        <v>749</v>
      </c>
      <c r="Q1036" t="str">
        <f t="shared" si="288"/>
        <v/>
      </c>
      <c r="R1036" t="str">
        <f t="shared" si="289"/>
        <v/>
      </c>
      <c r="S1036" t="str">
        <f t="shared" si="290"/>
        <v/>
      </c>
      <c r="T1036" t="str">
        <f t="shared" si="291"/>
        <v/>
      </c>
      <c r="V1036">
        <f t="shared" si="292"/>
        <v>0</v>
      </c>
      <c r="W1036">
        <f t="shared" si="293"/>
        <v>0</v>
      </c>
      <c r="X1036">
        <f t="shared" si="294"/>
        <v>0</v>
      </c>
      <c r="Y1036">
        <f t="shared" si="295"/>
        <v>0</v>
      </c>
      <c r="Z1036">
        <f t="shared" si="296"/>
        <v>0</v>
      </c>
      <c r="AA1036">
        <f t="shared" si="297"/>
        <v>0</v>
      </c>
      <c r="AB1036">
        <f t="shared" si="298"/>
        <v>0</v>
      </c>
      <c r="AC1036">
        <f t="shared" si="299"/>
        <v>0</v>
      </c>
      <c r="AD1036">
        <f t="shared" si="300"/>
        <v>0</v>
      </c>
      <c r="AE1036">
        <f t="shared" si="301"/>
        <v>0</v>
      </c>
      <c r="AF1036">
        <f t="shared" si="302"/>
        <v>0</v>
      </c>
      <c r="AG1036">
        <f t="shared" si="303"/>
        <v>0</v>
      </c>
      <c r="AH1036">
        <f t="shared" si="304"/>
        <v>0</v>
      </c>
      <c r="AI1036">
        <f t="shared" si="305"/>
        <v>0</v>
      </c>
    </row>
    <row r="1037" spans="1:35" x14ac:dyDescent="0.2">
      <c r="A1037">
        <v>253</v>
      </c>
      <c r="B1037" t="s">
        <v>749</v>
      </c>
      <c r="Q1037" t="str">
        <f t="shared" si="288"/>
        <v/>
      </c>
      <c r="R1037" t="str">
        <f t="shared" si="289"/>
        <v/>
      </c>
      <c r="S1037" t="str">
        <f t="shared" si="290"/>
        <v/>
      </c>
      <c r="T1037" t="str">
        <f t="shared" si="291"/>
        <v/>
      </c>
      <c r="V1037">
        <f t="shared" si="292"/>
        <v>0</v>
      </c>
      <c r="W1037">
        <f t="shared" si="293"/>
        <v>0</v>
      </c>
      <c r="X1037">
        <f t="shared" si="294"/>
        <v>0</v>
      </c>
      <c r="Y1037">
        <f t="shared" si="295"/>
        <v>0</v>
      </c>
      <c r="Z1037">
        <f t="shared" si="296"/>
        <v>0</v>
      </c>
      <c r="AA1037">
        <f t="shared" si="297"/>
        <v>0</v>
      </c>
      <c r="AB1037">
        <f t="shared" si="298"/>
        <v>0</v>
      </c>
      <c r="AC1037">
        <f t="shared" si="299"/>
        <v>0</v>
      </c>
      <c r="AD1037">
        <f t="shared" si="300"/>
        <v>0</v>
      </c>
      <c r="AE1037">
        <f t="shared" si="301"/>
        <v>0</v>
      </c>
      <c r="AF1037">
        <f t="shared" si="302"/>
        <v>0</v>
      </c>
      <c r="AG1037">
        <f t="shared" si="303"/>
        <v>0</v>
      </c>
      <c r="AH1037">
        <f t="shared" si="304"/>
        <v>0</v>
      </c>
      <c r="AI1037">
        <f t="shared" si="305"/>
        <v>0</v>
      </c>
    </row>
    <row r="1038" spans="1:35" x14ac:dyDescent="0.2">
      <c r="A1038">
        <v>254</v>
      </c>
      <c r="B1038" t="s">
        <v>749</v>
      </c>
      <c r="Q1038" t="str">
        <f t="shared" si="288"/>
        <v/>
      </c>
      <c r="R1038" t="str">
        <f t="shared" si="289"/>
        <v/>
      </c>
      <c r="S1038" t="str">
        <f t="shared" si="290"/>
        <v/>
      </c>
      <c r="T1038" t="str">
        <f t="shared" si="291"/>
        <v/>
      </c>
      <c r="V1038">
        <f t="shared" si="292"/>
        <v>0</v>
      </c>
      <c r="W1038">
        <f t="shared" si="293"/>
        <v>0</v>
      </c>
      <c r="X1038">
        <f t="shared" si="294"/>
        <v>0</v>
      </c>
      <c r="Y1038">
        <f t="shared" si="295"/>
        <v>0</v>
      </c>
      <c r="Z1038">
        <f t="shared" si="296"/>
        <v>0</v>
      </c>
      <c r="AA1038">
        <f t="shared" si="297"/>
        <v>0</v>
      </c>
      <c r="AB1038">
        <f t="shared" si="298"/>
        <v>0</v>
      </c>
      <c r="AC1038">
        <f t="shared" si="299"/>
        <v>0</v>
      </c>
      <c r="AD1038">
        <f t="shared" si="300"/>
        <v>0</v>
      </c>
      <c r="AE1038">
        <f t="shared" si="301"/>
        <v>0</v>
      </c>
      <c r="AF1038">
        <f t="shared" si="302"/>
        <v>0</v>
      </c>
      <c r="AG1038">
        <f t="shared" si="303"/>
        <v>0</v>
      </c>
      <c r="AH1038">
        <f t="shared" si="304"/>
        <v>0</v>
      </c>
      <c r="AI1038">
        <f t="shared" si="305"/>
        <v>0</v>
      </c>
    </row>
    <row r="1039" spans="1:35" x14ac:dyDescent="0.2">
      <c r="A1039">
        <v>255</v>
      </c>
      <c r="B1039" t="s">
        <v>749</v>
      </c>
      <c r="Q1039" t="str">
        <f t="shared" si="288"/>
        <v/>
      </c>
      <c r="R1039" t="str">
        <f t="shared" si="289"/>
        <v/>
      </c>
      <c r="S1039" t="str">
        <f t="shared" si="290"/>
        <v/>
      </c>
      <c r="T1039" t="str">
        <f t="shared" si="291"/>
        <v/>
      </c>
      <c r="V1039">
        <f t="shared" si="292"/>
        <v>0</v>
      </c>
      <c r="W1039">
        <f t="shared" si="293"/>
        <v>0</v>
      </c>
      <c r="X1039">
        <f t="shared" si="294"/>
        <v>0</v>
      </c>
      <c r="Y1039">
        <f t="shared" si="295"/>
        <v>0</v>
      </c>
      <c r="Z1039">
        <f t="shared" si="296"/>
        <v>0</v>
      </c>
      <c r="AA1039">
        <f t="shared" si="297"/>
        <v>0</v>
      </c>
      <c r="AB1039">
        <f t="shared" si="298"/>
        <v>0</v>
      </c>
      <c r="AC1039">
        <f t="shared" si="299"/>
        <v>0</v>
      </c>
      <c r="AD1039">
        <f t="shared" si="300"/>
        <v>0</v>
      </c>
      <c r="AE1039">
        <f t="shared" si="301"/>
        <v>0</v>
      </c>
      <c r="AF1039">
        <f t="shared" si="302"/>
        <v>0</v>
      </c>
      <c r="AG1039">
        <f t="shared" si="303"/>
        <v>0</v>
      </c>
      <c r="AH1039">
        <f t="shared" si="304"/>
        <v>0</v>
      </c>
      <c r="AI1039">
        <f t="shared" si="305"/>
        <v>0</v>
      </c>
    </row>
    <row r="1040" spans="1:35" x14ac:dyDescent="0.2">
      <c r="A1040">
        <v>256</v>
      </c>
      <c r="B1040" t="s">
        <v>749</v>
      </c>
      <c r="E1040" t="s">
        <v>21</v>
      </c>
      <c r="Q1040">
        <f t="shared" si="288"/>
        <v>1</v>
      </c>
      <c r="R1040" t="str">
        <f t="shared" si="289"/>
        <v/>
      </c>
      <c r="S1040" t="str">
        <f t="shared" si="290"/>
        <v/>
      </c>
      <c r="T1040" t="str">
        <f t="shared" si="291"/>
        <v/>
      </c>
      <c r="V1040">
        <f t="shared" si="292"/>
        <v>0</v>
      </c>
      <c r="W1040">
        <f t="shared" si="293"/>
        <v>0</v>
      </c>
      <c r="X1040">
        <f t="shared" si="294"/>
        <v>0</v>
      </c>
      <c r="Y1040">
        <f t="shared" si="295"/>
        <v>0</v>
      </c>
      <c r="Z1040">
        <f t="shared" si="296"/>
        <v>0</v>
      </c>
      <c r="AA1040">
        <f t="shared" si="297"/>
        <v>0</v>
      </c>
      <c r="AB1040">
        <f t="shared" si="298"/>
        <v>0</v>
      </c>
      <c r="AC1040">
        <f t="shared" si="299"/>
        <v>0</v>
      </c>
      <c r="AD1040">
        <f t="shared" si="300"/>
        <v>0</v>
      </c>
      <c r="AE1040">
        <f t="shared" si="301"/>
        <v>0</v>
      </c>
      <c r="AF1040">
        <f t="shared" si="302"/>
        <v>0</v>
      </c>
      <c r="AG1040">
        <f t="shared" si="303"/>
        <v>0</v>
      </c>
      <c r="AH1040">
        <f t="shared" si="304"/>
        <v>0</v>
      </c>
      <c r="AI1040">
        <f t="shared" si="305"/>
        <v>0</v>
      </c>
    </row>
    <row r="1041" spans="1:35" x14ac:dyDescent="0.2">
      <c r="A1041">
        <v>257</v>
      </c>
      <c r="B1041" t="s">
        <v>749</v>
      </c>
      <c r="Q1041" t="str">
        <f t="shared" si="288"/>
        <v/>
      </c>
      <c r="R1041" t="str">
        <f t="shared" si="289"/>
        <v/>
      </c>
      <c r="S1041" t="str">
        <f t="shared" si="290"/>
        <v/>
      </c>
      <c r="T1041" t="str">
        <f t="shared" si="291"/>
        <v/>
      </c>
      <c r="V1041">
        <f t="shared" si="292"/>
        <v>0</v>
      </c>
      <c r="W1041">
        <f t="shared" si="293"/>
        <v>0</v>
      </c>
      <c r="X1041">
        <f t="shared" si="294"/>
        <v>0</v>
      </c>
      <c r="Y1041">
        <f t="shared" si="295"/>
        <v>0</v>
      </c>
      <c r="Z1041">
        <f t="shared" si="296"/>
        <v>0</v>
      </c>
      <c r="AA1041">
        <f t="shared" si="297"/>
        <v>0</v>
      </c>
      <c r="AB1041">
        <f t="shared" si="298"/>
        <v>0</v>
      </c>
      <c r="AC1041">
        <f t="shared" si="299"/>
        <v>0</v>
      </c>
      <c r="AD1041">
        <f t="shared" si="300"/>
        <v>0</v>
      </c>
      <c r="AE1041">
        <f t="shared" si="301"/>
        <v>0</v>
      </c>
      <c r="AF1041">
        <f t="shared" si="302"/>
        <v>0</v>
      </c>
      <c r="AG1041">
        <f t="shared" si="303"/>
        <v>0</v>
      </c>
      <c r="AH1041">
        <f t="shared" si="304"/>
        <v>0</v>
      </c>
      <c r="AI1041">
        <f t="shared" si="305"/>
        <v>0</v>
      </c>
    </row>
    <row r="1042" spans="1:35" x14ac:dyDescent="0.2">
      <c r="A1042">
        <v>258</v>
      </c>
      <c r="B1042" t="s">
        <v>749</v>
      </c>
      <c r="Q1042" t="str">
        <f t="shared" si="288"/>
        <v/>
      </c>
      <c r="R1042" t="str">
        <f t="shared" si="289"/>
        <v/>
      </c>
      <c r="S1042" t="str">
        <f t="shared" si="290"/>
        <v/>
      </c>
      <c r="T1042" t="str">
        <f t="shared" si="291"/>
        <v/>
      </c>
      <c r="V1042">
        <f t="shared" si="292"/>
        <v>0</v>
      </c>
      <c r="W1042">
        <f t="shared" si="293"/>
        <v>0</v>
      </c>
      <c r="X1042">
        <f t="shared" si="294"/>
        <v>0</v>
      </c>
      <c r="Y1042">
        <f t="shared" si="295"/>
        <v>0</v>
      </c>
      <c r="Z1042">
        <f t="shared" si="296"/>
        <v>0</v>
      </c>
      <c r="AA1042">
        <f t="shared" si="297"/>
        <v>0</v>
      </c>
      <c r="AB1042">
        <f t="shared" si="298"/>
        <v>0</v>
      </c>
      <c r="AC1042">
        <f t="shared" si="299"/>
        <v>0</v>
      </c>
      <c r="AD1042">
        <f t="shared" si="300"/>
        <v>0</v>
      </c>
      <c r="AE1042">
        <f t="shared" si="301"/>
        <v>0</v>
      </c>
      <c r="AF1042">
        <f t="shared" si="302"/>
        <v>0</v>
      </c>
      <c r="AG1042">
        <f t="shared" si="303"/>
        <v>0</v>
      </c>
      <c r="AH1042">
        <f t="shared" si="304"/>
        <v>0</v>
      </c>
      <c r="AI1042">
        <f t="shared" si="305"/>
        <v>0</v>
      </c>
    </row>
    <row r="1043" spans="1:35" x14ac:dyDescent="0.2">
      <c r="A1043">
        <v>259</v>
      </c>
      <c r="B1043" t="s">
        <v>749</v>
      </c>
      <c r="Q1043" t="str">
        <f t="shared" si="288"/>
        <v/>
      </c>
      <c r="R1043" t="str">
        <f t="shared" si="289"/>
        <v/>
      </c>
      <c r="S1043" t="str">
        <f t="shared" si="290"/>
        <v/>
      </c>
      <c r="T1043" t="str">
        <f t="shared" si="291"/>
        <v/>
      </c>
      <c r="V1043">
        <f t="shared" si="292"/>
        <v>0</v>
      </c>
      <c r="W1043">
        <f t="shared" si="293"/>
        <v>0</v>
      </c>
      <c r="X1043">
        <f t="shared" si="294"/>
        <v>0</v>
      </c>
      <c r="Y1043">
        <f t="shared" si="295"/>
        <v>0</v>
      </c>
      <c r="Z1043">
        <f t="shared" si="296"/>
        <v>0</v>
      </c>
      <c r="AA1043">
        <f t="shared" si="297"/>
        <v>0</v>
      </c>
      <c r="AB1043">
        <f t="shared" si="298"/>
        <v>0</v>
      </c>
      <c r="AC1043">
        <f t="shared" si="299"/>
        <v>0</v>
      </c>
      <c r="AD1043">
        <f t="shared" si="300"/>
        <v>0</v>
      </c>
      <c r="AE1043">
        <f t="shared" si="301"/>
        <v>0</v>
      </c>
      <c r="AF1043">
        <f t="shared" si="302"/>
        <v>0</v>
      </c>
      <c r="AG1043">
        <f t="shared" si="303"/>
        <v>0</v>
      </c>
      <c r="AH1043">
        <f t="shared" si="304"/>
        <v>0</v>
      </c>
      <c r="AI1043">
        <f t="shared" si="305"/>
        <v>0</v>
      </c>
    </row>
    <row r="1044" spans="1:35" x14ac:dyDescent="0.2">
      <c r="A1044">
        <v>260</v>
      </c>
      <c r="B1044" t="s">
        <v>749</v>
      </c>
      <c r="C1044">
        <v>7</v>
      </c>
      <c r="Q1044" t="str">
        <f t="shared" si="288"/>
        <v/>
      </c>
      <c r="R1044" t="str">
        <f t="shared" si="289"/>
        <v/>
      </c>
      <c r="S1044" t="str">
        <f t="shared" si="290"/>
        <v/>
      </c>
      <c r="T1044" t="str">
        <f t="shared" si="291"/>
        <v/>
      </c>
      <c r="V1044">
        <f t="shared" si="292"/>
        <v>0</v>
      </c>
      <c r="W1044">
        <f t="shared" si="293"/>
        <v>0</v>
      </c>
      <c r="X1044">
        <f t="shared" si="294"/>
        <v>0</v>
      </c>
      <c r="Y1044">
        <f t="shared" si="295"/>
        <v>0</v>
      </c>
      <c r="Z1044">
        <f t="shared" si="296"/>
        <v>0</v>
      </c>
      <c r="AA1044">
        <f t="shared" si="297"/>
        <v>0</v>
      </c>
      <c r="AB1044">
        <f t="shared" si="298"/>
        <v>0</v>
      </c>
      <c r="AC1044">
        <f t="shared" si="299"/>
        <v>0</v>
      </c>
      <c r="AD1044">
        <f t="shared" si="300"/>
        <v>0</v>
      </c>
      <c r="AE1044">
        <f t="shared" si="301"/>
        <v>0</v>
      </c>
      <c r="AF1044">
        <f t="shared" si="302"/>
        <v>0</v>
      </c>
      <c r="AG1044">
        <f t="shared" si="303"/>
        <v>0</v>
      </c>
      <c r="AH1044">
        <f t="shared" si="304"/>
        <v>0</v>
      </c>
      <c r="AI1044">
        <f t="shared" si="305"/>
        <v>0</v>
      </c>
    </row>
    <row r="1045" spans="1:35" x14ac:dyDescent="0.2">
      <c r="A1045">
        <v>261</v>
      </c>
      <c r="B1045" t="s">
        <v>749</v>
      </c>
      <c r="Q1045" t="str">
        <f t="shared" si="288"/>
        <v/>
      </c>
      <c r="R1045" t="str">
        <f t="shared" si="289"/>
        <v/>
      </c>
      <c r="S1045" t="str">
        <f t="shared" si="290"/>
        <v/>
      </c>
      <c r="T1045" t="str">
        <f t="shared" si="291"/>
        <v/>
      </c>
      <c r="V1045">
        <f t="shared" si="292"/>
        <v>0</v>
      </c>
      <c r="W1045">
        <f t="shared" si="293"/>
        <v>0</v>
      </c>
      <c r="X1045">
        <f t="shared" si="294"/>
        <v>0</v>
      </c>
      <c r="Y1045">
        <f t="shared" si="295"/>
        <v>0</v>
      </c>
      <c r="Z1045">
        <f t="shared" si="296"/>
        <v>0</v>
      </c>
      <c r="AA1045">
        <f t="shared" si="297"/>
        <v>0</v>
      </c>
      <c r="AB1045">
        <f t="shared" si="298"/>
        <v>0</v>
      </c>
      <c r="AC1045">
        <f t="shared" si="299"/>
        <v>0</v>
      </c>
      <c r="AD1045">
        <f t="shared" si="300"/>
        <v>0</v>
      </c>
      <c r="AE1045">
        <f t="shared" si="301"/>
        <v>0</v>
      </c>
      <c r="AF1045">
        <f t="shared" si="302"/>
        <v>0</v>
      </c>
      <c r="AG1045">
        <f t="shared" si="303"/>
        <v>0</v>
      </c>
      <c r="AH1045">
        <f t="shared" si="304"/>
        <v>0</v>
      </c>
      <c r="AI1045">
        <f t="shared" si="305"/>
        <v>0</v>
      </c>
    </row>
    <row r="1046" spans="1:35" x14ac:dyDescent="0.2">
      <c r="A1046">
        <v>262</v>
      </c>
      <c r="B1046" t="s">
        <v>749</v>
      </c>
      <c r="Q1046" t="str">
        <f t="shared" si="288"/>
        <v/>
      </c>
      <c r="R1046" t="str">
        <f t="shared" si="289"/>
        <v/>
      </c>
      <c r="S1046" t="str">
        <f t="shared" si="290"/>
        <v/>
      </c>
      <c r="T1046" t="str">
        <f t="shared" si="291"/>
        <v/>
      </c>
      <c r="V1046">
        <f t="shared" si="292"/>
        <v>0</v>
      </c>
      <c r="W1046">
        <f t="shared" si="293"/>
        <v>0</v>
      </c>
      <c r="X1046">
        <f t="shared" si="294"/>
        <v>0</v>
      </c>
      <c r="Y1046">
        <f t="shared" si="295"/>
        <v>0</v>
      </c>
      <c r="Z1046">
        <f t="shared" si="296"/>
        <v>0</v>
      </c>
      <c r="AA1046">
        <f t="shared" si="297"/>
        <v>0</v>
      </c>
      <c r="AB1046">
        <f t="shared" si="298"/>
        <v>0</v>
      </c>
      <c r="AC1046">
        <f t="shared" si="299"/>
        <v>0</v>
      </c>
      <c r="AD1046">
        <f t="shared" si="300"/>
        <v>0</v>
      </c>
      <c r="AE1046">
        <f t="shared" si="301"/>
        <v>0</v>
      </c>
      <c r="AF1046">
        <f t="shared" si="302"/>
        <v>0</v>
      </c>
      <c r="AG1046">
        <f t="shared" si="303"/>
        <v>0</v>
      </c>
      <c r="AH1046">
        <f t="shared" si="304"/>
        <v>0</v>
      </c>
      <c r="AI1046">
        <f t="shared" si="305"/>
        <v>0</v>
      </c>
    </row>
    <row r="1047" spans="1:35" x14ac:dyDescent="0.2">
      <c r="A1047">
        <v>263</v>
      </c>
      <c r="B1047" t="s">
        <v>749</v>
      </c>
      <c r="C1047">
        <v>7</v>
      </c>
      <c r="E1047" t="s">
        <v>20</v>
      </c>
      <c r="F1047" t="s">
        <v>18</v>
      </c>
      <c r="G1047" t="s">
        <v>18</v>
      </c>
      <c r="H1047" t="s">
        <v>20</v>
      </c>
      <c r="I1047">
        <v>4</v>
      </c>
      <c r="J1047">
        <v>4</v>
      </c>
      <c r="K1047">
        <v>45</v>
      </c>
      <c r="L1047" t="s">
        <v>41</v>
      </c>
      <c r="M1047" t="s">
        <v>42</v>
      </c>
      <c r="N1047" t="s">
        <v>36</v>
      </c>
      <c r="O1047" t="s">
        <v>2098</v>
      </c>
      <c r="Q1047">
        <f t="shared" si="288"/>
        <v>2</v>
      </c>
      <c r="R1047">
        <f t="shared" si="289"/>
        <v>4</v>
      </c>
      <c r="S1047">
        <f t="shared" si="290"/>
        <v>4</v>
      </c>
      <c r="T1047">
        <f t="shared" si="291"/>
        <v>2</v>
      </c>
      <c r="U1047">
        <v>45</v>
      </c>
      <c r="V1047">
        <f t="shared" si="292"/>
        <v>0</v>
      </c>
      <c r="W1047">
        <f t="shared" si="293"/>
        <v>0</v>
      </c>
      <c r="X1047">
        <f t="shared" si="294"/>
        <v>0</v>
      </c>
      <c r="Y1047">
        <f t="shared" si="295"/>
        <v>0</v>
      </c>
      <c r="Z1047">
        <f t="shared" si="296"/>
        <v>1</v>
      </c>
      <c r="AA1047">
        <f t="shared" si="297"/>
        <v>0</v>
      </c>
      <c r="AB1047">
        <f t="shared" si="298"/>
        <v>1</v>
      </c>
      <c r="AC1047">
        <f t="shared" si="299"/>
        <v>0</v>
      </c>
      <c r="AD1047">
        <f t="shared" si="300"/>
        <v>0</v>
      </c>
      <c r="AE1047">
        <f t="shared" si="301"/>
        <v>0</v>
      </c>
      <c r="AF1047">
        <f t="shared" si="302"/>
        <v>0</v>
      </c>
      <c r="AG1047">
        <f t="shared" si="303"/>
        <v>0</v>
      </c>
      <c r="AH1047">
        <f t="shared" si="304"/>
        <v>0</v>
      </c>
      <c r="AI1047">
        <f t="shared" si="305"/>
        <v>1</v>
      </c>
    </row>
    <row r="1048" spans="1:35" x14ac:dyDescent="0.2">
      <c r="A1048">
        <v>264</v>
      </c>
      <c r="B1048" t="s">
        <v>749</v>
      </c>
      <c r="Q1048" t="str">
        <f t="shared" si="288"/>
        <v/>
      </c>
      <c r="R1048" t="str">
        <f t="shared" si="289"/>
        <v/>
      </c>
      <c r="S1048" t="str">
        <f t="shared" si="290"/>
        <v/>
      </c>
      <c r="T1048" t="str">
        <f t="shared" si="291"/>
        <v/>
      </c>
      <c r="V1048">
        <f t="shared" si="292"/>
        <v>0</v>
      </c>
      <c r="W1048">
        <f t="shared" si="293"/>
        <v>0</v>
      </c>
      <c r="X1048">
        <f t="shared" si="294"/>
        <v>0</v>
      </c>
      <c r="Y1048">
        <f t="shared" si="295"/>
        <v>0</v>
      </c>
      <c r="Z1048">
        <f t="shared" si="296"/>
        <v>0</v>
      </c>
      <c r="AA1048">
        <f t="shared" si="297"/>
        <v>0</v>
      </c>
      <c r="AB1048">
        <f t="shared" si="298"/>
        <v>0</v>
      </c>
      <c r="AC1048">
        <f t="shared" si="299"/>
        <v>0</v>
      </c>
      <c r="AD1048">
        <f t="shared" si="300"/>
        <v>0</v>
      </c>
      <c r="AE1048">
        <f t="shared" si="301"/>
        <v>0</v>
      </c>
      <c r="AF1048">
        <f t="shared" si="302"/>
        <v>0</v>
      </c>
      <c r="AG1048">
        <f t="shared" si="303"/>
        <v>0</v>
      </c>
      <c r="AH1048">
        <f t="shared" si="304"/>
        <v>0</v>
      </c>
      <c r="AI1048">
        <f t="shared" si="305"/>
        <v>0</v>
      </c>
    </row>
    <row r="1049" spans="1:35" x14ac:dyDescent="0.2">
      <c r="A1049">
        <v>265</v>
      </c>
      <c r="B1049" t="s">
        <v>749</v>
      </c>
      <c r="C1049">
        <v>8</v>
      </c>
      <c r="O1049" t="s">
        <v>378</v>
      </c>
      <c r="Q1049" t="str">
        <f t="shared" si="288"/>
        <v/>
      </c>
      <c r="R1049" t="str">
        <f t="shared" si="289"/>
        <v/>
      </c>
      <c r="S1049" t="str">
        <f t="shared" si="290"/>
        <v/>
      </c>
      <c r="T1049" t="str">
        <f t="shared" si="291"/>
        <v/>
      </c>
      <c r="V1049">
        <f t="shared" si="292"/>
        <v>0</v>
      </c>
      <c r="W1049">
        <f t="shared" si="293"/>
        <v>0</v>
      </c>
      <c r="X1049">
        <f t="shared" si="294"/>
        <v>0</v>
      </c>
      <c r="Y1049">
        <f t="shared" si="295"/>
        <v>0</v>
      </c>
      <c r="Z1049">
        <f t="shared" si="296"/>
        <v>0</v>
      </c>
      <c r="AA1049">
        <f t="shared" si="297"/>
        <v>0</v>
      </c>
      <c r="AB1049">
        <f t="shared" si="298"/>
        <v>0</v>
      </c>
      <c r="AC1049">
        <f t="shared" si="299"/>
        <v>0</v>
      </c>
      <c r="AD1049">
        <f t="shared" si="300"/>
        <v>0</v>
      </c>
      <c r="AE1049">
        <f t="shared" si="301"/>
        <v>0</v>
      </c>
      <c r="AF1049">
        <f t="shared" si="302"/>
        <v>0</v>
      </c>
      <c r="AG1049">
        <f t="shared" si="303"/>
        <v>0</v>
      </c>
      <c r="AH1049">
        <f t="shared" si="304"/>
        <v>0</v>
      </c>
      <c r="AI1049">
        <f t="shared" si="305"/>
        <v>0</v>
      </c>
    </row>
    <row r="1050" spans="1:35" x14ac:dyDescent="0.2">
      <c r="A1050">
        <v>266</v>
      </c>
      <c r="B1050" t="s">
        <v>749</v>
      </c>
      <c r="Q1050" t="str">
        <f t="shared" si="288"/>
        <v/>
      </c>
      <c r="R1050" t="str">
        <f t="shared" si="289"/>
        <v/>
      </c>
      <c r="S1050" t="str">
        <f t="shared" si="290"/>
        <v/>
      </c>
      <c r="T1050" t="str">
        <f t="shared" si="291"/>
        <v/>
      </c>
      <c r="V1050">
        <f t="shared" si="292"/>
        <v>0</v>
      </c>
      <c r="W1050">
        <f t="shared" si="293"/>
        <v>0</v>
      </c>
      <c r="X1050">
        <f t="shared" si="294"/>
        <v>0</v>
      </c>
      <c r="Y1050">
        <f t="shared" si="295"/>
        <v>0</v>
      </c>
      <c r="Z1050">
        <f t="shared" si="296"/>
        <v>0</v>
      </c>
      <c r="AA1050">
        <f t="shared" si="297"/>
        <v>0</v>
      </c>
      <c r="AB1050">
        <f t="shared" si="298"/>
        <v>0</v>
      </c>
      <c r="AC1050">
        <f t="shared" si="299"/>
        <v>0</v>
      </c>
      <c r="AD1050">
        <f t="shared" si="300"/>
        <v>0</v>
      </c>
      <c r="AE1050">
        <f t="shared" si="301"/>
        <v>0</v>
      </c>
      <c r="AF1050">
        <f t="shared" si="302"/>
        <v>0</v>
      </c>
      <c r="AG1050">
        <f t="shared" si="303"/>
        <v>0</v>
      </c>
      <c r="AH1050">
        <f t="shared" si="304"/>
        <v>0</v>
      </c>
      <c r="AI1050">
        <f t="shared" si="305"/>
        <v>0</v>
      </c>
    </row>
    <row r="1051" spans="1:35" x14ac:dyDescent="0.2">
      <c r="A1051">
        <v>267</v>
      </c>
      <c r="B1051" t="s">
        <v>749</v>
      </c>
      <c r="Q1051" t="str">
        <f t="shared" si="288"/>
        <v/>
      </c>
      <c r="R1051" t="str">
        <f t="shared" si="289"/>
        <v/>
      </c>
      <c r="S1051" t="str">
        <f t="shared" si="290"/>
        <v/>
      </c>
      <c r="T1051" t="str">
        <f t="shared" si="291"/>
        <v/>
      </c>
      <c r="V1051">
        <f t="shared" si="292"/>
        <v>0</v>
      </c>
      <c r="W1051">
        <f t="shared" si="293"/>
        <v>0</v>
      </c>
      <c r="X1051">
        <f t="shared" si="294"/>
        <v>0</v>
      </c>
      <c r="Y1051">
        <f t="shared" si="295"/>
        <v>0</v>
      </c>
      <c r="Z1051">
        <f t="shared" si="296"/>
        <v>0</v>
      </c>
      <c r="AA1051">
        <f t="shared" si="297"/>
        <v>0</v>
      </c>
      <c r="AB1051">
        <f t="shared" si="298"/>
        <v>0</v>
      </c>
      <c r="AC1051">
        <f t="shared" si="299"/>
        <v>0</v>
      </c>
      <c r="AD1051">
        <f t="shared" si="300"/>
        <v>0</v>
      </c>
      <c r="AE1051">
        <f t="shared" si="301"/>
        <v>0</v>
      </c>
      <c r="AF1051">
        <f t="shared" si="302"/>
        <v>0</v>
      </c>
      <c r="AG1051">
        <f t="shared" si="303"/>
        <v>0</v>
      </c>
      <c r="AH1051">
        <f t="shared" si="304"/>
        <v>0</v>
      </c>
      <c r="AI1051">
        <f t="shared" si="305"/>
        <v>0</v>
      </c>
    </row>
    <row r="1052" spans="1:35" x14ac:dyDescent="0.2">
      <c r="A1052">
        <v>268</v>
      </c>
      <c r="B1052" t="s">
        <v>749</v>
      </c>
      <c r="Q1052" t="str">
        <f t="shared" si="288"/>
        <v/>
      </c>
      <c r="R1052" t="str">
        <f t="shared" si="289"/>
        <v/>
      </c>
      <c r="S1052" t="str">
        <f t="shared" si="290"/>
        <v/>
      </c>
      <c r="T1052" t="str">
        <f t="shared" si="291"/>
        <v/>
      </c>
      <c r="V1052">
        <f t="shared" si="292"/>
        <v>0</v>
      </c>
      <c r="W1052">
        <f t="shared" si="293"/>
        <v>0</v>
      </c>
      <c r="X1052">
        <f t="shared" si="294"/>
        <v>0</v>
      </c>
      <c r="Y1052">
        <f t="shared" si="295"/>
        <v>0</v>
      </c>
      <c r="Z1052">
        <f t="shared" si="296"/>
        <v>0</v>
      </c>
      <c r="AA1052">
        <f t="shared" si="297"/>
        <v>0</v>
      </c>
      <c r="AB1052">
        <f t="shared" si="298"/>
        <v>0</v>
      </c>
      <c r="AC1052">
        <f t="shared" si="299"/>
        <v>0</v>
      </c>
      <c r="AD1052">
        <f t="shared" si="300"/>
        <v>0</v>
      </c>
      <c r="AE1052">
        <f t="shared" si="301"/>
        <v>0</v>
      </c>
      <c r="AF1052">
        <f t="shared" si="302"/>
        <v>0</v>
      </c>
      <c r="AG1052">
        <f t="shared" si="303"/>
        <v>0</v>
      </c>
      <c r="AH1052">
        <f t="shared" si="304"/>
        <v>0</v>
      </c>
      <c r="AI1052">
        <f t="shared" si="305"/>
        <v>0</v>
      </c>
    </row>
    <row r="1053" spans="1:35" x14ac:dyDescent="0.2">
      <c r="A1053">
        <v>269</v>
      </c>
      <c r="B1053" t="s">
        <v>749</v>
      </c>
      <c r="Q1053" t="str">
        <f t="shared" si="288"/>
        <v/>
      </c>
      <c r="R1053" t="str">
        <f t="shared" si="289"/>
        <v/>
      </c>
      <c r="S1053" t="str">
        <f t="shared" si="290"/>
        <v/>
      </c>
      <c r="T1053" t="str">
        <f t="shared" si="291"/>
        <v/>
      </c>
      <c r="V1053">
        <f t="shared" si="292"/>
        <v>0</v>
      </c>
      <c r="W1053">
        <f t="shared" si="293"/>
        <v>0</v>
      </c>
      <c r="X1053">
        <f t="shared" si="294"/>
        <v>0</v>
      </c>
      <c r="Y1053">
        <f t="shared" si="295"/>
        <v>0</v>
      </c>
      <c r="Z1053">
        <f t="shared" si="296"/>
        <v>0</v>
      </c>
      <c r="AA1053">
        <f t="shared" si="297"/>
        <v>0</v>
      </c>
      <c r="AB1053">
        <f t="shared" si="298"/>
        <v>0</v>
      </c>
      <c r="AC1053">
        <f t="shared" si="299"/>
        <v>0</v>
      </c>
      <c r="AD1053">
        <f t="shared" si="300"/>
        <v>0</v>
      </c>
      <c r="AE1053">
        <f t="shared" si="301"/>
        <v>0</v>
      </c>
      <c r="AF1053">
        <f t="shared" si="302"/>
        <v>0</v>
      </c>
      <c r="AG1053">
        <f t="shared" si="303"/>
        <v>0</v>
      </c>
      <c r="AH1053">
        <f t="shared" si="304"/>
        <v>0</v>
      </c>
      <c r="AI1053">
        <f t="shared" si="305"/>
        <v>0</v>
      </c>
    </row>
    <row r="1054" spans="1:35" x14ac:dyDescent="0.2">
      <c r="A1054">
        <v>270</v>
      </c>
      <c r="B1054" t="s">
        <v>749</v>
      </c>
      <c r="Q1054" t="str">
        <f t="shared" si="288"/>
        <v/>
      </c>
      <c r="R1054" t="str">
        <f t="shared" si="289"/>
        <v/>
      </c>
      <c r="S1054" t="str">
        <f t="shared" si="290"/>
        <v/>
      </c>
      <c r="T1054" t="str">
        <f t="shared" si="291"/>
        <v/>
      </c>
      <c r="V1054">
        <f t="shared" si="292"/>
        <v>0</v>
      </c>
      <c r="W1054">
        <f t="shared" si="293"/>
        <v>0</v>
      </c>
      <c r="X1054">
        <f t="shared" si="294"/>
        <v>0</v>
      </c>
      <c r="Y1054">
        <f t="shared" si="295"/>
        <v>0</v>
      </c>
      <c r="Z1054">
        <f t="shared" si="296"/>
        <v>0</v>
      </c>
      <c r="AA1054">
        <f t="shared" si="297"/>
        <v>0</v>
      </c>
      <c r="AB1054">
        <f t="shared" si="298"/>
        <v>0</v>
      </c>
      <c r="AC1054">
        <f t="shared" si="299"/>
        <v>0</v>
      </c>
      <c r="AD1054">
        <f t="shared" si="300"/>
        <v>0</v>
      </c>
      <c r="AE1054">
        <f t="shared" si="301"/>
        <v>0</v>
      </c>
      <c r="AF1054">
        <f t="shared" si="302"/>
        <v>0</v>
      </c>
      <c r="AG1054">
        <f t="shared" si="303"/>
        <v>0</v>
      </c>
      <c r="AH1054">
        <f t="shared" si="304"/>
        <v>0</v>
      </c>
      <c r="AI1054">
        <f t="shared" si="305"/>
        <v>0</v>
      </c>
    </row>
    <row r="1055" spans="1:35" x14ac:dyDescent="0.2">
      <c r="A1055">
        <v>271</v>
      </c>
      <c r="B1055" t="s">
        <v>749</v>
      </c>
      <c r="C1055">
        <v>5</v>
      </c>
      <c r="D1055" t="s">
        <v>2971</v>
      </c>
      <c r="E1055" t="s">
        <v>20</v>
      </c>
      <c r="F1055" t="s">
        <v>19</v>
      </c>
      <c r="G1055" t="s">
        <v>18</v>
      </c>
      <c r="H1055" t="s">
        <v>20</v>
      </c>
      <c r="I1055">
        <v>2</v>
      </c>
      <c r="J1055">
        <v>3</v>
      </c>
      <c r="K1055" s="1">
        <v>200</v>
      </c>
      <c r="L1055" t="s">
        <v>714</v>
      </c>
      <c r="M1055" t="s">
        <v>48</v>
      </c>
      <c r="N1055" t="s">
        <v>43</v>
      </c>
      <c r="O1055" t="s">
        <v>2972</v>
      </c>
      <c r="P1055" t="s">
        <v>2973</v>
      </c>
      <c r="Q1055">
        <f t="shared" si="288"/>
        <v>2</v>
      </c>
      <c r="R1055">
        <f t="shared" si="289"/>
        <v>3</v>
      </c>
      <c r="S1055">
        <f t="shared" si="290"/>
        <v>4</v>
      </c>
      <c r="T1055">
        <f t="shared" si="291"/>
        <v>2</v>
      </c>
      <c r="U1055">
        <v>200</v>
      </c>
      <c r="V1055">
        <f t="shared" si="292"/>
        <v>0</v>
      </c>
      <c r="W1055">
        <f t="shared" si="293"/>
        <v>0</v>
      </c>
      <c r="X1055">
        <f t="shared" si="294"/>
        <v>1</v>
      </c>
      <c r="Y1055">
        <f t="shared" si="295"/>
        <v>1</v>
      </c>
      <c r="Z1055">
        <f t="shared" si="296"/>
        <v>1</v>
      </c>
      <c r="AA1055">
        <f t="shared" si="297"/>
        <v>1</v>
      </c>
      <c r="AB1055">
        <f t="shared" si="298"/>
        <v>1</v>
      </c>
      <c r="AC1055">
        <f t="shared" si="299"/>
        <v>1</v>
      </c>
      <c r="AD1055">
        <f t="shared" si="300"/>
        <v>0</v>
      </c>
      <c r="AE1055">
        <f t="shared" si="301"/>
        <v>0</v>
      </c>
      <c r="AF1055">
        <f t="shared" si="302"/>
        <v>1</v>
      </c>
      <c r="AG1055">
        <f t="shared" si="303"/>
        <v>1</v>
      </c>
      <c r="AH1055">
        <f t="shared" si="304"/>
        <v>0</v>
      </c>
      <c r="AI1055">
        <f t="shared" si="305"/>
        <v>0</v>
      </c>
    </row>
    <row r="1056" spans="1:35" x14ac:dyDescent="0.2">
      <c r="A1056">
        <v>272</v>
      </c>
      <c r="B1056" t="s">
        <v>749</v>
      </c>
      <c r="C1056">
        <v>8</v>
      </c>
      <c r="D1056" t="s">
        <v>2974</v>
      </c>
      <c r="E1056" t="s">
        <v>19</v>
      </c>
      <c r="F1056" t="s">
        <v>18</v>
      </c>
      <c r="G1056" t="s">
        <v>19</v>
      </c>
      <c r="H1056" t="s">
        <v>18</v>
      </c>
      <c r="I1056">
        <v>4</v>
      </c>
      <c r="J1056">
        <v>4</v>
      </c>
      <c r="K1056">
        <v>100</v>
      </c>
      <c r="L1056" t="s">
        <v>494</v>
      </c>
      <c r="M1056" t="s">
        <v>468</v>
      </c>
      <c r="N1056" t="s">
        <v>24</v>
      </c>
      <c r="O1056" t="s">
        <v>2975</v>
      </c>
      <c r="P1056" t="s">
        <v>2976</v>
      </c>
      <c r="Q1056">
        <f t="shared" si="288"/>
        <v>3</v>
      </c>
      <c r="R1056">
        <f t="shared" si="289"/>
        <v>4</v>
      </c>
      <c r="S1056">
        <f t="shared" si="290"/>
        <v>3</v>
      </c>
      <c r="T1056">
        <f t="shared" si="291"/>
        <v>4</v>
      </c>
      <c r="U1056">
        <v>100</v>
      </c>
      <c r="V1056">
        <f t="shared" si="292"/>
        <v>0</v>
      </c>
      <c r="W1056">
        <f t="shared" si="293"/>
        <v>1</v>
      </c>
      <c r="X1056">
        <f t="shared" si="294"/>
        <v>1</v>
      </c>
      <c r="Y1056">
        <f t="shared" si="295"/>
        <v>1</v>
      </c>
      <c r="Z1056">
        <f t="shared" si="296"/>
        <v>1</v>
      </c>
      <c r="AA1056">
        <f t="shared" si="297"/>
        <v>1</v>
      </c>
      <c r="AB1056">
        <f t="shared" si="298"/>
        <v>1</v>
      </c>
      <c r="AC1056">
        <f t="shared" si="299"/>
        <v>1</v>
      </c>
      <c r="AD1056">
        <f t="shared" si="300"/>
        <v>1</v>
      </c>
      <c r="AE1056">
        <f t="shared" si="301"/>
        <v>1</v>
      </c>
      <c r="AF1056">
        <f t="shared" si="302"/>
        <v>0</v>
      </c>
      <c r="AG1056">
        <f t="shared" si="303"/>
        <v>0</v>
      </c>
      <c r="AH1056">
        <f t="shared" si="304"/>
        <v>1</v>
      </c>
      <c r="AI1056">
        <f t="shared" si="305"/>
        <v>0</v>
      </c>
    </row>
    <row r="1057" spans="1:35" x14ac:dyDescent="0.2">
      <c r="A1057">
        <v>273</v>
      </c>
      <c r="B1057" t="s">
        <v>749</v>
      </c>
      <c r="C1057">
        <v>3</v>
      </c>
      <c r="D1057" t="s">
        <v>2977</v>
      </c>
      <c r="E1057" t="s">
        <v>39</v>
      </c>
      <c r="F1057" t="s">
        <v>39</v>
      </c>
      <c r="G1057" t="s">
        <v>39</v>
      </c>
      <c r="H1057" t="s">
        <v>20</v>
      </c>
      <c r="I1057">
        <v>3</v>
      </c>
      <c r="J1057">
        <v>14</v>
      </c>
      <c r="K1057" s="5">
        <v>45</v>
      </c>
      <c r="L1057" t="s">
        <v>494</v>
      </c>
      <c r="M1057" t="s">
        <v>468</v>
      </c>
      <c r="N1057" t="s">
        <v>36</v>
      </c>
      <c r="O1057" t="s">
        <v>2978</v>
      </c>
      <c r="P1057" t="s">
        <v>2979</v>
      </c>
      <c r="Q1057">
        <f t="shared" si="288"/>
        <v>5</v>
      </c>
      <c r="R1057">
        <f t="shared" si="289"/>
        <v>5</v>
      </c>
      <c r="S1057">
        <f t="shared" si="290"/>
        <v>5</v>
      </c>
      <c r="T1057">
        <f t="shared" si="291"/>
        <v>2</v>
      </c>
      <c r="U1057">
        <v>45</v>
      </c>
      <c r="V1057">
        <f t="shared" si="292"/>
        <v>0</v>
      </c>
      <c r="W1057">
        <f t="shared" si="293"/>
        <v>1</v>
      </c>
      <c r="X1057">
        <f t="shared" si="294"/>
        <v>1</v>
      </c>
      <c r="Y1057">
        <f t="shared" si="295"/>
        <v>1</v>
      </c>
      <c r="Z1057">
        <f t="shared" si="296"/>
        <v>1</v>
      </c>
      <c r="AA1057">
        <f t="shared" si="297"/>
        <v>1</v>
      </c>
      <c r="AB1057">
        <f t="shared" si="298"/>
        <v>1</v>
      </c>
      <c r="AC1057">
        <f t="shared" si="299"/>
        <v>1</v>
      </c>
      <c r="AD1057">
        <f t="shared" si="300"/>
        <v>1</v>
      </c>
      <c r="AE1057">
        <f t="shared" si="301"/>
        <v>1</v>
      </c>
      <c r="AF1057">
        <f t="shared" si="302"/>
        <v>0</v>
      </c>
      <c r="AG1057">
        <f t="shared" si="303"/>
        <v>0</v>
      </c>
      <c r="AH1057">
        <f t="shared" si="304"/>
        <v>0</v>
      </c>
      <c r="AI1057">
        <f t="shared" si="305"/>
        <v>1</v>
      </c>
    </row>
    <row r="1058" spans="1:35" ht="51" x14ac:dyDescent="0.2">
      <c r="A1058">
        <v>274</v>
      </c>
      <c r="B1058" t="s">
        <v>749</v>
      </c>
      <c r="C1058">
        <v>6</v>
      </c>
      <c r="D1058" s="3" t="s">
        <v>2980</v>
      </c>
      <c r="E1058" t="s">
        <v>18</v>
      </c>
      <c r="F1058" t="s">
        <v>18</v>
      </c>
      <c r="G1058" t="s">
        <v>18</v>
      </c>
      <c r="H1058" t="s">
        <v>20</v>
      </c>
      <c r="I1058">
        <v>2</v>
      </c>
      <c r="J1058">
        <v>3</v>
      </c>
      <c r="K1058" t="s">
        <v>2981</v>
      </c>
      <c r="L1058" t="s">
        <v>22</v>
      </c>
      <c r="M1058" t="s">
        <v>123</v>
      </c>
      <c r="N1058" t="s">
        <v>36</v>
      </c>
      <c r="O1058" t="s">
        <v>2982</v>
      </c>
      <c r="P1058" t="s">
        <v>2983</v>
      </c>
      <c r="Q1058">
        <f t="shared" si="288"/>
        <v>4</v>
      </c>
      <c r="R1058">
        <f t="shared" si="289"/>
        <v>4</v>
      </c>
      <c r="S1058">
        <f t="shared" si="290"/>
        <v>4</v>
      </c>
      <c r="T1058">
        <f t="shared" si="291"/>
        <v>2</v>
      </c>
      <c r="U1058">
        <v>1000</v>
      </c>
      <c r="V1058">
        <f t="shared" si="292"/>
        <v>1</v>
      </c>
      <c r="W1058">
        <f t="shared" si="293"/>
        <v>0</v>
      </c>
      <c r="X1058">
        <f t="shared" si="294"/>
        <v>0</v>
      </c>
      <c r="Y1058">
        <f t="shared" si="295"/>
        <v>0</v>
      </c>
      <c r="Z1058">
        <f t="shared" si="296"/>
        <v>0</v>
      </c>
      <c r="AA1058">
        <f t="shared" si="297"/>
        <v>0</v>
      </c>
      <c r="AB1058">
        <f t="shared" si="298"/>
        <v>1</v>
      </c>
      <c r="AC1058">
        <f t="shared" si="299"/>
        <v>1</v>
      </c>
      <c r="AD1058">
        <f t="shared" si="300"/>
        <v>0</v>
      </c>
      <c r="AE1058">
        <f t="shared" si="301"/>
        <v>0</v>
      </c>
      <c r="AF1058">
        <f t="shared" si="302"/>
        <v>0</v>
      </c>
      <c r="AG1058">
        <f t="shared" si="303"/>
        <v>0</v>
      </c>
      <c r="AH1058">
        <f t="shared" si="304"/>
        <v>0</v>
      </c>
      <c r="AI1058">
        <f t="shared" si="305"/>
        <v>1</v>
      </c>
    </row>
    <row r="1059" spans="1:35" x14ac:dyDescent="0.2">
      <c r="A1059">
        <v>275</v>
      </c>
      <c r="B1059" t="s">
        <v>749</v>
      </c>
      <c r="C1059">
        <v>10</v>
      </c>
      <c r="D1059" t="s">
        <v>1603</v>
      </c>
      <c r="E1059" t="s">
        <v>18</v>
      </c>
      <c r="F1059" t="s">
        <v>39</v>
      </c>
      <c r="G1059" t="s">
        <v>39</v>
      </c>
      <c r="H1059" t="s">
        <v>20</v>
      </c>
      <c r="I1059">
        <v>2</v>
      </c>
      <c r="J1059">
        <v>4</v>
      </c>
      <c r="K1059" s="1">
        <v>200</v>
      </c>
      <c r="L1059" t="s">
        <v>494</v>
      </c>
      <c r="M1059" t="s">
        <v>48</v>
      </c>
      <c r="N1059" t="s">
        <v>84</v>
      </c>
      <c r="O1059" t="s">
        <v>2984</v>
      </c>
      <c r="P1059" t="s">
        <v>2985</v>
      </c>
      <c r="Q1059">
        <f t="shared" si="288"/>
        <v>4</v>
      </c>
      <c r="R1059">
        <f t="shared" si="289"/>
        <v>5</v>
      </c>
      <c r="S1059">
        <f t="shared" si="290"/>
        <v>5</v>
      </c>
      <c r="T1059">
        <f t="shared" si="291"/>
        <v>2</v>
      </c>
      <c r="U1059">
        <v>200</v>
      </c>
      <c r="V1059">
        <f t="shared" si="292"/>
        <v>0</v>
      </c>
      <c r="W1059">
        <f t="shared" si="293"/>
        <v>1</v>
      </c>
      <c r="X1059">
        <f t="shared" si="294"/>
        <v>1</v>
      </c>
      <c r="Y1059">
        <f t="shared" si="295"/>
        <v>1</v>
      </c>
      <c r="Z1059">
        <f t="shared" si="296"/>
        <v>1</v>
      </c>
      <c r="AA1059">
        <f t="shared" si="297"/>
        <v>1</v>
      </c>
      <c r="AB1059">
        <f t="shared" si="298"/>
        <v>1</v>
      </c>
      <c r="AC1059">
        <f t="shared" si="299"/>
        <v>1</v>
      </c>
      <c r="AD1059">
        <f t="shared" si="300"/>
        <v>0</v>
      </c>
      <c r="AE1059">
        <f t="shared" si="301"/>
        <v>0</v>
      </c>
      <c r="AF1059">
        <f t="shared" si="302"/>
        <v>0</v>
      </c>
      <c r="AG1059">
        <f t="shared" si="303"/>
        <v>1</v>
      </c>
      <c r="AH1059">
        <f t="shared" si="304"/>
        <v>0</v>
      </c>
      <c r="AI1059">
        <f t="shared" si="305"/>
        <v>0</v>
      </c>
    </row>
    <row r="1060" spans="1:35" x14ac:dyDescent="0.2">
      <c r="A1060">
        <v>276</v>
      </c>
      <c r="B1060" t="s">
        <v>749</v>
      </c>
      <c r="C1060">
        <v>6</v>
      </c>
      <c r="D1060" t="s">
        <v>1130</v>
      </c>
      <c r="E1060" t="s">
        <v>20</v>
      </c>
      <c r="F1060" t="s">
        <v>18</v>
      </c>
      <c r="G1060" t="s">
        <v>18</v>
      </c>
      <c r="H1060" t="s">
        <v>21</v>
      </c>
      <c r="I1060">
        <v>2</v>
      </c>
      <c r="J1060">
        <v>3</v>
      </c>
      <c r="K1060">
        <v>200</v>
      </c>
      <c r="L1060" t="s">
        <v>70</v>
      </c>
      <c r="M1060" t="s">
        <v>42</v>
      </c>
      <c r="N1060" t="s">
        <v>84</v>
      </c>
      <c r="O1060" t="s">
        <v>2986</v>
      </c>
      <c r="P1060" t="s">
        <v>2987</v>
      </c>
      <c r="Q1060">
        <f t="shared" si="288"/>
        <v>2</v>
      </c>
      <c r="R1060">
        <f t="shared" si="289"/>
        <v>4</v>
      </c>
      <c r="S1060">
        <f t="shared" si="290"/>
        <v>4</v>
      </c>
      <c r="T1060">
        <f t="shared" si="291"/>
        <v>1</v>
      </c>
      <c r="U1060">
        <v>200</v>
      </c>
      <c r="V1060">
        <f t="shared" si="292"/>
        <v>0</v>
      </c>
      <c r="W1060">
        <f t="shared" si="293"/>
        <v>0</v>
      </c>
      <c r="X1060">
        <f t="shared" si="294"/>
        <v>0</v>
      </c>
      <c r="Y1060">
        <f t="shared" si="295"/>
        <v>1</v>
      </c>
      <c r="Z1060">
        <f t="shared" si="296"/>
        <v>0</v>
      </c>
      <c r="AA1060">
        <f t="shared" si="297"/>
        <v>0</v>
      </c>
      <c r="AB1060">
        <f t="shared" si="298"/>
        <v>1</v>
      </c>
      <c r="AC1060">
        <f t="shared" si="299"/>
        <v>0</v>
      </c>
      <c r="AD1060">
        <f t="shared" si="300"/>
        <v>0</v>
      </c>
      <c r="AE1060">
        <f t="shared" si="301"/>
        <v>0</v>
      </c>
      <c r="AF1060">
        <f t="shared" si="302"/>
        <v>0</v>
      </c>
      <c r="AG1060">
        <f t="shared" si="303"/>
        <v>1</v>
      </c>
      <c r="AH1060">
        <f t="shared" si="304"/>
        <v>0</v>
      </c>
      <c r="AI1060">
        <f t="shared" si="305"/>
        <v>0</v>
      </c>
    </row>
    <row r="1061" spans="1:35" x14ac:dyDescent="0.2">
      <c r="A1061">
        <v>277</v>
      </c>
      <c r="B1061" t="s">
        <v>749</v>
      </c>
      <c r="C1061">
        <v>7</v>
      </c>
      <c r="D1061" t="s">
        <v>2988</v>
      </c>
      <c r="E1061" t="s">
        <v>18</v>
      </c>
      <c r="F1061" t="s">
        <v>39</v>
      </c>
      <c r="G1061" t="s">
        <v>18</v>
      </c>
      <c r="H1061" t="s">
        <v>20</v>
      </c>
      <c r="I1061">
        <v>3</v>
      </c>
      <c r="J1061">
        <v>3</v>
      </c>
      <c r="K1061">
        <v>300</v>
      </c>
      <c r="L1061" t="s">
        <v>41</v>
      </c>
      <c r="M1061" t="s">
        <v>219</v>
      </c>
      <c r="N1061" t="s">
        <v>24</v>
      </c>
      <c r="O1061" t="s">
        <v>2989</v>
      </c>
      <c r="P1061" t="s">
        <v>2990</v>
      </c>
      <c r="Q1061">
        <f t="shared" si="288"/>
        <v>4</v>
      </c>
      <c r="R1061">
        <f t="shared" si="289"/>
        <v>5</v>
      </c>
      <c r="S1061">
        <f t="shared" si="290"/>
        <v>4</v>
      </c>
      <c r="T1061">
        <f t="shared" si="291"/>
        <v>2</v>
      </c>
      <c r="U1061">
        <v>300</v>
      </c>
      <c r="V1061">
        <f t="shared" si="292"/>
        <v>0</v>
      </c>
      <c r="W1061">
        <f t="shared" si="293"/>
        <v>0</v>
      </c>
      <c r="X1061">
        <f t="shared" si="294"/>
        <v>0</v>
      </c>
      <c r="Y1061">
        <f t="shared" si="295"/>
        <v>0</v>
      </c>
      <c r="Z1061">
        <f t="shared" si="296"/>
        <v>1</v>
      </c>
      <c r="AA1061">
        <f t="shared" si="297"/>
        <v>0</v>
      </c>
      <c r="AB1061">
        <f t="shared" si="298"/>
        <v>0</v>
      </c>
      <c r="AC1061">
        <f t="shared" si="299"/>
        <v>0</v>
      </c>
      <c r="AD1061">
        <f t="shared" si="300"/>
        <v>0</v>
      </c>
      <c r="AE1061">
        <f t="shared" si="301"/>
        <v>1</v>
      </c>
      <c r="AF1061">
        <f t="shared" si="302"/>
        <v>0</v>
      </c>
      <c r="AG1061">
        <f t="shared" si="303"/>
        <v>0</v>
      </c>
      <c r="AH1061">
        <f t="shared" si="304"/>
        <v>1</v>
      </c>
      <c r="AI1061">
        <f t="shared" si="305"/>
        <v>0</v>
      </c>
    </row>
    <row r="1062" spans="1:35" x14ac:dyDescent="0.2">
      <c r="A1062">
        <v>278</v>
      </c>
      <c r="B1062" t="s">
        <v>749</v>
      </c>
      <c r="C1062">
        <v>9</v>
      </c>
      <c r="D1062" t="s">
        <v>2991</v>
      </c>
      <c r="E1062" t="s">
        <v>20</v>
      </c>
      <c r="F1062" t="s">
        <v>18</v>
      </c>
      <c r="G1062" t="s">
        <v>20</v>
      </c>
      <c r="H1062" t="s">
        <v>19</v>
      </c>
      <c r="I1062">
        <v>3</v>
      </c>
      <c r="J1062">
        <v>2</v>
      </c>
      <c r="K1062">
        <v>500</v>
      </c>
      <c r="L1062" t="s">
        <v>194</v>
      </c>
      <c r="M1062" t="s">
        <v>42</v>
      </c>
      <c r="N1062" t="s">
        <v>84</v>
      </c>
      <c r="O1062" t="s">
        <v>2992</v>
      </c>
      <c r="P1062" t="s">
        <v>2993</v>
      </c>
      <c r="Q1062">
        <f t="shared" si="288"/>
        <v>2</v>
      </c>
      <c r="R1062">
        <f t="shared" si="289"/>
        <v>4</v>
      </c>
      <c r="S1062">
        <f t="shared" si="290"/>
        <v>2</v>
      </c>
      <c r="T1062">
        <f t="shared" si="291"/>
        <v>3</v>
      </c>
      <c r="U1062">
        <v>500</v>
      </c>
      <c r="V1062">
        <f t="shared" si="292"/>
        <v>0</v>
      </c>
      <c r="W1062">
        <f t="shared" si="293"/>
        <v>0</v>
      </c>
      <c r="X1062">
        <f t="shared" si="294"/>
        <v>0</v>
      </c>
      <c r="Y1062">
        <f t="shared" si="295"/>
        <v>1</v>
      </c>
      <c r="Z1062">
        <f t="shared" si="296"/>
        <v>1</v>
      </c>
      <c r="AA1062">
        <f t="shared" si="297"/>
        <v>0</v>
      </c>
      <c r="AB1062">
        <f t="shared" si="298"/>
        <v>1</v>
      </c>
      <c r="AC1062">
        <f t="shared" si="299"/>
        <v>0</v>
      </c>
      <c r="AD1062">
        <f t="shared" si="300"/>
        <v>0</v>
      </c>
      <c r="AE1062">
        <f t="shared" si="301"/>
        <v>0</v>
      </c>
      <c r="AF1062">
        <f t="shared" si="302"/>
        <v>0</v>
      </c>
      <c r="AG1062">
        <f t="shared" si="303"/>
        <v>1</v>
      </c>
      <c r="AH1062">
        <f t="shared" si="304"/>
        <v>0</v>
      </c>
      <c r="AI1062">
        <f t="shared" si="305"/>
        <v>0</v>
      </c>
    </row>
    <row r="1063" spans="1:35" x14ac:dyDescent="0.2">
      <c r="A1063">
        <v>279</v>
      </c>
      <c r="B1063" t="s">
        <v>749</v>
      </c>
      <c r="C1063">
        <v>5</v>
      </c>
      <c r="D1063" t="s">
        <v>2994</v>
      </c>
      <c r="E1063" t="s">
        <v>20</v>
      </c>
      <c r="F1063" t="s">
        <v>39</v>
      </c>
      <c r="G1063" t="s">
        <v>39</v>
      </c>
      <c r="H1063" t="s">
        <v>20</v>
      </c>
      <c r="I1063">
        <v>12</v>
      </c>
      <c r="J1063">
        <v>5</v>
      </c>
      <c r="K1063" t="s">
        <v>2995</v>
      </c>
      <c r="L1063" t="s">
        <v>70</v>
      </c>
      <c r="M1063" t="s">
        <v>23</v>
      </c>
      <c r="N1063" t="s">
        <v>36</v>
      </c>
      <c r="O1063" t="s">
        <v>1240</v>
      </c>
      <c r="P1063" t="s">
        <v>2996</v>
      </c>
      <c r="Q1063">
        <f t="shared" si="288"/>
        <v>2</v>
      </c>
      <c r="R1063">
        <f t="shared" si="289"/>
        <v>5</v>
      </c>
      <c r="S1063">
        <f t="shared" si="290"/>
        <v>5</v>
      </c>
      <c r="T1063">
        <f t="shared" si="291"/>
        <v>2</v>
      </c>
      <c r="U1063">
        <v>50000000000</v>
      </c>
      <c r="V1063">
        <f t="shared" si="292"/>
        <v>0</v>
      </c>
      <c r="W1063">
        <f t="shared" si="293"/>
        <v>0</v>
      </c>
      <c r="X1063">
        <f t="shared" si="294"/>
        <v>0</v>
      </c>
      <c r="Y1063">
        <f t="shared" si="295"/>
        <v>1</v>
      </c>
      <c r="Z1063">
        <f t="shared" si="296"/>
        <v>0</v>
      </c>
      <c r="AA1063">
        <f t="shared" si="297"/>
        <v>1</v>
      </c>
      <c r="AB1063">
        <f t="shared" si="298"/>
        <v>0</v>
      </c>
      <c r="AC1063">
        <f t="shared" si="299"/>
        <v>0</v>
      </c>
      <c r="AD1063">
        <f t="shared" si="300"/>
        <v>0</v>
      </c>
      <c r="AE1063">
        <f t="shared" si="301"/>
        <v>0</v>
      </c>
      <c r="AF1063">
        <f t="shared" si="302"/>
        <v>0</v>
      </c>
      <c r="AG1063">
        <f t="shared" si="303"/>
        <v>0</v>
      </c>
      <c r="AH1063">
        <f t="shared" si="304"/>
        <v>0</v>
      </c>
      <c r="AI1063">
        <f t="shared" si="305"/>
        <v>1</v>
      </c>
    </row>
    <row r="1064" spans="1:35" x14ac:dyDescent="0.2">
      <c r="A1064">
        <v>280</v>
      </c>
      <c r="B1064" t="s">
        <v>749</v>
      </c>
      <c r="C1064">
        <v>3</v>
      </c>
      <c r="D1064" t="s">
        <v>2997</v>
      </c>
      <c r="E1064" t="s">
        <v>19</v>
      </c>
      <c r="F1064" t="s">
        <v>19</v>
      </c>
      <c r="G1064" t="s">
        <v>39</v>
      </c>
      <c r="H1064" t="s">
        <v>21</v>
      </c>
      <c r="I1064">
        <v>3</v>
      </c>
      <c r="J1064">
        <v>5</v>
      </c>
      <c r="K1064" t="s">
        <v>2998</v>
      </c>
      <c r="L1064" t="s">
        <v>70</v>
      </c>
      <c r="M1064" t="s">
        <v>23</v>
      </c>
      <c r="N1064" t="s">
        <v>36</v>
      </c>
      <c r="O1064" t="s">
        <v>2999</v>
      </c>
      <c r="P1064" t="s">
        <v>3000</v>
      </c>
      <c r="Q1064">
        <f t="shared" si="288"/>
        <v>3</v>
      </c>
      <c r="R1064">
        <f t="shared" si="289"/>
        <v>3</v>
      </c>
      <c r="S1064">
        <f t="shared" si="290"/>
        <v>5</v>
      </c>
      <c r="T1064">
        <f t="shared" si="291"/>
        <v>1</v>
      </c>
      <c r="U1064">
        <v>1000</v>
      </c>
      <c r="V1064">
        <f t="shared" si="292"/>
        <v>0</v>
      </c>
      <c r="W1064">
        <f t="shared" si="293"/>
        <v>0</v>
      </c>
      <c r="X1064">
        <f t="shared" si="294"/>
        <v>0</v>
      </c>
      <c r="Y1064">
        <f t="shared" si="295"/>
        <v>1</v>
      </c>
      <c r="Z1064">
        <f t="shared" si="296"/>
        <v>0</v>
      </c>
      <c r="AA1064">
        <f t="shared" si="297"/>
        <v>1</v>
      </c>
      <c r="AB1064">
        <f t="shared" si="298"/>
        <v>0</v>
      </c>
      <c r="AC1064">
        <f t="shared" si="299"/>
        <v>0</v>
      </c>
      <c r="AD1064">
        <f t="shared" si="300"/>
        <v>0</v>
      </c>
      <c r="AE1064">
        <f t="shared" si="301"/>
        <v>0</v>
      </c>
      <c r="AF1064">
        <f t="shared" si="302"/>
        <v>0</v>
      </c>
      <c r="AG1064">
        <f t="shared" si="303"/>
        <v>0</v>
      </c>
      <c r="AH1064">
        <f t="shared" si="304"/>
        <v>0</v>
      </c>
      <c r="AI1064">
        <f t="shared" si="305"/>
        <v>1</v>
      </c>
    </row>
    <row r="1065" spans="1:35" x14ac:dyDescent="0.2">
      <c r="A1065">
        <v>281</v>
      </c>
      <c r="B1065" t="s">
        <v>749</v>
      </c>
      <c r="C1065">
        <v>10</v>
      </c>
      <c r="D1065" t="s">
        <v>3001</v>
      </c>
      <c r="E1065" t="s">
        <v>21</v>
      </c>
      <c r="F1065" t="s">
        <v>39</v>
      </c>
      <c r="G1065" t="s">
        <v>39</v>
      </c>
      <c r="H1065" t="s">
        <v>21</v>
      </c>
      <c r="I1065">
        <v>5</v>
      </c>
      <c r="J1065">
        <v>3</v>
      </c>
      <c r="K1065">
        <v>100</v>
      </c>
      <c r="L1065" t="s">
        <v>34</v>
      </c>
      <c r="M1065" t="s">
        <v>23</v>
      </c>
      <c r="N1065" t="s">
        <v>84</v>
      </c>
      <c r="O1065" t="s">
        <v>3002</v>
      </c>
      <c r="P1065" t="s">
        <v>3003</v>
      </c>
      <c r="Q1065">
        <f t="shared" si="288"/>
        <v>1</v>
      </c>
      <c r="R1065">
        <f t="shared" si="289"/>
        <v>5</v>
      </c>
      <c r="S1065">
        <f t="shared" si="290"/>
        <v>5</v>
      </c>
      <c r="T1065">
        <f t="shared" si="291"/>
        <v>1</v>
      </c>
      <c r="U1065">
        <v>100</v>
      </c>
      <c r="V1065">
        <f t="shared" si="292"/>
        <v>1</v>
      </c>
      <c r="W1065">
        <f t="shared" si="293"/>
        <v>0</v>
      </c>
      <c r="X1065">
        <f t="shared" si="294"/>
        <v>0</v>
      </c>
      <c r="Y1065">
        <f t="shared" si="295"/>
        <v>1</v>
      </c>
      <c r="Z1065">
        <f t="shared" si="296"/>
        <v>0</v>
      </c>
      <c r="AA1065">
        <f t="shared" si="297"/>
        <v>1</v>
      </c>
      <c r="AB1065">
        <f t="shared" si="298"/>
        <v>0</v>
      </c>
      <c r="AC1065">
        <f t="shared" si="299"/>
        <v>0</v>
      </c>
      <c r="AD1065">
        <f t="shared" si="300"/>
        <v>0</v>
      </c>
      <c r="AE1065">
        <f t="shared" si="301"/>
        <v>0</v>
      </c>
      <c r="AF1065">
        <f t="shared" si="302"/>
        <v>0</v>
      </c>
      <c r="AG1065">
        <f t="shared" si="303"/>
        <v>1</v>
      </c>
      <c r="AH1065">
        <f t="shared" si="304"/>
        <v>0</v>
      </c>
      <c r="AI1065">
        <f t="shared" si="305"/>
        <v>0</v>
      </c>
    </row>
    <row r="1066" spans="1:35" x14ac:dyDescent="0.2">
      <c r="A1066">
        <v>282</v>
      </c>
      <c r="B1066" t="s">
        <v>749</v>
      </c>
      <c r="C1066">
        <v>7</v>
      </c>
      <c r="D1066" t="s">
        <v>3004</v>
      </c>
      <c r="E1066" t="s">
        <v>21</v>
      </c>
      <c r="F1066" t="s">
        <v>39</v>
      </c>
      <c r="G1066" t="s">
        <v>39</v>
      </c>
      <c r="H1066" t="s">
        <v>21</v>
      </c>
      <c r="I1066">
        <v>3</v>
      </c>
      <c r="J1066">
        <v>5</v>
      </c>
      <c r="K1066">
        <v>50</v>
      </c>
      <c r="L1066" t="s">
        <v>1071</v>
      </c>
      <c r="M1066" t="s">
        <v>468</v>
      </c>
      <c r="N1066" t="s">
        <v>3005</v>
      </c>
      <c r="O1066" t="s">
        <v>3006</v>
      </c>
      <c r="P1066" t="s">
        <v>3007</v>
      </c>
      <c r="Q1066">
        <f t="shared" si="288"/>
        <v>1</v>
      </c>
      <c r="R1066">
        <f t="shared" si="289"/>
        <v>5</v>
      </c>
      <c r="S1066">
        <f t="shared" si="290"/>
        <v>5</v>
      </c>
      <c r="T1066">
        <f t="shared" si="291"/>
        <v>1</v>
      </c>
      <c r="U1066">
        <v>50</v>
      </c>
      <c r="V1066">
        <f t="shared" si="292"/>
        <v>1</v>
      </c>
      <c r="W1066">
        <f t="shared" si="293"/>
        <v>0</v>
      </c>
      <c r="X1066">
        <f t="shared" si="294"/>
        <v>1</v>
      </c>
      <c r="Y1066">
        <f t="shared" si="295"/>
        <v>1</v>
      </c>
      <c r="Z1066">
        <f t="shared" si="296"/>
        <v>0</v>
      </c>
      <c r="AA1066">
        <f t="shared" si="297"/>
        <v>1</v>
      </c>
      <c r="AB1066">
        <f t="shared" si="298"/>
        <v>1</v>
      </c>
      <c r="AC1066">
        <f t="shared" si="299"/>
        <v>1</v>
      </c>
      <c r="AD1066">
        <f t="shared" si="300"/>
        <v>1</v>
      </c>
      <c r="AE1066">
        <f t="shared" si="301"/>
        <v>1</v>
      </c>
      <c r="AF1066">
        <f t="shared" si="302"/>
        <v>1</v>
      </c>
      <c r="AG1066">
        <f t="shared" si="303"/>
        <v>0</v>
      </c>
      <c r="AH1066">
        <f t="shared" si="304"/>
        <v>1</v>
      </c>
      <c r="AI1066">
        <f t="shared" si="305"/>
        <v>1</v>
      </c>
    </row>
    <row r="1067" spans="1:35" x14ac:dyDescent="0.2">
      <c r="A1067">
        <v>283</v>
      </c>
      <c r="B1067" t="s">
        <v>749</v>
      </c>
      <c r="C1067">
        <v>6</v>
      </c>
      <c r="D1067" t="s">
        <v>3008</v>
      </c>
      <c r="E1067" t="s">
        <v>18</v>
      </c>
      <c r="F1067" t="s">
        <v>18</v>
      </c>
      <c r="G1067" t="s">
        <v>18</v>
      </c>
      <c r="H1067" t="s">
        <v>20</v>
      </c>
      <c r="I1067">
        <v>2</v>
      </c>
      <c r="J1067">
        <v>2</v>
      </c>
      <c r="K1067" t="s">
        <v>3009</v>
      </c>
      <c r="L1067" t="s">
        <v>70</v>
      </c>
      <c r="M1067" t="s">
        <v>48</v>
      </c>
      <c r="N1067" t="s">
        <v>84</v>
      </c>
      <c r="O1067" t="s">
        <v>3010</v>
      </c>
      <c r="P1067" t="s">
        <v>3011</v>
      </c>
      <c r="Q1067">
        <f t="shared" si="288"/>
        <v>4</v>
      </c>
      <c r="R1067">
        <f t="shared" si="289"/>
        <v>4</v>
      </c>
      <c r="S1067">
        <f t="shared" si="290"/>
        <v>4</v>
      </c>
      <c r="T1067">
        <f t="shared" si="291"/>
        <v>2</v>
      </c>
      <c r="U1067">
        <v>1000</v>
      </c>
      <c r="V1067">
        <f t="shared" si="292"/>
        <v>0</v>
      </c>
      <c r="W1067">
        <f t="shared" si="293"/>
        <v>0</v>
      </c>
      <c r="X1067">
        <f t="shared" si="294"/>
        <v>0</v>
      </c>
      <c r="Y1067">
        <f t="shared" si="295"/>
        <v>1</v>
      </c>
      <c r="Z1067">
        <f t="shared" si="296"/>
        <v>0</v>
      </c>
      <c r="AA1067">
        <f t="shared" si="297"/>
        <v>1</v>
      </c>
      <c r="AB1067">
        <f t="shared" si="298"/>
        <v>1</v>
      </c>
      <c r="AC1067">
        <f t="shared" si="299"/>
        <v>1</v>
      </c>
      <c r="AD1067">
        <f t="shared" si="300"/>
        <v>0</v>
      </c>
      <c r="AE1067">
        <f t="shared" si="301"/>
        <v>0</v>
      </c>
      <c r="AF1067">
        <f t="shared" si="302"/>
        <v>0</v>
      </c>
      <c r="AG1067">
        <f t="shared" si="303"/>
        <v>1</v>
      </c>
      <c r="AH1067">
        <f t="shared" si="304"/>
        <v>0</v>
      </c>
      <c r="AI1067">
        <f t="shared" si="305"/>
        <v>0</v>
      </c>
    </row>
    <row r="1068" spans="1:35" x14ac:dyDescent="0.2">
      <c r="A1068">
        <v>284</v>
      </c>
      <c r="B1068" t="s">
        <v>749</v>
      </c>
      <c r="C1068">
        <v>8</v>
      </c>
      <c r="D1068" t="s">
        <v>2943</v>
      </c>
      <c r="E1068" t="s">
        <v>18</v>
      </c>
      <c r="F1068" t="s">
        <v>18</v>
      </c>
      <c r="G1068" t="s">
        <v>39</v>
      </c>
      <c r="H1068" t="s">
        <v>20</v>
      </c>
      <c r="I1068">
        <v>3</v>
      </c>
      <c r="J1068">
        <v>4</v>
      </c>
      <c r="K1068">
        <v>100</v>
      </c>
      <c r="L1068" t="s">
        <v>194</v>
      </c>
      <c r="M1068" t="s">
        <v>280</v>
      </c>
      <c r="N1068" t="s">
        <v>36</v>
      </c>
      <c r="O1068" t="s">
        <v>3012</v>
      </c>
      <c r="P1068" t="s">
        <v>3013</v>
      </c>
      <c r="Q1068">
        <f t="shared" si="288"/>
        <v>4</v>
      </c>
      <c r="R1068">
        <f t="shared" si="289"/>
        <v>4</v>
      </c>
      <c r="S1068">
        <f t="shared" si="290"/>
        <v>5</v>
      </c>
      <c r="T1068">
        <f t="shared" si="291"/>
        <v>2</v>
      </c>
      <c r="U1068">
        <v>100</v>
      </c>
      <c r="V1068">
        <f t="shared" si="292"/>
        <v>0</v>
      </c>
      <c r="W1068">
        <f t="shared" si="293"/>
        <v>0</v>
      </c>
      <c r="X1068">
        <f t="shared" si="294"/>
        <v>0</v>
      </c>
      <c r="Y1068">
        <f t="shared" si="295"/>
        <v>1</v>
      </c>
      <c r="Z1068">
        <f t="shared" si="296"/>
        <v>1</v>
      </c>
      <c r="AA1068">
        <f t="shared" si="297"/>
        <v>0</v>
      </c>
      <c r="AB1068">
        <f t="shared" si="298"/>
        <v>1</v>
      </c>
      <c r="AC1068">
        <f t="shared" si="299"/>
        <v>1</v>
      </c>
      <c r="AD1068">
        <f t="shared" si="300"/>
        <v>1</v>
      </c>
      <c r="AE1068">
        <f t="shared" si="301"/>
        <v>0</v>
      </c>
      <c r="AF1068">
        <f t="shared" si="302"/>
        <v>0</v>
      </c>
      <c r="AG1068">
        <f t="shared" si="303"/>
        <v>0</v>
      </c>
      <c r="AH1068">
        <f t="shared" si="304"/>
        <v>0</v>
      </c>
      <c r="AI1068">
        <f t="shared" si="305"/>
        <v>1</v>
      </c>
    </row>
    <row r="1069" spans="1:35" x14ac:dyDescent="0.2">
      <c r="A1069">
        <v>285</v>
      </c>
      <c r="B1069" t="s">
        <v>749</v>
      </c>
      <c r="C1069">
        <v>9</v>
      </c>
      <c r="D1069" t="s">
        <v>3014</v>
      </c>
      <c r="E1069" t="s">
        <v>18</v>
      </c>
      <c r="F1069" t="s">
        <v>21</v>
      </c>
      <c r="G1069" t="s">
        <v>21</v>
      </c>
      <c r="H1069" t="s">
        <v>18</v>
      </c>
      <c r="I1069">
        <v>3</v>
      </c>
      <c r="J1069">
        <v>2</v>
      </c>
      <c r="K1069">
        <v>5000</v>
      </c>
      <c r="L1069" t="s">
        <v>75</v>
      </c>
      <c r="M1069" t="s">
        <v>161</v>
      </c>
      <c r="N1069" t="s">
        <v>36</v>
      </c>
      <c r="O1069" t="s">
        <v>3015</v>
      </c>
      <c r="P1069" t="s">
        <v>3016</v>
      </c>
      <c r="Q1069">
        <f t="shared" si="288"/>
        <v>4</v>
      </c>
      <c r="R1069">
        <f t="shared" si="289"/>
        <v>1</v>
      </c>
      <c r="S1069">
        <f t="shared" si="290"/>
        <v>1</v>
      </c>
      <c r="T1069">
        <f t="shared" si="291"/>
        <v>4</v>
      </c>
      <c r="U1069">
        <v>5000</v>
      </c>
      <c r="V1069">
        <f t="shared" si="292"/>
        <v>0</v>
      </c>
      <c r="W1069">
        <f t="shared" si="293"/>
        <v>0</v>
      </c>
      <c r="X1069">
        <f t="shared" si="294"/>
        <v>1</v>
      </c>
      <c r="Y1069">
        <f t="shared" si="295"/>
        <v>1</v>
      </c>
      <c r="Z1069">
        <f t="shared" si="296"/>
        <v>0</v>
      </c>
      <c r="AA1069">
        <f t="shared" si="297"/>
        <v>1</v>
      </c>
      <c r="AB1069">
        <f t="shared" si="298"/>
        <v>1</v>
      </c>
      <c r="AC1069">
        <f t="shared" si="299"/>
        <v>1</v>
      </c>
      <c r="AD1069">
        <f t="shared" si="300"/>
        <v>1</v>
      </c>
      <c r="AE1069">
        <f t="shared" si="301"/>
        <v>0</v>
      </c>
      <c r="AF1069">
        <f t="shared" si="302"/>
        <v>0</v>
      </c>
      <c r="AG1069">
        <f t="shared" si="303"/>
        <v>0</v>
      </c>
      <c r="AH1069">
        <f t="shared" si="304"/>
        <v>0</v>
      </c>
      <c r="AI1069">
        <f t="shared" si="305"/>
        <v>1</v>
      </c>
    </row>
    <row r="1070" spans="1:35" x14ac:dyDescent="0.2">
      <c r="A1070">
        <v>286</v>
      </c>
      <c r="B1070" t="s">
        <v>749</v>
      </c>
      <c r="C1070">
        <v>3</v>
      </c>
      <c r="D1070" t="s">
        <v>1199</v>
      </c>
      <c r="E1070" t="s">
        <v>39</v>
      </c>
      <c r="F1070" t="s">
        <v>18</v>
      </c>
      <c r="G1070" t="s">
        <v>39</v>
      </c>
      <c r="H1070" t="s">
        <v>21</v>
      </c>
      <c r="I1070">
        <v>4</v>
      </c>
      <c r="J1070">
        <v>3</v>
      </c>
      <c r="K1070" s="1">
        <v>55</v>
      </c>
      <c r="L1070" t="s">
        <v>53</v>
      </c>
      <c r="M1070" t="s">
        <v>154</v>
      </c>
      <c r="N1070" t="s">
        <v>36</v>
      </c>
      <c r="O1070" t="s">
        <v>593</v>
      </c>
      <c r="P1070" t="s">
        <v>3017</v>
      </c>
      <c r="Q1070">
        <f t="shared" si="288"/>
        <v>5</v>
      </c>
      <c r="R1070">
        <f t="shared" si="289"/>
        <v>4</v>
      </c>
      <c r="S1070">
        <f t="shared" si="290"/>
        <v>5</v>
      </c>
      <c r="T1070">
        <f t="shared" si="291"/>
        <v>1</v>
      </c>
      <c r="U1070">
        <v>55</v>
      </c>
      <c r="V1070">
        <f t="shared" si="292"/>
        <v>0</v>
      </c>
      <c r="W1070">
        <f t="shared" si="293"/>
        <v>0</v>
      </c>
      <c r="X1070">
        <f t="shared" si="294"/>
        <v>1</v>
      </c>
      <c r="Y1070">
        <f t="shared" si="295"/>
        <v>0</v>
      </c>
      <c r="Z1070">
        <f t="shared" si="296"/>
        <v>0</v>
      </c>
      <c r="AA1070">
        <f t="shared" si="297"/>
        <v>1</v>
      </c>
      <c r="AB1070">
        <f t="shared" si="298"/>
        <v>0</v>
      </c>
      <c r="AC1070">
        <f t="shared" si="299"/>
        <v>1</v>
      </c>
      <c r="AD1070">
        <f t="shared" si="300"/>
        <v>0</v>
      </c>
      <c r="AE1070">
        <f t="shared" si="301"/>
        <v>0</v>
      </c>
      <c r="AF1070">
        <f t="shared" si="302"/>
        <v>0</v>
      </c>
      <c r="AG1070">
        <f t="shared" si="303"/>
        <v>0</v>
      </c>
      <c r="AH1070">
        <f t="shared" si="304"/>
        <v>0</v>
      </c>
      <c r="AI1070">
        <f t="shared" si="305"/>
        <v>1</v>
      </c>
    </row>
    <row r="1071" spans="1:35" x14ac:dyDescent="0.2">
      <c r="A1071">
        <v>287</v>
      </c>
      <c r="B1071" t="s">
        <v>749</v>
      </c>
      <c r="C1071">
        <v>7</v>
      </c>
      <c r="D1071" t="s">
        <v>3018</v>
      </c>
      <c r="E1071" t="s">
        <v>19</v>
      </c>
      <c r="F1071" t="s">
        <v>20</v>
      </c>
      <c r="G1071" t="s">
        <v>18</v>
      </c>
      <c r="H1071" t="s">
        <v>20</v>
      </c>
      <c r="I1071">
        <v>5</v>
      </c>
      <c r="J1071">
        <v>4</v>
      </c>
      <c r="K1071">
        <v>20</v>
      </c>
      <c r="L1071" t="s">
        <v>194</v>
      </c>
      <c r="M1071" t="s">
        <v>161</v>
      </c>
      <c r="N1071" t="s">
        <v>847</v>
      </c>
      <c r="O1071" t="s">
        <v>3019</v>
      </c>
      <c r="P1071" t="s">
        <v>3020</v>
      </c>
      <c r="Q1071">
        <f t="shared" si="288"/>
        <v>3</v>
      </c>
      <c r="R1071">
        <f t="shared" si="289"/>
        <v>2</v>
      </c>
      <c r="S1071">
        <f t="shared" si="290"/>
        <v>4</v>
      </c>
      <c r="T1071">
        <f t="shared" si="291"/>
        <v>2</v>
      </c>
      <c r="U1071">
        <v>20</v>
      </c>
      <c r="V1071">
        <f t="shared" si="292"/>
        <v>0</v>
      </c>
      <c r="W1071">
        <f t="shared" si="293"/>
        <v>0</v>
      </c>
      <c r="X1071">
        <f t="shared" si="294"/>
        <v>0</v>
      </c>
      <c r="Y1071">
        <f t="shared" si="295"/>
        <v>1</v>
      </c>
      <c r="Z1071">
        <f t="shared" si="296"/>
        <v>1</v>
      </c>
      <c r="AA1071">
        <f t="shared" si="297"/>
        <v>1</v>
      </c>
      <c r="AB1071">
        <f t="shared" si="298"/>
        <v>1</v>
      </c>
      <c r="AC1071">
        <f t="shared" si="299"/>
        <v>1</v>
      </c>
      <c r="AD1071">
        <f t="shared" si="300"/>
        <v>1</v>
      </c>
      <c r="AE1071">
        <f t="shared" si="301"/>
        <v>0</v>
      </c>
      <c r="AF1071">
        <f t="shared" si="302"/>
        <v>1</v>
      </c>
      <c r="AG1071">
        <f t="shared" si="303"/>
        <v>0</v>
      </c>
      <c r="AH1071">
        <f t="shared" si="304"/>
        <v>0</v>
      </c>
      <c r="AI1071">
        <f t="shared" si="305"/>
        <v>1</v>
      </c>
    </row>
    <row r="1072" spans="1:35" x14ac:dyDescent="0.2">
      <c r="A1072">
        <v>288</v>
      </c>
      <c r="B1072" t="s">
        <v>749</v>
      </c>
      <c r="C1072">
        <v>7</v>
      </c>
      <c r="D1072" t="s">
        <v>3021</v>
      </c>
      <c r="E1072" t="s">
        <v>19</v>
      </c>
      <c r="F1072" t="s">
        <v>18</v>
      </c>
      <c r="G1072" t="s">
        <v>18</v>
      </c>
      <c r="H1072" t="s">
        <v>21</v>
      </c>
      <c r="I1072">
        <v>4</v>
      </c>
      <c r="J1072">
        <v>4</v>
      </c>
      <c r="K1072">
        <v>7</v>
      </c>
      <c r="L1072" t="s">
        <v>70</v>
      </c>
      <c r="M1072" t="s">
        <v>115</v>
      </c>
      <c r="N1072" t="s">
        <v>36</v>
      </c>
      <c r="O1072" t="s">
        <v>817</v>
      </c>
      <c r="P1072" t="s">
        <v>3022</v>
      </c>
      <c r="Q1072">
        <f t="shared" si="288"/>
        <v>3</v>
      </c>
      <c r="R1072">
        <f t="shared" si="289"/>
        <v>4</v>
      </c>
      <c r="S1072">
        <f t="shared" si="290"/>
        <v>4</v>
      </c>
      <c r="T1072">
        <f t="shared" si="291"/>
        <v>1</v>
      </c>
      <c r="U1072">
        <v>7</v>
      </c>
      <c r="V1072">
        <f t="shared" si="292"/>
        <v>0</v>
      </c>
      <c r="W1072">
        <f t="shared" si="293"/>
        <v>0</v>
      </c>
      <c r="X1072">
        <f t="shared" si="294"/>
        <v>0</v>
      </c>
      <c r="Y1072">
        <f t="shared" si="295"/>
        <v>1</v>
      </c>
      <c r="Z1072">
        <f t="shared" si="296"/>
        <v>0</v>
      </c>
      <c r="AA1072">
        <f t="shared" si="297"/>
        <v>0</v>
      </c>
      <c r="AB1072">
        <f t="shared" si="298"/>
        <v>0</v>
      </c>
      <c r="AC1072">
        <f t="shared" si="299"/>
        <v>1</v>
      </c>
      <c r="AD1072">
        <f t="shared" si="300"/>
        <v>0</v>
      </c>
      <c r="AE1072">
        <f t="shared" si="301"/>
        <v>0</v>
      </c>
      <c r="AF1072">
        <f t="shared" si="302"/>
        <v>0</v>
      </c>
      <c r="AG1072">
        <f t="shared" si="303"/>
        <v>0</v>
      </c>
      <c r="AH1072">
        <f t="shared" si="304"/>
        <v>0</v>
      </c>
      <c r="AI1072">
        <f t="shared" si="305"/>
        <v>1</v>
      </c>
    </row>
    <row r="1073" spans="1:35" x14ac:dyDescent="0.2">
      <c r="A1073">
        <v>289</v>
      </c>
      <c r="B1073" t="s">
        <v>749</v>
      </c>
      <c r="C1073">
        <v>9</v>
      </c>
      <c r="D1073" t="s">
        <v>3023</v>
      </c>
      <c r="E1073" t="s">
        <v>21</v>
      </c>
      <c r="F1073" t="s">
        <v>39</v>
      </c>
      <c r="G1073" t="s">
        <v>39</v>
      </c>
      <c r="H1073" t="s">
        <v>21</v>
      </c>
      <c r="I1073">
        <v>5</v>
      </c>
      <c r="J1073">
        <v>7</v>
      </c>
      <c r="K1073">
        <v>750000</v>
      </c>
      <c r="L1073" t="s">
        <v>41</v>
      </c>
      <c r="M1073" t="s">
        <v>42</v>
      </c>
      <c r="N1073" t="s">
        <v>84</v>
      </c>
      <c r="O1073" t="s">
        <v>3024</v>
      </c>
      <c r="P1073" t="s">
        <v>3025</v>
      </c>
      <c r="Q1073">
        <f t="shared" si="288"/>
        <v>1</v>
      </c>
      <c r="R1073">
        <f t="shared" si="289"/>
        <v>5</v>
      </c>
      <c r="S1073">
        <f t="shared" si="290"/>
        <v>5</v>
      </c>
      <c r="T1073">
        <f t="shared" si="291"/>
        <v>1</v>
      </c>
      <c r="U1073">
        <v>750000</v>
      </c>
      <c r="V1073">
        <f t="shared" si="292"/>
        <v>0</v>
      </c>
      <c r="W1073">
        <f t="shared" si="293"/>
        <v>0</v>
      </c>
      <c r="X1073">
        <f t="shared" si="294"/>
        <v>0</v>
      </c>
      <c r="Y1073">
        <f t="shared" si="295"/>
        <v>0</v>
      </c>
      <c r="Z1073">
        <f t="shared" si="296"/>
        <v>1</v>
      </c>
      <c r="AA1073">
        <f t="shared" si="297"/>
        <v>0</v>
      </c>
      <c r="AB1073">
        <f t="shared" si="298"/>
        <v>1</v>
      </c>
      <c r="AC1073">
        <f t="shared" si="299"/>
        <v>0</v>
      </c>
      <c r="AD1073">
        <f t="shared" si="300"/>
        <v>0</v>
      </c>
      <c r="AE1073">
        <f t="shared" si="301"/>
        <v>0</v>
      </c>
      <c r="AF1073">
        <f t="shared" si="302"/>
        <v>0</v>
      </c>
      <c r="AG1073">
        <f t="shared" si="303"/>
        <v>1</v>
      </c>
      <c r="AH1073">
        <f t="shared" si="304"/>
        <v>0</v>
      </c>
      <c r="AI1073">
        <f t="shared" si="305"/>
        <v>0</v>
      </c>
    </row>
    <row r="1074" spans="1:35" x14ac:dyDescent="0.2">
      <c r="A1074">
        <v>290</v>
      </c>
      <c r="B1074" t="s">
        <v>749</v>
      </c>
      <c r="C1074">
        <v>8</v>
      </c>
      <c r="D1074" t="s">
        <v>3026</v>
      </c>
      <c r="E1074" t="s">
        <v>39</v>
      </c>
      <c r="F1074" t="s">
        <v>39</v>
      </c>
      <c r="G1074" t="s">
        <v>39</v>
      </c>
      <c r="H1074" t="s">
        <v>20</v>
      </c>
      <c r="I1074">
        <v>3</v>
      </c>
      <c r="J1074">
        <v>4</v>
      </c>
      <c r="K1074">
        <v>20000</v>
      </c>
      <c r="L1074" t="s">
        <v>53</v>
      </c>
      <c r="M1074" t="s">
        <v>781</v>
      </c>
      <c r="N1074" t="s">
        <v>215</v>
      </c>
      <c r="O1074" t="s">
        <v>3027</v>
      </c>
      <c r="P1074" t="s">
        <v>3028</v>
      </c>
      <c r="Q1074">
        <f t="shared" si="288"/>
        <v>5</v>
      </c>
      <c r="R1074">
        <f t="shared" si="289"/>
        <v>5</v>
      </c>
      <c r="S1074">
        <f t="shared" si="290"/>
        <v>5</v>
      </c>
      <c r="T1074">
        <f t="shared" si="291"/>
        <v>2</v>
      </c>
      <c r="U1074">
        <v>20000</v>
      </c>
      <c r="V1074">
        <f t="shared" si="292"/>
        <v>0</v>
      </c>
      <c r="W1074">
        <f t="shared" si="293"/>
        <v>0</v>
      </c>
      <c r="X1074">
        <f t="shared" si="294"/>
        <v>1</v>
      </c>
      <c r="Y1074">
        <f t="shared" si="295"/>
        <v>0</v>
      </c>
      <c r="Z1074">
        <f t="shared" si="296"/>
        <v>0</v>
      </c>
      <c r="AA1074">
        <f t="shared" si="297"/>
        <v>0</v>
      </c>
      <c r="AB1074">
        <f t="shared" si="298"/>
        <v>1</v>
      </c>
      <c r="AC1074">
        <f t="shared" si="299"/>
        <v>1</v>
      </c>
      <c r="AD1074">
        <f t="shared" si="300"/>
        <v>1</v>
      </c>
      <c r="AE1074">
        <f t="shared" si="301"/>
        <v>1</v>
      </c>
      <c r="AF1074">
        <f t="shared" si="302"/>
        <v>1</v>
      </c>
      <c r="AG1074">
        <f t="shared" si="303"/>
        <v>0</v>
      </c>
      <c r="AH1074">
        <f t="shared" si="304"/>
        <v>0</v>
      </c>
      <c r="AI1074">
        <f t="shared" si="305"/>
        <v>0</v>
      </c>
    </row>
    <row r="1075" spans="1:35" x14ac:dyDescent="0.2">
      <c r="A1075">
        <v>291</v>
      </c>
      <c r="B1075" t="s">
        <v>749</v>
      </c>
      <c r="C1075">
        <v>3</v>
      </c>
      <c r="D1075" t="s">
        <v>2943</v>
      </c>
      <c r="E1075" t="s">
        <v>20</v>
      </c>
      <c r="F1075" t="s">
        <v>18</v>
      </c>
      <c r="G1075" t="s">
        <v>18</v>
      </c>
      <c r="H1075" t="s">
        <v>20</v>
      </c>
      <c r="I1075">
        <v>3</v>
      </c>
      <c r="J1075">
        <v>3</v>
      </c>
      <c r="K1075">
        <v>50</v>
      </c>
      <c r="L1075" t="s">
        <v>514</v>
      </c>
      <c r="M1075" t="s">
        <v>280</v>
      </c>
      <c r="N1075" t="s">
        <v>147</v>
      </c>
      <c r="O1075" t="s">
        <v>3029</v>
      </c>
      <c r="P1075" t="s">
        <v>3030</v>
      </c>
      <c r="Q1075">
        <f t="shared" si="288"/>
        <v>2</v>
      </c>
      <c r="R1075">
        <f t="shared" si="289"/>
        <v>4</v>
      </c>
      <c r="S1075">
        <f t="shared" si="290"/>
        <v>4</v>
      </c>
      <c r="T1075">
        <f t="shared" si="291"/>
        <v>2</v>
      </c>
      <c r="U1075">
        <v>50</v>
      </c>
      <c r="V1075">
        <f t="shared" si="292"/>
        <v>1</v>
      </c>
      <c r="W1075">
        <f t="shared" si="293"/>
        <v>1</v>
      </c>
      <c r="X1075">
        <f t="shared" si="294"/>
        <v>0</v>
      </c>
      <c r="Y1075">
        <f t="shared" si="295"/>
        <v>0</v>
      </c>
      <c r="Z1075">
        <f t="shared" si="296"/>
        <v>1</v>
      </c>
      <c r="AA1075">
        <f t="shared" si="297"/>
        <v>0</v>
      </c>
      <c r="AB1075">
        <f t="shared" si="298"/>
        <v>1</v>
      </c>
      <c r="AC1075">
        <f t="shared" si="299"/>
        <v>1</v>
      </c>
      <c r="AD1075">
        <f t="shared" si="300"/>
        <v>1</v>
      </c>
      <c r="AE1075">
        <f t="shared" si="301"/>
        <v>0</v>
      </c>
      <c r="AF1075">
        <f t="shared" si="302"/>
        <v>0</v>
      </c>
      <c r="AG1075">
        <f t="shared" si="303"/>
        <v>0</v>
      </c>
      <c r="AH1075">
        <f t="shared" si="304"/>
        <v>1</v>
      </c>
      <c r="AI1075">
        <f t="shared" si="305"/>
        <v>1</v>
      </c>
    </row>
    <row r="1076" spans="1:35" x14ac:dyDescent="0.2">
      <c r="A1076">
        <v>292</v>
      </c>
      <c r="B1076" t="s">
        <v>749</v>
      </c>
      <c r="C1076">
        <v>10</v>
      </c>
      <c r="D1076" t="s">
        <v>3031</v>
      </c>
      <c r="E1076" t="s">
        <v>21</v>
      </c>
      <c r="F1076" t="s">
        <v>39</v>
      </c>
      <c r="G1076" t="s">
        <v>39</v>
      </c>
      <c r="H1076" t="s">
        <v>21</v>
      </c>
      <c r="I1076">
        <v>4</v>
      </c>
      <c r="J1076">
        <v>3</v>
      </c>
      <c r="K1076">
        <v>1000</v>
      </c>
      <c r="L1076" t="s">
        <v>494</v>
      </c>
      <c r="M1076" t="s">
        <v>48</v>
      </c>
      <c r="N1076" t="s">
        <v>847</v>
      </c>
      <c r="O1076" t="s">
        <v>3032</v>
      </c>
      <c r="P1076" t="s">
        <v>3033</v>
      </c>
      <c r="Q1076">
        <f t="shared" si="288"/>
        <v>1</v>
      </c>
      <c r="R1076">
        <f t="shared" si="289"/>
        <v>5</v>
      </c>
      <c r="S1076">
        <f t="shared" si="290"/>
        <v>5</v>
      </c>
      <c r="T1076">
        <f t="shared" si="291"/>
        <v>1</v>
      </c>
      <c r="U1076">
        <v>1000</v>
      </c>
      <c r="V1076">
        <f t="shared" si="292"/>
        <v>0</v>
      </c>
      <c r="W1076">
        <f t="shared" si="293"/>
        <v>1</v>
      </c>
      <c r="X1076">
        <f t="shared" si="294"/>
        <v>1</v>
      </c>
      <c r="Y1076">
        <f t="shared" si="295"/>
        <v>1</v>
      </c>
      <c r="Z1076">
        <f t="shared" si="296"/>
        <v>1</v>
      </c>
      <c r="AA1076">
        <f t="shared" si="297"/>
        <v>1</v>
      </c>
      <c r="AB1076">
        <f t="shared" si="298"/>
        <v>1</v>
      </c>
      <c r="AC1076">
        <f t="shared" si="299"/>
        <v>1</v>
      </c>
      <c r="AD1076">
        <f t="shared" si="300"/>
        <v>0</v>
      </c>
      <c r="AE1076">
        <f t="shared" si="301"/>
        <v>0</v>
      </c>
      <c r="AF1076">
        <f t="shared" si="302"/>
        <v>1</v>
      </c>
      <c r="AG1076">
        <f t="shared" si="303"/>
        <v>0</v>
      </c>
      <c r="AH1076">
        <f t="shared" si="304"/>
        <v>0</v>
      </c>
      <c r="AI1076">
        <f t="shared" si="305"/>
        <v>1</v>
      </c>
    </row>
    <row r="1077" spans="1:35" x14ac:dyDescent="0.2">
      <c r="A1077">
        <v>293</v>
      </c>
      <c r="B1077" t="s">
        <v>749</v>
      </c>
      <c r="C1077">
        <v>9</v>
      </c>
      <c r="D1077" t="s">
        <v>3034</v>
      </c>
      <c r="E1077" t="s">
        <v>20</v>
      </c>
      <c r="F1077" t="s">
        <v>18</v>
      </c>
      <c r="G1077" t="s">
        <v>39</v>
      </c>
      <c r="H1077" t="s">
        <v>21</v>
      </c>
      <c r="I1077">
        <v>3</v>
      </c>
      <c r="J1077">
        <v>20</v>
      </c>
      <c r="K1077" s="1">
        <v>150</v>
      </c>
      <c r="L1077" t="s">
        <v>41</v>
      </c>
      <c r="M1077" t="s">
        <v>48</v>
      </c>
      <c r="N1077" t="s">
        <v>147</v>
      </c>
      <c r="O1077" t="s">
        <v>1011</v>
      </c>
      <c r="P1077" t="s">
        <v>3035</v>
      </c>
      <c r="Q1077">
        <f t="shared" si="288"/>
        <v>2</v>
      </c>
      <c r="R1077">
        <f t="shared" si="289"/>
        <v>4</v>
      </c>
      <c r="S1077">
        <f t="shared" si="290"/>
        <v>5</v>
      </c>
      <c r="T1077">
        <f t="shared" si="291"/>
        <v>1</v>
      </c>
      <c r="U1077">
        <v>150</v>
      </c>
      <c r="V1077">
        <f t="shared" si="292"/>
        <v>0</v>
      </c>
      <c r="W1077">
        <f t="shared" si="293"/>
        <v>0</v>
      </c>
      <c r="X1077">
        <f t="shared" si="294"/>
        <v>0</v>
      </c>
      <c r="Y1077">
        <f t="shared" si="295"/>
        <v>0</v>
      </c>
      <c r="Z1077">
        <f t="shared" si="296"/>
        <v>1</v>
      </c>
      <c r="AA1077">
        <f t="shared" si="297"/>
        <v>1</v>
      </c>
      <c r="AB1077">
        <f t="shared" si="298"/>
        <v>1</v>
      </c>
      <c r="AC1077">
        <f t="shared" si="299"/>
        <v>1</v>
      </c>
      <c r="AD1077">
        <f t="shared" si="300"/>
        <v>0</v>
      </c>
      <c r="AE1077">
        <f t="shared" si="301"/>
        <v>0</v>
      </c>
      <c r="AF1077">
        <f t="shared" si="302"/>
        <v>0</v>
      </c>
      <c r="AG1077">
        <f t="shared" si="303"/>
        <v>0</v>
      </c>
      <c r="AH1077">
        <f t="shared" si="304"/>
        <v>1</v>
      </c>
      <c r="AI1077">
        <f t="shared" si="305"/>
        <v>1</v>
      </c>
    </row>
    <row r="1078" spans="1:35" x14ac:dyDescent="0.2">
      <c r="A1078">
        <v>294</v>
      </c>
      <c r="B1078" t="s">
        <v>749</v>
      </c>
      <c r="C1078">
        <v>9</v>
      </c>
      <c r="D1078" t="s">
        <v>3036</v>
      </c>
      <c r="E1078" t="s">
        <v>20</v>
      </c>
      <c r="F1078" t="s">
        <v>39</v>
      </c>
      <c r="G1078" t="s">
        <v>39</v>
      </c>
      <c r="H1078" t="s">
        <v>21</v>
      </c>
      <c r="I1078">
        <v>2</v>
      </c>
      <c r="J1078">
        <v>3</v>
      </c>
      <c r="K1078" s="1">
        <v>20000</v>
      </c>
      <c r="L1078" t="s">
        <v>494</v>
      </c>
      <c r="M1078" t="s">
        <v>48</v>
      </c>
      <c r="N1078" t="s">
        <v>651</v>
      </c>
      <c r="O1078" t="s">
        <v>3037</v>
      </c>
      <c r="P1078" t="s">
        <v>3038</v>
      </c>
      <c r="Q1078">
        <f t="shared" si="288"/>
        <v>2</v>
      </c>
      <c r="R1078">
        <f t="shared" si="289"/>
        <v>5</v>
      </c>
      <c r="S1078">
        <f t="shared" si="290"/>
        <v>5</v>
      </c>
      <c r="T1078">
        <f t="shared" si="291"/>
        <v>1</v>
      </c>
      <c r="U1078">
        <v>20000</v>
      </c>
      <c r="V1078">
        <f t="shared" si="292"/>
        <v>0</v>
      </c>
      <c r="W1078">
        <f t="shared" si="293"/>
        <v>1</v>
      </c>
      <c r="X1078">
        <f t="shared" si="294"/>
        <v>1</v>
      </c>
      <c r="Y1078">
        <f t="shared" si="295"/>
        <v>1</v>
      </c>
      <c r="Z1078">
        <f t="shared" si="296"/>
        <v>1</v>
      </c>
      <c r="AA1078">
        <f t="shared" si="297"/>
        <v>1</v>
      </c>
      <c r="AB1078">
        <f t="shared" si="298"/>
        <v>1</v>
      </c>
      <c r="AC1078">
        <f t="shared" si="299"/>
        <v>1</v>
      </c>
      <c r="AD1078">
        <f t="shared" si="300"/>
        <v>0</v>
      </c>
      <c r="AE1078">
        <f t="shared" si="301"/>
        <v>0</v>
      </c>
      <c r="AF1078">
        <f t="shared" si="302"/>
        <v>1</v>
      </c>
      <c r="AG1078">
        <f t="shared" si="303"/>
        <v>0</v>
      </c>
      <c r="AH1078">
        <f t="shared" si="304"/>
        <v>1</v>
      </c>
      <c r="AI1078">
        <f t="shared" si="305"/>
        <v>0</v>
      </c>
    </row>
    <row r="1079" spans="1:35" x14ac:dyDescent="0.2">
      <c r="A1079">
        <v>295</v>
      </c>
      <c r="B1079" t="s">
        <v>749</v>
      </c>
      <c r="C1079">
        <v>4</v>
      </c>
      <c r="D1079" t="s">
        <v>3039</v>
      </c>
      <c r="E1079" t="s">
        <v>19</v>
      </c>
      <c r="F1079" t="s">
        <v>19</v>
      </c>
      <c r="G1079" t="s">
        <v>18</v>
      </c>
      <c r="H1079" t="s">
        <v>20</v>
      </c>
      <c r="I1079">
        <v>3</v>
      </c>
      <c r="J1079">
        <v>4</v>
      </c>
      <c r="K1079" s="1">
        <v>50</v>
      </c>
      <c r="L1079" t="s">
        <v>79</v>
      </c>
      <c r="M1079" t="s">
        <v>35</v>
      </c>
      <c r="N1079" t="s">
        <v>651</v>
      </c>
      <c r="O1079" t="s">
        <v>148</v>
      </c>
      <c r="P1079" t="s">
        <v>3040</v>
      </c>
      <c r="Q1079">
        <f t="shared" si="288"/>
        <v>3</v>
      </c>
      <c r="R1079">
        <f t="shared" si="289"/>
        <v>3</v>
      </c>
      <c r="S1079">
        <f t="shared" si="290"/>
        <v>4</v>
      </c>
      <c r="T1079">
        <f t="shared" si="291"/>
        <v>2</v>
      </c>
      <c r="U1079">
        <v>50</v>
      </c>
      <c r="V1079">
        <f t="shared" si="292"/>
        <v>0</v>
      </c>
      <c r="W1079">
        <f t="shared" si="293"/>
        <v>1</v>
      </c>
      <c r="X1079">
        <f t="shared" si="294"/>
        <v>0</v>
      </c>
      <c r="Y1079">
        <f t="shared" si="295"/>
        <v>0</v>
      </c>
      <c r="Z1079">
        <f t="shared" si="296"/>
        <v>1</v>
      </c>
      <c r="AA1079">
        <f t="shared" si="297"/>
        <v>0</v>
      </c>
      <c r="AB1079">
        <f t="shared" si="298"/>
        <v>0</v>
      </c>
      <c r="AC1079">
        <f t="shared" si="299"/>
        <v>0</v>
      </c>
      <c r="AD1079">
        <f t="shared" si="300"/>
        <v>1</v>
      </c>
      <c r="AE1079">
        <f t="shared" si="301"/>
        <v>0</v>
      </c>
      <c r="AF1079">
        <f t="shared" si="302"/>
        <v>1</v>
      </c>
      <c r="AG1079">
        <f t="shared" si="303"/>
        <v>0</v>
      </c>
      <c r="AH1079">
        <f t="shared" si="304"/>
        <v>1</v>
      </c>
      <c r="AI1079">
        <f t="shared" si="305"/>
        <v>0</v>
      </c>
    </row>
    <row r="1080" spans="1:35" x14ac:dyDescent="0.2">
      <c r="A1080">
        <v>296</v>
      </c>
      <c r="B1080" t="s">
        <v>749</v>
      </c>
      <c r="C1080">
        <v>4</v>
      </c>
      <c r="D1080" t="s">
        <v>1246</v>
      </c>
      <c r="E1080" t="s">
        <v>19</v>
      </c>
      <c r="F1080" t="s">
        <v>18</v>
      </c>
      <c r="G1080" t="s">
        <v>18</v>
      </c>
      <c r="H1080" t="s">
        <v>20</v>
      </c>
      <c r="I1080">
        <v>4</v>
      </c>
      <c r="J1080">
        <v>4</v>
      </c>
      <c r="K1080" s="1">
        <v>1000</v>
      </c>
      <c r="L1080" t="s">
        <v>562</v>
      </c>
      <c r="M1080" t="s">
        <v>468</v>
      </c>
      <c r="N1080" t="s">
        <v>622</v>
      </c>
      <c r="O1080" t="s">
        <v>3041</v>
      </c>
      <c r="P1080" t="s">
        <v>3042</v>
      </c>
      <c r="Q1080">
        <f t="shared" si="288"/>
        <v>3</v>
      </c>
      <c r="R1080">
        <f t="shared" si="289"/>
        <v>4</v>
      </c>
      <c r="S1080">
        <f t="shared" si="290"/>
        <v>4</v>
      </c>
      <c r="T1080">
        <f t="shared" si="291"/>
        <v>2</v>
      </c>
      <c r="U1080">
        <v>1000</v>
      </c>
      <c r="V1080">
        <f t="shared" si="292"/>
        <v>0</v>
      </c>
      <c r="W1080">
        <f t="shared" si="293"/>
        <v>1</v>
      </c>
      <c r="X1080">
        <f t="shared" si="294"/>
        <v>1</v>
      </c>
      <c r="Y1080">
        <f t="shared" si="295"/>
        <v>0</v>
      </c>
      <c r="Z1080">
        <f t="shared" si="296"/>
        <v>1</v>
      </c>
      <c r="AA1080">
        <f t="shared" si="297"/>
        <v>1</v>
      </c>
      <c r="AB1080">
        <f t="shared" si="298"/>
        <v>1</v>
      </c>
      <c r="AC1080">
        <f t="shared" si="299"/>
        <v>1</v>
      </c>
      <c r="AD1080">
        <f t="shared" si="300"/>
        <v>1</v>
      </c>
      <c r="AE1080">
        <f t="shared" si="301"/>
        <v>1</v>
      </c>
      <c r="AF1080">
        <f t="shared" si="302"/>
        <v>0</v>
      </c>
      <c r="AG1080">
        <f t="shared" si="303"/>
        <v>1</v>
      </c>
      <c r="AH1080">
        <f t="shared" si="304"/>
        <v>0</v>
      </c>
      <c r="AI1080">
        <f t="shared" si="305"/>
        <v>1</v>
      </c>
    </row>
    <row r="1081" spans="1:35" x14ac:dyDescent="0.2">
      <c r="A1081">
        <v>297</v>
      </c>
      <c r="B1081" t="s">
        <v>749</v>
      </c>
      <c r="C1081">
        <v>6</v>
      </c>
      <c r="D1081" t="s">
        <v>3043</v>
      </c>
      <c r="E1081" t="s">
        <v>20</v>
      </c>
      <c r="F1081" t="s">
        <v>18</v>
      </c>
      <c r="G1081" t="s">
        <v>19</v>
      </c>
      <c r="H1081" t="s">
        <v>20</v>
      </c>
      <c r="I1081">
        <v>3</v>
      </c>
      <c r="J1081">
        <v>2</v>
      </c>
      <c r="K1081">
        <v>70</v>
      </c>
      <c r="L1081" t="s">
        <v>53</v>
      </c>
      <c r="M1081" t="s">
        <v>123</v>
      </c>
      <c r="N1081" t="s">
        <v>84</v>
      </c>
      <c r="O1081" t="s">
        <v>60</v>
      </c>
      <c r="P1081" t="s">
        <v>3044</v>
      </c>
      <c r="Q1081">
        <f t="shared" si="288"/>
        <v>2</v>
      </c>
      <c r="R1081">
        <f t="shared" si="289"/>
        <v>4</v>
      </c>
      <c r="S1081">
        <f t="shared" si="290"/>
        <v>3</v>
      </c>
      <c r="T1081">
        <f t="shared" si="291"/>
        <v>2</v>
      </c>
      <c r="U1081">
        <v>70</v>
      </c>
      <c r="V1081">
        <f t="shared" si="292"/>
        <v>0</v>
      </c>
      <c r="W1081">
        <f t="shared" si="293"/>
        <v>0</v>
      </c>
      <c r="X1081">
        <f t="shared" si="294"/>
        <v>1</v>
      </c>
      <c r="Y1081">
        <f t="shared" si="295"/>
        <v>0</v>
      </c>
      <c r="Z1081">
        <f t="shared" si="296"/>
        <v>0</v>
      </c>
      <c r="AA1081">
        <f t="shared" si="297"/>
        <v>0</v>
      </c>
      <c r="AB1081">
        <f t="shared" si="298"/>
        <v>1</v>
      </c>
      <c r="AC1081">
        <f t="shared" si="299"/>
        <v>1</v>
      </c>
      <c r="AD1081">
        <f t="shared" si="300"/>
        <v>0</v>
      </c>
      <c r="AE1081">
        <f t="shared" si="301"/>
        <v>0</v>
      </c>
      <c r="AF1081">
        <f t="shared" si="302"/>
        <v>0</v>
      </c>
      <c r="AG1081">
        <f t="shared" si="303"/>
        <v>1</v>
      </c>
      <c r="AH1081">
        <f t="shared" si="304"/>
        <v>0</v>
      </c>
      <c r="AI1081">
        <f t="shared" si="305"/>
        <v>0</v>
      </c>
    </row>
    <row r="1082" spans="1:35" x14ac:dyDescent="0.2">
      <c r="A1082">
        <v>298</v>
      </c>
      <c r="B1082" t="s">
        <v>749</v>
      </c>
      <c r="C1082">
        <v>8</v>
      </c>
      <c r="D1082" t="s">
        <v>1246</v>
      </c>
      <c r="E1082" t="s">
        <v>20</v>
      </c>
      <c r="F1082" t="s">
        <v>19</v>
      </c>
      <c r="G1082" t="s">
        <v>18</v>
      </c>
      <c r="H1082" t="s">
        <v>20</v>
      </c>
      <c r="I1082">
        <v>4</v>
      </c>
      <c r="J1082">
        <v>7</v>
      </c>
      <c r="K1082" t="s">
        <v>2176</v>
      </c>
      <c r="L1082" t="s">
        <v>714</v>
      </c>
      <c r="M1082" t="s">
        <v>80</v>
      </c>
      <c r="N1082" t="s">
        <v>84</v>
      </c>
      <c r="O1082" t="s">
        <v>3045</v>
      </c>
      <c r="Q1082">
        <f t="shared" si="288"/>
        <v>2</v>
      </c>
      <c r="R1082">
        <f t="shared" si="289"/>
        <v>3</v>
      </c>
      <c r="S1082">
        <f t="shared" si="290"/>
        <v>4</v>
      </c>
      <c r="T1082">
        <f t="shared" si="291"/>
        <v>2</v>
      </c>
      <c r="V1082">
        <f t="shared" si="292"/>
        <v>0</v>
      </c>
      <c r="W1082">
        <f t="shared" si="293"/>
        <v>0</v>
      </c>
      <c r="X1082">
        <f t="shared" si="294"/>
        <v>1</v>
      </c>
      <c r="Y1082">
        <f t="shared" si="295"/>
        <v>1</v>
      </c>
      <c r="Z1082">
        <f t="shared" si="296"/>
        <v>1</v>
      </c>
      <c r="AA1082">
        <f t="shared" si="297"/>
        <v>1</v>
      </c>
      <c r="AB1082">
        <f t="shared" si="298"/>
        <v>1</v>
      </c>
      <c r="AC1082">
        <f t="shared" si="299"/>
        <v>0</v>
      </c>
      <c r="AD1082">
        <f t="shared" si="300"/>
        <v>0</v>
      </c>
      <c r="AE1082">
        <f t="shared" si="301"/>
        <v>1</v>
      </c>
      <c r="AF1082">
        <f t="shared" si="302"/>
        <v>0</v>
      </c>
      <c r="AG1082">
        <f t="shared" si="303"/>
        <v>1</v>
      </c>
      <c r="AH1082">
        <f t="shared" si="304"/>
        <v>0</v>
      </c>
      <c r="AI1082">
        <f t="shared" si="305"/>
        <v>0</v>
      </c>
    </row>
    <row r="1083" spans="1:35" x14ac:dyDescent="0.2">
      <c r="A1083">
        <v>299</v>
      </c>
      <c r="B1083" t="s">
        <v>749</v>
      </c>
      <c r="C1083">
        <v>5</v>
      </c>
      <c r="D1083" t="s">
        <v>3046</v>
      </c>
      <c r="E1083" t="s">
        <v>18</v>
      </c>
      <c r="F1083" t="s">
        <v>19</v>
      </c>
      <c r="G1083" t="s">
        <v>20</v>
      </c>
      <c r="H1083" t="s">
        <v>19</v>
      </c>
      <c r="I1083">
        <v>3</v>
      </c>
      <c r="J1083">
        <v>4</v>
      </c>
      <c r="K1083" t="s">
        <v>3047</v>
      </c>
      <c r="L1083" t="s">
        <v>47</v>
      </c>
      <c r="M1083" t="s">
        <v>48</v>
      </c>
      <c r="N1083" t="s">
        <v>24</v>
      </c>
      <c r="O1083" t="s">
        <v>3048</v>
      </c>
      <c r="P1083" t="s">
        <v>3049</v>
      </c>
      <c r="Q1083">
        <f t="shared" si="288"/>
        <v>4</v>
      </c>
      <c r="R1083">
        <f t="shared" si="289"/>
        <v>3</v>
      </c>
      <c r="S1083">
        <f t="shared" si="290"/>
        <v>2</v>
      </c>
      <c r="T1083">
        <f t="shared" si="291"/>
        <v>3</v>
      </c>
      <c r="U1083">
        <v>100</v>
      </c>
      <c r="V1083">
        <f t="shared" si="292"/>
        <v>0</v>
      </c>
      <c r="W1083">
        <f t="shared" si="293"/>
        <v>0</v>
      </c>
      <c r="X1083">
        <f t="shared" si="294"/>
        <v>1</v>
      </c>
      <c r="Y1083">
        <f t="shared" si="295"/>
        <v>0</v>
      </c>
      <c r="Z1083">
        <f t="shared" si="296"/>
        <v>1</v>
      </c>
      <c r="AA1083">
        <f t="shared" si="297"/>
        <v>1</v>
      </c>
      <c r="AB1083">
        <f t="shared" si="298"/>
        <v>1</v>
      </c>
      <c r="AC1083">
        <f t="shared" si="299"/>
        <v>1</v>
      </c>
      <c r="AD1083">
        <f t="shared" si="300"/>
        <v>0</v>
      </c>
      <c r="AE1083">
        <f t="shared" si="301"/>
        <v>0</v>
      </c>
      <c r="AF1083">
        <f t="shared" si="302"/>
        <v>0</v>
      </c>
      <c r="AG1083">
        <f t="shared" si="303"/>
        <v>0</v>
      </c>
      <c r="AH1083">
        <f t="shared" si="304"/>
        <v>1</v>
      </c>
      <c r="AI1083">
        <f t="shared" si="305"/>
        <v>0</v>
      </c>
    </row>
    <row r="1084" spans="1:35" x14ac:dyDescent="0.2">
      <c r="A1084">
        <v>300</v>
      </c>
      <c r="B1084" t="s">
        <v>749</v>
      </c>
      <c r="C1084">
        <v>5</v>
      </c>
      <c r="D1084" t="s">
        <v>3050</v>
      </c>
      <c r="E1084" t="s">
        <v>20</v>
      </c>
      <c r="F1084" t="s">
        <v>18</v>
      </c>
      <c r="G1084" t="s">
        <v>18</v>
      </c>
      <c r="H1084" t="s">
        <v>20</v>
      </c>
      <c r="I1084">
        <v>3</v>
      </c>
      <c r="J1084">
        <v>2</v>
      </c>
      <c r="K1084">
        <v>35</v>
      </c>
      <c r="L1084" t="s">
        <v>70</v>
      </c>
      <c r="M1084" t="s">
        <v>115</v>
      </c>
      <c r="N1084" t="s">
        <v>84</v>
      </c>
      <c r="O1084" t="s">
        <v>3051</v>
      </c>
      <c r="P1084" t="s">
        <v>3052</v>
      </c>
      <c r="Q1084">
        <f t="shared" si="288"/>
        <v>2</v>
      </c>
      <c r="R1084">
        <f t="shared" si="289"/>
        <v>4</v>
      </c>
      <c r="S1084">
        <f t="shared" si="290"/>
        <v>4</v>
      </c>
      <c r="T1084">
        <f t="shared" si="291"/>
        <v>2</v>
      </c>
      <c r="U1084">
        <v>35</v>
      </c>
      <c r="V1084">
        <f t="shared" si="292"/>
        <v>0</v>
      </c>
      <c r="W1084">
        <f t="shared" si="293"/>
        <v>0</v>
      </c>
      <c r="X1084">
        <f t="shared" si="294"/>
        <v>0</v>
      </c>
      <c r="Y1084">
        <f t="shared" si="295"/>
        <v>1</v>
      </c>
      <c r="Z1084">
        <f t="shared" si="296"/>
        <v>0</v>
      </c>
      <c r="AA1084">
        <f t="shared" si="297"/>
        <v>0</v>
      </c>
      <c r="AB1084">
        <f t="shared" si="298"/>
        <v>0</v>
      </c>
      <c r="AC1084">
        <f t="shared" si="299"/>
        <v>1</v>
      </c>
      <c r="AD1084">
        <f t="shared" si="300"/>
        <v>0</v>
      </c>
      <c r="AE1084">
        <f t="shared" si="301"/>
        <v>0</v>
      </c>
      <c r="AF1084">
        <f t="shared" si="302"/>
        <v>0</v>
      </c>
      <c r="AG1084">
        <f t="shared" si="303"/>
        <v>1</v>
      </c>
      <c r="AH1084">
        <f t="shared" si="304"/>
        <v>0</v>
      </c>
      <c r="AI1084">
        <f t="shared" si="305"/>
        <v>0</v>
      </c>
    </row>
    <row r="1085" spans="1:35" x14ac:dyDescent="0.2">
      <c r="A1085">
        <v>301</v>
      </c>
      <c r="B1085" t="s">
        <v>749</v>
      </c>
      <c r="C1085">
        <v>7</v>
      </c>
      <c r="D1085" t="s">
        <v>1130</v>
      </c>
      <c r="E1085" t="s">
        <v>20</v>
      </c>
      <c r="F1085" t="s">
        <v>19</v>
      </c>
      <c r="G1085" t="s">
        <v>39</v>
      </c>
      <c r="H1085" t="s">
        <v>20</v>
      </c>
      <c r="I1085">
        <v>4</v>
      </c>
      <c r="J1085">
        <v>3</v>
      </c>
      <c r="K1085">
        <v>10000</v>
      </c>
      <c r="L1085" t="s">
        <v>443</v>
      </c>
      <c r="M1085" t="s">
        <v>154</v>
      </c>
      <c r="N1085" t="s">
        <v>84</v>
      </c>
      <c r="O1085" t="s">
        <v>3053</v>
      </c>
      <c r="P1085" t="s">
        <v>3054</v>
      </c>
      <c r="Q1085">
        <f t="shared" si="288"/>
        <v>2</v>
      </c>
      <c r="R1085">
        <f t="shared" si="289"/>
        <v>3</v>
      </c>
      <c r="S1085">
        <f t="shared" si="290"/>
        <v>5</v>
      </c>
      <c r="T1085">
        <f t="shared" si="291"/>
        <v>2</v>
      </c>
      <c r="U1085">
        <v>10000</v>
      </c>
      <c r="V1085">
        <f t="shared" si="292"/>
        <v>1</v>
      </c>
      <c r="W1085">
        <f t="shared" si="293"/>
        <v>0</v>
      </c>
      <c r="X1085">
        <f t="shared" si="294"/>
        <v>0</v>
      </c>
      <c r="Y1085">
        <f t="shared" si="295"/>
        <v>1</v>
      </c>
      <c r="Z1085">
        <f t="shared" si="296"/>
        <v>1</v>
      </c>
      <c r="AA1085">
        <f t="shared" si="297"/>
        <v>1</v>
      </c>
      <c r="AB1085">
        <f t="shared" si="298"/>
        <v>0</v>
      </c>
      <c r="AC1085">
        <f t="shared" si="299"/>
        <v>1</v>
      </c>
      <c r="AD1085">
        <f t="shared" si="300"/>
        <v>0</v>
      </c>
      <c r="AE1085">
        <f t="shared" si="301"/>
        <v>0</v>
      </c>
      <c r="AF1085">
        <f t="shared" si="302"/>
        <v>0</v>
      </c>
      <c r="AG1085">
        <f t="shared" si="303"/>
        <v>1</v>
      </c>
      <c r="AH1085">
        <f t="shared" si="304"/>
        <v>0</v>
      </c>
      <c r="AI1085">
        <f t="shared" si="305"/>
        <v>0</v>
      </c>
    </row>
    <row r="1086" spans="1:35" x14ac:dyDescent="0.2">
      <c r="A1086">
        <v>302</v>
      </c>
      <c r="B1086" t="s">
        <v>749</v>
      </c>
      <c r="C1086">
        <v>10</v>
      </c>
      <c r="D1086" t="s">
        <v>3055</v>
      </c>
      <c r="E1086" t="s">
        <v>18</v>
      </c>
      <c r="F1086" t="s">
        <v>18</v>
      </c>
      <c r="G1086" t="s">
        <v>39</v>
      </c>
      <c r="H1086" t="s">
        <v>21</v>
      </c>
      <c r="I1086">
        <v>3</v>
      </c>
      <c r="J1086">
        <v>6</v>
      </c>
      <c r="K1086">
        <v>100000000</v>
      </c>
      <c r="L1086" t="s">
        <v>47</v>
      </c>
      <c r="M1086" t="s">
        <v>48</v>
      </c>
      <c r="N1086" t="s">
        <v>84</v>
      </c>
      <c r="O1086" t="s">
        <v>3056</v>
      </c>
      <c r="P1086" t="s">
        <v>3057</v>
      </c>
      <c r="Q1086">
        <f t="shared" si="288"/>
        <v>4</v>
      </c>
      <c r="R1086">
        <f t="shared" si="289"/>
        <v>4</v>
      </c>
      <c r="S1086">
        <f t="shared" si="290"/>
        <v>5</v>
      </c>
      <c r="T1086">
        <f t="shared" si="291"/>
        <v>1</v>
      </c>
      <c r="U1086">
        <v>100000000</v>
      </c>
      <c r="V1086">
        <f t="shared" si="292"/>
        <v>0</v>
      </c>
      <c r="W1086">
        <f t="shared" si="293"/>
        <v>0</v>
      </c>
      <c r="X1086">
        <f t="shared" si="294"/>
        <v>1</v>
      </c>
      <c r="Y1086">
        <f t="shared" si="295"/>
        <v>0</v>
      </c>
      <c r="Z1086">
        <f t="shared" si="296"/>
        <v>1</v>
      </c>
      <c r="AA1086">
        <f t="shared" si="297"/>
        <v>1</v>
      </c>
      <c r="AB1086">
        <f t="shared" si="298"/>
        <v>1</v>
      </c>
      <c r="AC1086">
        <f t="shared" si="299"/>
        <v>1</v>
      </c>
      <c r="AD1086">
        <f t="shared" si="300"/>
        <v>0</v>
      </c>
      <c r="AE1086">
        <f t="shared" si="301"/>
        <v>0</v>
      </c>
      <c r="AF1086">
        <f t="shared" si="302"/>
        <v>0</v>
      </c>
      <c r="AG1086">
        <f t="shared" si="303"/>
        <v>1</v>
      </c>
      <c r="AH1086">
        <f t="shared" si="304"/>
        <v>0</v>
      </c>
      <c r="AI1086">
        <f t="shared" si="305"/>
        <v>0</v>
      </c>
    </row>
    <row r="1087" spans="1:35" x14ac:dyDescent="0.2">
      <c r="A1087">
        <v>303</v>
      </c>
      <c r="B1087" t="s">
        <v>749</v>
      </c>
      <c r="C1087">
        <v>7</v>
      </c>
      <c r="D1087" t="s">
        <v>3058</v>
      </c>
      <c r="E1087" t="s">
        <v>18</v>
      </c>
      <c r="F1087" t="s">
        <v>19</v>
      </c>
      <c r="G1087" t="s">
        <v>18</v>
      </c>
      <c r="H1087" t="s">
        <v>19</v>
      </c>
      <c r="I1087">
        <v>11</v>
      </c>
      <c r="J1087">
        <v>6</v>
      </c>
      <c r="K1087">
        <v>30</v>
      </c>
      <c r="L1087" t="s">
        <v>70</v>
      </c>
      <c r="M1087" t="s">
        <v>115</v>
      </c>
      <c r="N1087" t="s">
        <v>36</v>
      </c>
      <c r="O1087" t="s">
        <v>3059</v>
      </c>
      <c r="P1087" t="s">
        <v>3060</v>
      </c>
      <c r="Q1087">
        <f t="shared" si="288"/>
        <v>4</v>
      </c>
      <c r="R1087">
        <f t="shared" si="289"/>
        <v>3</v>
      </c>
      <c r="S1087">
        <f t="shared" si="290"/>
        <v>4</v>
      </c>
      <c r="T1087">
        <f t="shared" si="291"/>
        <v>3</v>
      </c>
      <c r="U1087">
        <v>30</v>
      </c>
      <c r="V1087">
        <f t="shared" si="292"/>
        <v>0</v>
      </c>
      <c r="W1087">
        <f t="shared" si="293"/>
        <v>0</v>
      </c>
      <c r="X1087">
        <f t="shared" si="294"/>
        <v>0</v>
      </c>
      <c r="Y1087">
        <f t="shared" si="295"/>
        <v>1</v>
      </c>
      <c r="Z1087">
        <f t="shared" si="296"/>
        <v>0</v>
      </c>
      <c r="AA1087">
        <f t="shared" si="297"/>
        <v>0</v>
      </c>
      <c r="AB1087">
        <f t="shared" si="298"/>
        <v>0</v>
      </c>
      <c r="AC1087">
        <f t="shared" si="299"/>
        <v>1</v>
      </c>
      <c r="AD1087">
        <f t="shared" si="300"/>
        <v>0</v>
      </c>
      <c r="AE1087">
        <f t="shared" si="301"/>
        <v>0</v>
      </c>
      <c r="AF1087">
        <f t="shared" si="302"/>
        <v>0</v>
      </c>
      <c r="AG1087">
        <f t="shared" si="303"/>
        <v>0</v>
      </c>
      <c r="AH1087">
        <f t="shared" si="304"/>
        <v>0</v>
      </c>
      <c r="AI1087">
        <f t="shared" si="305"/>
        <v>1</v>
      </c>
    </row>
    <row r="1088" spans="1:35" x14ac:dyDescent="0.2">
      <c r="A1088">
        <v>304</v>
      </c>
      <c r="B1088" t="s">
        <v>749</v>
      </c>
      <c r="C1088">
        <v>8</v>
      </c>
      <c r="D1088" t="s">
        <v>3061</v>
      </c>
      <c r="E1088" t="s">
        <v>18</v>
      </c>
      <c r="F1088" t="s">
        <v>19</v>
      </c>
      <c r="G1088" t="s">
        <v>39</v>
      </c>
      <c r="H1088" t="s">
        <v>20</v>
      </c>
      <c r="I1088">
        <v>4</v>
      </c>
      <c r="J1088">
        <v>4</v>
      </c>
      <c r="K1088">
        <v>1500</v>
      </c>
      <c r="L1088" t="s">
        <v>494</v>
      </c>
      <c r="M1088" t="s">
        <v>48</v>
      </c>
      <c r="N1088" t="s">
        <v>822</v>
      </c>
      <c r="O1088" t="s">
        <v>590</v>
      </c>
      <c r="P1088" t="s">
        <v>3062</v>
      </c>
      <c r="Q1088">
        <f t="shared" si="288"/>
        <v>4</v>
      </c>
      <c r="R1088">
        <f t="shared" si="289"/>
        <v>3</v>
      </c>
      <c r="S1088">
        <f t="shared" si="290"/>
        <v>5</v>
      </c>
      <c r="T1088">
        <f t="shared" si="291"/>
        <v>2</v>
      </c>
      <c r="U1088">
        <v>1500</v>
      </c>
      <c r="V1088">
        <f t="shared" si="292"/>
        <v>0</v>
      </c>
      <c r="W1088">
        <f t="shared" si="293"/>
        <v>1</v>
      </c>
      <c r="X1088">
        <f t="shared" si="294"/>
        <v>1</v>
      </c>
      <c r="Y1088">
        <f t="shared" si="295"/>
        <v>1</v>
      </c>
      <c r="Z1088">
        <f t="shared" si="296"/>
        <v>1</v>
      </c>
      <c r="AA1088">
        <f t="shared" si="297"/>
        <v>1</v>
      </c>
      <c r="AB1088">
        <f t="shared" si="298"/>
        <v>1</v>
      </c>
      <c r="AC1088">
        <f t="shared" si="299"/>
        <v>1</v>
      </c>
      <c r="AD1088">
        <f t="shared" si="300"/>
        <v>0</v>
      </c>
      <c r="AE1088">
        <f t="shared" si="301"/>
        <v>0</v>
      </c>
      <c r="AF1088">
        <f t="shared" si="302"/>
        <v>1</v>
      </c>
      <c r="AG1088">
        <f t="shared" si="303"/>
        <v>1</v>
      </c>
      <c r="AH1088">
        <f t="shared" si="304"/>
        <v>1</v>
      </c>
      <c r="AI1088">
        <f t="shared" si="305"/>
        <v>0</v>
      </c>
    </row>
    <row r="1089" spans="1:35" x14ac:dyDescent="0.2">
      <c r="A1089">
        <v>305</v>
      </c>
      <c r="B1089" t="s">
        <v>749</v>
      </c>
      <c r="C1089">
        <v>7</v>
      </c>
      <c r="D1089" t="s">
        <v>3063</v>
      </c>
      <c r="E1089" t="s">
        <v>20</v>
      </c>
      <c r="F1089" t="s">
        <v>18</v>
      </c>
      <c r="G1089" t="s">
        <v>18</v>
      </c>
      <c r="H1089" t="s">
        <v>20</v>
      </c>
      <c r="I1089">
        <v>15</v>
      </c>
      <c r="J1089">
        <v>17</v>
      </c>
      <c r="K1089" t="s">
        <v>3064</v>
      </c>
      <c r="L1089" t="s">
        <v>714</v>
      </c>
      <c r="M1089" t="s">
        <v>468</v>
      </c>
      <c r="N1089" t="s">
        <v>847</v>
      </c>
      <c r="O1089" t="s">
        <v>3065</v>
      </c>
      <c r="P1089" t="s">
        <v>3066</v>
      </c>
      <c r="Q1089">
        <f t="shared" si="288"/>
        <v>2</v>
      </c>
      <c r="R1089">
        <f t="shared" si="289"/>
        <v>4</v>
      </c>
      <c r="S1089">
        <f t="shared" si="290"/>
        <v>4</v>
      </c>
      <c r="T1089">
        <f t="shared" si="291"/>
        <v>2</v>
      </c>
      <c r="V1089">
        <f t="shared" si="292"/>
        <v>0</v>
      </c>
      <c r="W1089">
        <f t="shared" si="293"/>
        <v>0</v>
      </c>
      <c r="X1089">
        <f t="shared" si="294"/>
        <v>1</v>
      </c>
      <c r="Y1089">
        <f t="shared" si="295"/>
        <v>1</v>
      </c>
      <c r="Z1089">
        <f t="shared" si="296"/>
        <v>1</v>
      </c>
      <c r="AA1089">
        <f t="shared" si="297"/>
        <v>1</v>
      </c>
      <c r="AB1089">
        <f t="shared" si="298"/>
        <v>1</v>
      </c>
      <c r="AC1089">
        <f t="shared" si="299"/>
        <v>1</v>
      </c>
      <c r="AD1089">
        <f t="shared" si="300"/>
        <v>1</v>
      </c>
      <c r="AE1089">
        <f t="shared" si="301"/>
        <v>1</v>
      </c>
      <c r="AF1089">
        <f t="shared" si="302"/>
        <v>1</v>
      </c>
      <c r="AG1089">
        <f t="shared" si="303"/>
        <v>0</v>
      </c>
      <c r="AH1089">
        <f t="shared" si="304"/>
        <v>0</v>
      </c>
      <c r="AI1089">
        <f t="shared" si="305"/>
        <v>1</v>
      </c>
    </row>
    <row r="1090" spans="1:35" x14ac:dyDescent="0.2">
      <c r="A1090">
        <v>306</v>
      </c>
      <c r="B1090" t="s">
        <v>749</v>
      </c>
      <c r="C1090">
        <v>7</v>
      </c>
      <c r="D1090" t="s">
        <v>3067</v>
      </c>
      <c r="E1090" t="s">
        <v>19</v>
      </c>
      <c r="F1090" t="s">
        <v>20</v>
      </c>
      <c r="G1090" t="s">
        <v>20</v>
      </c>
      <c r="H1090" t="s">
        <v>39</v>
      </c>
      <c r="I1090">
        <v>3</v>
      </c>
      <c r="J1090">
        <v>5</v>
      </c>
      <c r="K1090">
        <v>50</v>
      </c>
      <c r="L1090" t="s">
        <v>53</v>
      </c>
      <c r="M1090" t="s">
        <v>468</v>
      </c>
      <c r="N1090" t="s">
        <v>36</v>
      </c>
      <c r="O1090" t="s">
        <v>3068</v>
      </c>
      <c r="P1090" t="s">
        <v>3069</v>
      </c>
      <c r="Q1090">
        <f t="shared" si="288"/>
        <v>3</v>
      </c>
      <c r="R1090">
        <f t="shared" si="289"/>
        <v>2</v>
      </c>
      <c r="S1090">
        <f t="shared" si="290"/>
        <v>2</v>
      </c>
      <c r="T1090">
        <f t="shared" si="291"/>
        <v>5</v>
      </c>
      <c r="U1090">
        <v>50</v>
      </c>
      <c r="V1090">
        <f t="shared" si="292"/>
        <v>0</v>
      </c>
      <c r="W1090">
        <f t="shared" si="293"/>
        <v>0</v>
      </c>
      <c r="X1090">
        <f t="shared" si="294"/>
        <v>1</v>
      </c>
      <c r="Y1090">
        <f t="shared" si="295"/>
        <v>0</v>
      </c>
      <c r="Z1090">
        <f t="shared" si="296"/>
        <v>0</v>
      </c>
      <c r="AA1090">
        <f t="shared" si="297"/>
        <v>1</v>
      </c>
      <c r="AB1090">
        <f t="shared" si="298"/>
        <v>1</v>
      </c>
      <c r="AC1090">
        <f t="shared" si="299"/>
        <v>1</v>
      </c>
      <c r="AD1090">
        <f t="shared" si="300"/>
        <v>1</v>
      </c>
      <c r="AE1090">
        <f t="shared" si="301"/>
        <v>1</v>
      </c>
      <c r="AF1090">
        <f t="shared" si="302"/>
        <v>0</v>
      </c>
      <c r="AG1090">
        <f t="shared" si="303"/>
        <v>0</v>
      </c>
      <c r="AH1090">
        <f t="shared" si="304"/>
        <v>0</v>
      </c>
      <c r="AI1090">
        <f t="shared" si="305"/>
        <v>1</v>
      </c>
    </row>
    <row r="1091" spans="1:35" x14ac:dyDescent="0.2">
      <c r="A1091">
        <v>307</v>
      </c>
      <c r="B1091" t="s">
        <v>749</v>
      </c>
      <c r="C1091">
        <v>10</v>
      </c>
      <c r="D1091" t="s">
        <v>3070</v>
      </c>
      <c r="E1091" t="s">
        <v>39</v>
      </c>
      <c r="F1091" t="s">
        <v>39</v>
      </c>
      <c r="G1091" t="s">
        <v>39</v>
      </c>
      <c r="H1091" t="s">
        <v>39</v>
      </c>
      <c r="I1091">
        <v>10</v>
      </c>
      <c r="J1091">
        <v>9</v>
      </c>
      <c r="K1091" t="s">
        <v>3071</v>
      </c>
      <c r="L1091" t="s">
        <v>22</v>
      </c>
      <c r="M1091" t="s">
        <v>23</v>
      </c>
      <c r="N1091" t="s">
        <v>36</v>
      </c>
      <c r="O1091" t="s">
        <v>3072</v>
      </c>
      <c r="Q1091">
        <f t="shared" ref="Q1091:Q1154" si="306">IF(E1091="", "", LEFT(E1091, 1) * 1)</f>
        <v>5</v>
      </c>
      <c r="R1091">
        <f t="shared" ref="R1091:R1154" si="307">IF(F1091="","",VALUE(LEFT(F1091,FIND(" ",F1091)-1)))</f>
        <v>5</v>
      </c>
      <c r="S1091">
        <f t="shared" ref="S1091:S1154" si="308">IF(G1091="","",VALUE(LEFT(G1091,FIND(" ",G1091)-1)))</f>
        <v>5</v>
      </c>
      <c r="T1091">
        <f t="shared" ref="T1091:T1154" si="309">IF(H1091="","",VALUE(LEFT(H1091,FIND(" ",H1091)-1)))</f>
        <v>5</v>
      </c>
      <c r="U1091">
        <v>100000000000</v>
      </c>
      <c r="V1091">
        <f t="shared" ref="V1091:V1154" si="310">IF(L1091="",0,IF(ISNUMBER(SEARCH("Bathroom",L1091)),1,0))</f>
        <v>1</v>
      </c>
      <c r="W1091">
        <f t="shared" ref="W1091:W1154" si="311">IF(L1091="",0,IF(ISNUMBER(SEARCH("Dining room",L1091)),1,0))</f>
        <v>0</v>
      </c>
      <c r="X1091">
        <f t="shared" ref="X1091:X1154" si="312">IF(L1091="",0,IF(ISNUMBER(SEARCH("Office",L1091)),1,0))</f>
        <v>0</v>
      </c>
      <c r="Y1091">
        <f t="shared" ref="Y1091:Y1154" si="313">IF(L1091="",0,IF(ISNUMBER(SEARCH("Bedroom",L1091)),1,0))</f>
        <v>0</v>
      </c>
      <c r="Z1091">
        <f t="shared" ref="Z1091:Z1154" si="314">IF(L1091="",0,IF(ISNUMBER(SEARCH("Living room",L1091)),1,0))</f>
        <v>0</v>
      </c>
      <c r="AA1091">
        <f t="shared" ref="AA1091:AA1154" si="315">IF(M1091="",0, IF(ISNUMBER(SEARCH("By yourself",M1091)), 1, 0))</f>
        <v>1</v>
      </c>
      <c r="AB1091">
        <f t="shared" ref="AB1091:AB1154" si="316">IF(M1091="", 0, IF(ISNUMBER(SEARCH("Friends", M1091)), 1, 0))</f>
        <v>0</v>
      </c>
      <c r="AC1091">
        <f t="shared" ref="AC1091:AC1154" si="317">IF(M1091="",0,IF(ISNUMBER(SEARCH("Family members", M1091)), 1, 0))</f>
        <v>0</v>
      </c>
      <c r="AD1091">
        <f t="shared" ref="AD1091:AD1154" si="318">IF(M1091="", 0, IF(ISNUMBER(SEARCH("Coworkers/Classmates", M1091)), 1, 0))</f>
        <v>0</v>
      </c>
      <c r="AE1091">
        <f t="shared" ref="AE1091:AE1154" si="319">IF(M1091="", 0, IF(ISNUMBER(SEARCH("Strangers", M1091)), 1, 0))</f>
        <v>0</v>
      </c>
      <c r="AF1091">
        <f t="shared" ref="AF1091:AF1154" si="320">IF(N1091="", 0, IF(ISNUMBER(SEARCH("Spring", N1091)), 1, 0))</f>
        <v>0</v>
      </c>
      <c r="AG1091">
        <f t="shared" ref="AG1091:AG1154" si="321">IF(N1091="", 0, IF(ISNUMBER(SEARCH("Summer", N1091)), 1, 0))</f>
        <v>0</v>
      </c>
      <c r="AH1091">
        <f t="shared" ref="AH1091:AH1154" si="322">IF(N1091="", 0, IF(ISNUMBER(SEARCH("Fall", N1091)), 1, 0))</f>
        <v>0</v>
      </c>
      <c r="AI1091">
        <f t="shared" ref="AI1091:AI1154" si="323">IF(N1091="", 0, IF(ISNUMBER(SEARCH("Winter", N1091)), 1, 0))</f>
        <v>1</v>
      </c>
    </row>
    <row r="1092" spans="1:35" x14ac:dyDescent="0.2">
      <c r="A1092">
        <v>308</v>
      </c>
      <c r="B1092" t="s">
        <v>749</v>
      </c>
      <c r="C1092">
        <v>5</v>
      </c>
      <c r="D1092" t="s">
        <v>3073</v>
      </c>
      <c r="E1092" t="s">
        <v>19</v>
      </c>
      <c r="F1092" t="s">
        <v>19</v>
      </c>
      <c r="G1092" t="s">
        <v>20</v>
      </c>
      <c r="H1092" t="s">
        <v>19</v>
      </c>
      <c r="I1092">
        <v>3</v>
      </c>
      <c r="J1092">
        <v>2</v>
      </c>
      <c r="K1092" s="1">
        <v>10000</v>
      </c>
      <c r="L1092" t="s">
        <v>41</v>
      </c>
      <c r="M1092" t="s">
        <v>35</v>
      </c>
      <c r="N1092" t="s">
        <v>84</v>
      </c>
      <c r="O1092" t="s">
        <v>3074</v>
      </c>
      <c r="P1092" t="s">
        <v>3075</v>
      </c>
      <c r="Q1092">
        <f t="shared" si="306"/>
        <v>3</v>
      </c>
      <c r="R1092">
        <f t="shared" si="307"/>
        <v>3</v>
      </c>
      <c r="S1092">
        <f t="shared" si="308"/>
        <v>2</v>
      </c>
      <c r="T1092">
        <f t="shared" si="309"/>
        <v>3</v>
      </c>
      <c r="U1092">
        <v>10000</v>
      </c>
      <c r="V1092">
        <f t="shared" si="310"/>
        <v>0</v>
      </c>
      <c r="W1092">
        <f t="shared" si="311"/>
        <v>0</v>
      </c>
      <c r="X1092">
        <f t="shared" si="312"/>
        <v>0</v>
      </c>
      <c r="Y1092">
        <f t="shared" si="313"/>
        <v>0</v>
      </c>
      <c r="Z1092">
        <f t="shared" si="314"/>
        <v>1</v>
      </c>
      <c r="AA1092">
        <f t="shared" si="315"/>
        <v>0</v>
      </c>
      <c r="AB1092">
        <f t="shared" si="316"/>
        <v>0</v>
      </c>
      <c r="AC1092">
        <f t="shared" si="317"/>
        <v>0</v>
      </c>
      <c r="AD1092">
        <f t="shared" si="318"/>
        <v>1</v>
      </c>
      <c r="AE1092">
        <f t="shared" si="319"/>
        <v>0</v>
      </c>
      <c r="AF1092">
        <f t="shared" si="320"/>
        <v>0</v>
      </c>
      <c r="AG1092">
        <f t="shared" si="321"/>
        <v>1</v>
      </c>
      <c r="AH1092">
        <f t="shared" si="322"/>
        <v>0</v>
      </c>
      <c r="AI1092">
        <f t="shared" si="323"/>
        <v>0</v>
      </c>
    </row>
    <row r="1093" spans="1:35" x14ac:dyDescent="0.2">
      <c r="A1093">
        <v>309</v>
      </c>
      <c r="B1093" t="s">
        <v>749</v>
      </c>
      <c r="C1093">
        <v>6</v>
      </c>
      <c r="D1093" t="s">
        <v>3076</v>
      </c>
      <c r="E1093" t="s">
        <v>18</v>
      </c>
      <c r="F1093" t="s">
        <v>19</v>
      </c>
      <c r="G1093" t="s">
        <v>18</v>
      </c>
      <c r="H1093" t="s">
        <v>20</v>
      </c>
      <c r="I1093">
        <v>5</v>
      </c>
      <c r="J1093">
        <v>5</v>
      </c>
      <c r="K1093" s="1">
        <v>100</v>
      </c>
      <c r="L1093" t="s">
        <v>34</v>
      </c>
      <c r="M1093" t="s">
        <v>42</v>
      </c>
      <c r="N1093" t="s">
        <v>84</v>
      </c>
      <c r="O1093" t="s">
        <v>3051</v>
      </c>
      <c r="P1093" t="s">
        <v>3077</v>
      </c>
      <c r="Q1093">
        <f t="shared" si="306"/>
        <v>4</v>
      </c>
      <c r="R1093">
        <f t="shared" si="307"/>
        <v>3</v>
      </c>
      <c r="S1093">
        <f t="shared" si="308"/>
        <v>4</v>
      </c>
      <c r="T1093">
        <f t="shared" si="309"/>
        <v>2</v>
      </c>
      <c r="U1093">
        <v>100</v>
      </c>
      <c r="V1093">
        <f t="shared" si="310"/>
        <v>1</v>
      </c>
      <c r="W1093">
        <f t="shared" si="311"/>
        <v>0</v>
      </c>
      <c r="X1093">
        <f t="shared" si="312"/>
        <v>0</v>
      </c>
      <c r="Y1093">
        <f t="shared" si="313"/>
        <v>1</v>
      </c>
      <c r="Z1093">
        <f t="shared" si="314"/>
        <v>0</v>
      </c>
      <c r="AA1093">
        <f t="shared" si="315"/>
        <v>0</v>
      </c>
      <c r="AB1093">
        <f t="shared" si="316"/>
        <v>1</v>
      </c>
      <c r="AC1093">
        <f t="shared" si="317"/>
        <v>0</v>
      </c>
      <c r="AD1093">
        <f t="shared" si="318"/>
        <v>0</v>
      </c>
      <c r="AE1093">
        <f t="shared" si="319"/>
        <v>0</v>
      </c>
      <c r="AF1093">
        <f t="shared" si="320"/>
        <v>0</v>
      </c>
      <c r="AG1093">
        <f t="shared" si="321"/>
        <v>1</v>
      </c>
      <c r="AH1093">
        <f t="shared" si="322"/>
        <v>0</v>
      </c>
      <c r="AI1093">
        <f t="shared" si="323"/>
        <v>0</v>
      </c>
    </row>
    <row r="1094" spans="1:35" x14ac:dyDescent="0.2">
      <c r="A1094">
        <v>310</v>
      </c>
      <c r="B1094" t="s">
        <v>749</v>
      </c>
      <c r="C1094">
        <v>8</v>
      </c>
      <c r="D1094" t="s">
        <v>1199</v>
      </c>
      <c r="E1094" t="s">
        <v>19</v>
      </c>
      <c r="F1094" t="s">
        <v>18</v>
      </c>
      <c r="G1094" t="s">
        <v>39</v>
      </c>
      <c r="H1094" t="s">
        <v>20</v>
      </c>
      <c r="I1094">
        <v>3</v>
      </c>
      <c r="J1094">
        <v>2</v>
      </c>
      <c r="K1094">
        <v>150</v>
      </c>
      <c r="L1094" t="s">
        <v>98</v>
      </c>
      <c r="M1094" t="s">
        <v>23</v>
      </c>
      <c r="N1094" t="s">
        <v>36</v>
      </c>
      <c r="O1094" t="s">
        <v>3078</v>
      </c>
      <c r="P1094" t="s">
        <v>3079</v>
      </c>
      <c r="Q1094">
        <f t="shared" si="306"/>
        <v>3</v>
      </c>
      <c r="R1094">
        <f t="shared" si="307"/>
        <v>4</v>
      </c>
      <c r="S1094">
        <f t="shared" si="308"/>
        <v>5</v>
      </c>
      <c r="T1094">
        <f t="shared" si="309"/>
        <v>2</v>
      </c>
      <c r="U1094">
        <v>150</v>
      </c>
      <c r="V1094">
        <f t="shared" si="310"/>
        <v>0</v>
      </c>
      <c r="W1094">
        <f t="shared" si="311"/>
        <v>1</v>
      </c>
      <c r="X1094">
        <f t="shared" si="312"/>
        <v>0</v>
      </c>
      <c r="Y1094">
        <f t="shared" si="313"/>
        <v>0</v>
      </c>
      <c r="Z1094">
        <f t="shared" si="314"/>
        <v>0</v>
      </c>
      <c r="AA1094">
        <f t="shared" si="315"/>
        <v>1</v>
      </c>
      <c r="AB1094">
        <f t="shared" si="316"/>
        <v>0</v>
      </c>
      <c r="AC1094">
        <f t="shared" si="317"/>
        <v>0</v>
      </c>
      <c r="AD1094">
        <f t="shared" si="318"/>
        <v>0</v>
      </c>
      <c r="AE1094">
        <f t="shared" si="319"/>
        <v>0</v>
      </c>
      <c r="AF1094">
        <f t="shared" si="320"/>
        <v>0</v>
      </c>
      <c r="AG1094">
        <f t="shared" si="321"/>
        <v>0</v>
      </c>
      <c r="AH1094">
        <f t="shared" si="322"/>
        <v>0</v>
      </c>
      <c r="AI1094">
        <f t="shared" si="323"/>
        <v>1</v>
      </c>
    </row>
    <row r="1095" spans="1:35" x14ac:dyDescent="0.2">
      <c r="A1095">
        <v>311</v>
      </c>
      <c r="B1095" t="s">
        <v>749</v>
      </c>
      <c r="C1095">
        <v>5</v>
      </c>
      <c r="D1095" t="s">
        <v>3080</v>
      </c>
      <c r="E1095" t="s">
        <v>20</v>
      </c>
      <c r="F1095" t="s">
        <v>18</v>
      </c>
      <c r="G1095" t="s">
        <v>18</v>
      </c>
      <c r="H1095" t="s">
        <v>18</v>
      </c>
      <c r="I1095">
        <v>2</v>
      </c>
      <c r="J1095">
        <v>2</v>
      </c>
      <c r="K1095" s="2">
        <v>100000</v>
      </c>
      <c r="L1095" t="s">
        <v>70</v>
      </c>
      <c r="M1095" t="s">
        <v>123</v>
      </c>
      <c r="N1095" t="s">
        <v>36</v>
      </c>
      <c r="O1095" t="s">
        <v>3081</v>
      </c>
      <c r="P1095" t="s">
        <v>3082</v>
      </c>
      <c r="Q1095">
        <f t="shared" si="306"/>
        <v>2</v>
      </c>
      <c r="R1095">
        <f t="shared" si="307"/>
        <v>4</v>
      </c>
      <c r="S1095">
        <f t="shared" si="308"/>
        <v>4</v>
      </c>
      <c r="T1095">
        <f t="shared" si="309"/>
        <v>4</v>
      </c>
      <c r="U1095">
        <v>100000</v>
      </c>
      <c r="V1095">
        <f t="shared" si="310"/>
        <v>0</v>
      </c>
      <c r="W1095">
        <f t="shared" si="311"/>
        <v>0</v>
      </c>
      <c r="X1095">
        <f t="shared" si="312"/>
        <v>0</v>
      </c>
      <c r="Y1095">
        <f t="shared" si="313"/>
        <v>1</v>
      </c>
      <c r="Z1095">
        <f t="shared" si="314"/>
        <v>0</v>
      </c>
      <c r="AA1095">
        <f t="shared" si="315"/>
        <v>0</v>
      </c>
      <c r="AB1095">
        <f t="shared" si="316"/>
        <v>1</v>
      </c>
      <c r="AC1095">
        <f t="shared" si="317"/>
        <v>1</v>
      </c>
      <c r="AD1095">
        <f t="shared" si="318"/>
        <v>0</v>
      </c>
      <c r="AE1095">
        <f t="shared" si="319"/>
        <v>0</v>
      </c>
      <c r="AF1095">
        <f t="shared" si="320"/>
        <v>0</v>
      </c>
      <c r="AG1095">
        <f t="shared" si="321"/>
        <v>0</v>
      </c>
      <c r="AH1095">
        <f t="shared" si="322"/>
        <v>0</v>
      </c>
      <c r="AI1095">
        <f t="shared" si="323"/>
        <v>1</v>
      </c>
    </row>
    <row r="1096" spans="1:35" x14ac:dyDescent="0.2">
      <c r="A1096">
        <v>312</v>
      </c>
      <c r="B1096" t="s">
        <v>749</v>
      </c>
      <c r="C1096">
        <v>6</v>
      </c>
      <c r="D1096" t="s">
        <v>3083</v>
      </c>
      <c r="E1096" t="s">
        <v>20</v>
      </c>
      <c r="F1096" t="s">
        <v>19</v>
      </c>
      <c r="G1096" t="s">
        <v>20</v>
      </c>
      <c r="H1096" t="s">
        <v>18</v>
      </c>
      <c r="I1096">
        <v>3</v>
      </c>
      <c r="J1096">
        <v>2</v>
      </c>
      <c r="K1096">
        <v>5000</v>
      </c>
      <c r="L1096" t="s">
        <v>47</v>
      </c>
      <c r="M1096" t="s">
        <v>291</v>
      </c>
      <c r="N1096" t="s">
        <v>36</v>
      </c>
      <c r="O1096" t="s">
        <v>590</v>
      </c>
      <c r="P1096" t="s">
        <v>3084</v>
      </c>
      <c r="Q1096">
        <f t="shared" si="306"/>
        <v>2</v>
      </c>
      <c r="R1096">
        <f t="shared" si="307"/>
        <v>3</v>
      </c>
      <c r="S1096">
        <f t="shared" si="308"/>
        <v>2</v>
      </c>
      <c r="T1096">
        <f t="shared" si="309"/>
        <v>4</v>
      </c>
      <c r="U1096">
        <v>5000</v>
      </c>
      <c r="V1096">
        <f t="shared" si="310"/>
        <v>0</v>
      </c>
      <c r="W1096">
        <f t="shared" si="311"/>
        <v>0</v>
      </c>
      <c r="X1096">
        <f t="shared" si="312"/>
        <v>1</v>
      </c>
      <c r="Y1096">
        <f t="shared" si="313"/>
        <v>0</v>
      </c>
      <c r="Z1096">
        <f t="shared" si="314"/>
        <v>1</v>
      </c>
      <c r="AA1096">
        <f t="shared" si="315"/>
        <v>0</v>
      </c>
      <c r="AB1096">
        <f t="shared" si="316"/>
        <v>1</v>
      </c>
      <c r="AC1096">
        <f t="shared" si="317"/>
        <v>0</v>
      </c>
      <c r="AD1096">
        <f t="shared" si="318"/>
        <v>1</v>
      </c>
      <c r="AE1096">
        <f t="shared" si="319"/>
        <v>0</v>
      </c>
      <c r="AF1096">
        <f t="shared" si="320"/>
        <v>0</v>
      </c>
      <c r="AG1096">
        <f t="shared" si="321"/>
        <v>0</v>
      </c>
      <c r="AH1096">
        <f t="shared" si="322"/>
        <v>0</v>
      </c>
      <c r="AI1096">
        <f t="shared" si="323"/>
        <v>1</v>
      </c>
    </row>
    <row r="1097" spans="1:35" x14ac:dyDescent="0.2">
      <c r="A1097">
        <v>313</v>
      </c>
      <c r="B1097" t="s">
        <v>749</v>
      </c>
      <c r="C1097">
        <v>7</v>
      </c>
      <c r="D1097" t="s">
        <v>2962</v>
      </c>
      <c r="E1097" t="s">
        <v>18</v>
      </c>
      <c r="F1097" t="s">
        <v>18</v>
      </c>
      <c r="G1097" t="s">
        <v>18</v>
      </c>
      <c r="H1097" t="s">
        <v>20</v>
      </c>
      <c r="I1097">
        <v>6</v>
      </c>
      <c r="J1097">
        <v>3</v>
      </c>
      <c r="K1097">
        <v>100</v>
      </c>
      <c r="L1097" t="s">
        <v>230</v>
      </c>
      <c r="M1097" t="s">
        <v>123</v>
      </c>
      <c r="N1097" t="s">
        <v>24</v>
      </c>
      <c r="O1097" t="s">
        <v>3085</v>
      </c>
      <c r="P1097" t="s">
        <v>3086</v>
      </c>
      <c r="Q1097">
        <f t="shared" si="306"/>
        <v>4</v>
      </c>
      <c r="R1097">
        <f t="shared" si="307"/>
        <v>4</v>
      </c>
      <c r="S1097">
        <f t="shared" si="308"/>
        <v>4</v>
      </c>
      <c r="T1097">
        <f t="shared" si="309"/>
        <v>2</v>
      </c>
      <c r="U1097">
        <v>100</v>
      </c>
      <c r="V1097">
        <f t="shared" si="310"/>
        <v>1</v>
      </c>
      <c r="W1097">
        <f t="shared" si="311"/>
        <v>1</v>
      </c>
      <c r="X1097">
        <f t="shared" si="312"/>
        <v>1</v>
      </c>
      <c r="Y1097">
        <f t="shared" si="313"/>
        <v>1</v>
      </c>
      <c r="Z1097">
        <f t="shared" si="314"/>
        <v>1</v>
      </c>
      <c r="AA1097">
        <f t="shared" si="315"/>
        <v>0</v>
      </c>
      <c r="AB1097">
        <f t="shared" si="316"/>
        <v>1</v>
      </c>
      <c r="AC1097">
        <f t="shared" si="317"/>
        <v>1</v>
      </c>
      <c r="AD1097">
        <f t="shared" si="318"/>
        <v>0</v>
      </c>
      <c r="AE1097">
        <f t="shared" si="319"/>
        <v>0</v>
      </c>
      <c r="AF1097">
        <f t="shared" si="320"/>
        <v>0</v>
      </c>
      <c r="AG1097">
        <f t="shared" si="321"/>
        <v>0</v>
      </c>
      <c r="AH1097">
        <f t="shared" si="322"/>
        <v>1</v>
      </c>
      <c r="AI1097">
        <f t="shared" si="323"/>
        <v>0</v>
      </c>
    </row>
    <row r="1098" spans="1:35" x14ac:dyDescent="0.2">
      <c r="A1098">
        <v>314</v>
      </c>
      <c r="B1098" t="s">
        <v>749</v>
      </c>
      <c r="C1098">
        <v>7</v>
      </c>
      <c r="D1098" t="s">
        <v>3087</v>
      </c>
      <c r="E1098" t="s">
        <v>21</v>
      </c>
      <c r="F1098" t="s">
        <v>39</v>
      </c>
      <c r="G1098" t="s">
        <v>39</v>
      </c>
      <c r="H1098" t="s">
        <v>21</v>
      </c>
      <c r="I1098">
        <v>3</v>
      </c>
      <c r="J1098">
        <v>3</v>
      </c>
      <c r="K1098">
        <v>1000</v>
      </c>
      <c r="L1098" t="s">
        <v>1477</v>
      </c>
      <c r="M1098" t="s">
        <v>48</v>
      </c>
      <c r="N1098" t="s">
        <v>622</v>
      </c>
      <c r="O1098" t="s">
        <v>3088</v>
      </c>
      <c r="P1098" t="s">
        <v>3089</v>
      </c>
      <c r="Q1098">
        <f t="shared" si="306"/>
        <v>1</v>
      </c>
      <c r="R1098">
        <f t="shared" si="307"/>
        <v>5</v>
      </c>
      <c r="S1098">
        <f t="shared" si="308"/>
        <v>5</v>
      </c>
      <c r="T1098">
        <f t="shared" si="309"/>
        <v>1</v>
      </c>
      <c r="U1098">
        <v>1000</v>
      </c>
      <c r="V1098">
        <f t="shared" si="310"/>
        <v>1</v>
      </c>
      <c r="W1098">
        <f t="shared" si="311"/>
        <v>0</v>
      </c>
      <c r="X1098">
        <f t="shared" si="312"/>
        <v>1</v>
      </c>
      <c r="Y1098">
        <f t="shared" si="313"/>
        <v>1</v>
      </c>
      <c r="Z1098">
        <f t="shared" si="314"/>
        <v>1</v>
      </c>
      <c r="AA1098">
        <f t="shared" si="315"/>
        <v>1</v>
      </c>
      <c r="AB1098">
        <f t="shared" si="316"/>
        <v>1</v>
      </c>
      <c r="AC1098">
        <f t="shared" si="317"/>
        <v>1</v>
      </c>
      <c r="AD1098">
        <f t="shared" si="318"/>
        <v>0</v>
      </c>
      <c r="AE1098">
        <f t="shared" si="319"/>
        <v>0</v>
      </c>
      <c r="AF1098">
        <f t="shared" si="320"/>
        <v>0</v>
      </c>
      <c r="AG1098">
        <f t="shared" si="321"/>
        <v>1</v>
      </c>
      <c r="AH1098">
        <f t="shared" si="322"/>
        <v>0</v>
      </c>
      <c r="AI1098">
        <f t="shared" si="323"/>
        <v>1</v>
      </c>
    </row>
    <row r="1099" spans="1:35" x14ac:dyDescent="0.2">
      <c r="A1099">
        <v>315</v>
      </c>
      <c r="B1099" t="s">
        <v>749</v>
      </c>
      <c r="C1099">
        <v>2</v>
      </c>
      <c r="D1099" t="s">
        <v>3090</v>
      </c>
      <c r="E1099" t="s">
        <v>21</v>
      </c>
      <c r="F1099" t="s">
        <v>18</v>
      </c>
      <c r="G1099" t="s">
        <v>18</v>
      </c>
      <c r="H1099" t="s">
        <v>21</v>
      </c>
      <c r="I1099">
        <v>2</v>
      </c>
      <c r="J1099">
        <v>2</v>
      </c>
      <c r="K1099">
        <v>14</v>
      </c>
      <c r="L1099" t="s">
        <v>75</v>
      </c>
      <c r="M1099" t="s">
        <v>980</v>
      </c>
      <c r="N1099" t="s">
        <v>43</v>
      </c>
      <c r="O1099" t="s">
        <v>3051</v>
      </c>
      <c r="P1099" t="s">
        <v>3091</v>
      </c>
      <c r="Q1099">
        <f t="shared" si="306"/>
        <v>1</v>
      </c>
      <c r="R1099">
        <f t="shared" si="307"/>
        <v>4</v>
      </c>
      <c r="S1099">
        <f t="shared" si="308"/>
        <v>4</v>
      </c>
      <c r="T1099">
        <f t="shared" si="309"/>
        <v>1</v>
      </c>
      <c r="U1099">
        <v>14</v>
      </c>
      <c r="V1099">
        <f t="shared" si="310"/>
        <v>0</v>
      </c>
      <c r="W1099">
        <f t="shared" si="311"/>
        <v>0</v>
      </c>
      <c r="X1099">
        <f t="shared" si="312"/>
        <v>1</v>
      </c>
      <c r="Y1099">
        <f t="shared" si="313"/>
        <v>1</v>
      </c>
      <c r="Z1099">
        <f t="shared" si="314"/>
        <v>0</v>
      </c>
      <c r="AA1099">
        <f t="shared" si="315"/>
        <v>1</v>
      </c>
      <c r="AB1099">
        <f t="shared" si="316"/>
        <v>0</v>
      </c>
      <c r="AC1099">
        <f t="shared" si="317"/>
        <v>1</v>
      </c>
      <c r="AD1099">
        <f t="shared" si="318"/>
        <v>1</v>
      </c>
      <c r="AE1099">
        <f t="shared" si="319"/>
        <v>0</v>
      </c>
      <c r="AF1099">
        <f t="shared" si="320"/>
        <v>1</v>
      </c>
      <c r="AG1099">
        <f t="shared" si="321"/>
        <v>1</v>
      </c>
      <c r="AH1099">
        <f t="shared" si="322"/>
        <v>0</v>
      </c>
      <c r="AI1099">
        <f t="shared" si="323"/>
        <v>0</v>
      </c>
    </row>
    <row r="1100" spans="1:35" x14ac:dyDescent="0.2">
      <c r="A1100">
        <v>316</v>
      </c>
      <c r="B1100" t="s">
        <v>749</v>
      </c>
      <c r="C1100">
        <v>9</v>
      </c>
      <c r="D1100" t="s">
        <v>3092</v>
      </c>
      <c r="E1100" t="s">
        <v>18</v>
      </c>
      <c r="F1100" t="s">
        <v>18</v>
      </c>
      <c r="G1100" t="s">
        <v>18</v>
      </c>
      <c r="H1100" t="s">
        <v>19</v>
      </c>
      <c r="I1100">
        <v>3</v>
      </c>
      <c r="J1100">
        <v>3</v>
      </c>
      <c r="K1100">
        <v>2000</v>
      </c>
      <c r="L1100" t="s">
        <v>194</v>
      </c>
      <c r="M1100" t="s">
        <v>468</v>
      </c>
      <c r="N1100" t="s">
        <v>36</v>
      </c>
      <c r="O1100" t="s">
        <v>2113</v>
      </c>
      <c r="P1100" t="s">
        <v>3093</v>
      </c>
      <c r="Q1100">
        <f t="shared" si="306"/>
        <v>4</v>
      </c>
      <c r="R1100">
        <f t="shared" si="307"/>
        <v>4</v>
      </c>
      <c r="S1100">
        <f t="shared" si="308"/>
        <v>4</v>
      </c>
      <c r="T1100">
        <f t="shared" si="309"/>
        <v>3</v>
      </c>
      <c r="U1100">
        <v>2000</v>
      </c>
      <c r="V1100">
        <f t="shared" si="310"/>
        <v>0</v>
      </c>
      <c r="W1100">
        <f t="shared" si="311"/>
        <v>0</v>
      </c>
      <c r="X1100">
        <f t="shared" si="312"/>
        <v>0</v>
      </c>
      <c r="Y1100">
        <f t="shared" si="313"/>
        <v>1</v>
      </c>
      <c r="Z1100">
        <f t="shared" si="314"/>
        <v>1</v>
      </c>
      <c r="AA1100">
        <f t="shared" si="315"/>
        <v>1</v>
      </c>
      <c r="AB1100">
        <f t="shared" si="316"/>
        <v>1</v>
      </c>
      <c r="AC1100">
        <f t="shared" si="317"/>
        <v>1</v>
      </c>
      <c r="AD1100">
        <f t="shared" si="318"/>
        <v>1</v>
      </c>
      <c r="AE1100">
        <f t="shared" si="319"/>
        <v>1</v>
      </c>
      <c r="AF1100">
        <f t="shared" si="320"/>
        <v>0</v>
      </c>
      <c r="AG1100">
        <f t="shared" si="321"/>
        <v>0</v>
      </c>
      <c r="AH1100">
        <f t="shared" si="322"/>
        <v>0</v>
      </c>
      <c r="AI1100">
        <f t="shared" si="323"/>
        <v>1</v>
      </c>
    </row>
    <row r="1101" spans="1:35" x14ac:dyDescent="0.2">
      <c r="A1101">
        <v>317</v>
      </c>
      <c r="B1101" t="s">
        <v>749</v>
      </c>
      <c r="C1101">
        <v>3</v>
      </c>
      <c r="D1101" t="s">
        <v>3094</v>
      </c>
      <c r="E1101" t="s">
        <v>20</v>
      </c>
      <c r="F1101" t="s">
        <v>18</v>
      </c>
      <c r="G1101" t="s">
        <v>19</v>
      </c>
      <c r="H1101" t="s">
        <v>20</v>
      </c>
      <c r="I1101">
        <v>7</v>
      </c>
      <c r="J1101">
        <v>17</v>
      </c>
      <c r="K1101">
        <v>0</v>
      </c>
      <c r="M1101" t="s">
        <v>219</v>
      </c>
      <c r="N1101" t="s">
        <v>36</v>
      </c>
      <c r="O1101" t="s">
        <v>606</v>
      </c>
      <c r="P1101" t="s">
        <v>3095</v>
      </c>
      <c r="Q1101">
        <f t="shared" si="306"/>
        <v>2</v>
      </c>
      <c r="R1101">
        <f t="shared" si="307"/>
        <v>4</v>
      </c>
      <c r="S1101">
        <f t="shared" si="308"/>
        <v>3</v>
      </c>
      <c r="T1101">
        <f t="shared" si="309"/>
        <v>2</v>
      </c>
      <c r="U1101">
        <v>0</v>
      </c>
      <c r="V1101">
        <f t="shared" si="310"/>
        <v>0</v>
      </c>
      <c r="W1101">
        <f t="shared" si="311"/>
        <v>0</v>
      </c>
      <c r="X1101">
        <f t="shared" si="312"/>
        <v>0</v>
      </c>
      <c r="Y1101">
        <f t="shared" si="313"/>
        <v>0</v>
      </c>
      <c r="Z1101">
        <f t="shared" si="314"/>
        <v>0</v>
      </c>
      <c r="AA1101">
        <f t="shared" si="315"/>
        <v>0</v>
      </c>
      <c r="AB1101">
        <f t="shared" si="316"/>
        <v>0</v>
      </c>
      <c r="AC1101">
        <f t="shared" si="317"/>
        <v>0</v>
      </c>
      <c r="AD1101">
        <f t="shared" si="318"/>
        <v>0</v>
      </c>
      <c r="AE1101">
        <f t="shared" si="319"/>
        <v>1</v>
      </c>
      <c r="AF1101">
        <f t="shared" si="320"/>
        <v>0</v>
      </c>
      <c r="AG1101">
        <f t="shared" si="321"/>
        <v>0</v>
      </c>
      <c r="AH1101">
        <f t="shared" si="322"/>
        <v>0</v>
      </c>
      <c r="AI1101">
        <f t="shared" si="323"/>
        <v>1</v>
      </c>
    </row>
    <row r="1102" spans="1:35" x14ac:dyDescent="0.2">
      <c r="A1102">
        <v>318</v>
      </c>
      <c r="B1102" t="s">
        <v>749</v>
      </c>
      <c r="C1102">
        <v>8</v>
      </c>
      <c r="D1102" t="s">
        <v>976</v>
      </c>
      <c r="E1102" t="s">
        <v>18</v>
      </c>
      <c r="F1102" t="s">
        <v>19</v>
      </c>
      <c r="G1102" t="s">
        <v>18</v>
      </c>
      <c r="H1102" t="s">
        <v>20</v>
      </c>
      <c r="I1102">
        <v>3</v>
      </c>
      <c r="J1102">
        <v>3</v>
      </c>
      <c r="K1102" s="1">
        <v>50</v>
      </c>
      <c r="L1102" t="s">
        <v>70</v>
      </c>
      <c r="M1102" t="s">
        <v>42</v>
      </c>
      <c r="N1102" t="s">
        <v>651</v>
      </c>
      <c r="O1102" t="s">
        <v>1105</v>
      </c>
      <c r="P1102" t="s">
        <v>3096</v>
      </c>
      <c r="Q1102">
        <f t="shared" si="306"/>
        <v>4</v>
      </c>
      <c r="R1102">
        <f t="shared" si="307"/>
        <v>3</v>
      </c>
      <c r="S1102">
        <f t="shared" si="308"/>
        <v>4</v>
      </c>
      <c r="T1102">
        <f t="shared" si="309"/>
        <v>2</v>
      </c>
      <c r="U1102">
        <v>50</v>
      </c>
      <c r="V1102">
        <f t="shared" si="310"/>
        <v>0</v>
      </c>
      <c r="W1102">
        <f t="shared" si="311"/>
        <v>0</v>
      </c>
      <c r="X1102">
        <f t="shared" si="312"/>
        <v>0</v>
      </c>
      <c r="Y1102">
        <f t="shared" si="313"/>
        <v>1</v>
      </c>
      <c r="Z1102">
        <f t="shared" si="314"/>
        <v>0</v>
      </c>
      <c r="AA1102">
        <f t="shared" si="315"/>
        <v>0</v>
      </c>
      <c r="AB1102">
        <f t="shared" si="316"/>
        <v>1</v>
      </c>
      <c r="AC1102">
        <f t="shared" si="317"/>
        <v>0</v>
      </c>
      <c r="AD1102">
        <f t="shared" si="318"/>
        <v>0</v>
      </c>
      <c r="AE1102">
        <f t="shared" si="319"/>
        <v>0</v>
      </c>
      <c r="AF1102">
        <f t="shared" si="320"/>
        <v>1</v>
      </c>
      <c r="AG1102">
        <f t="shared" si="321"/>
        <v>0</v>
      </c>
      <c r="AH1102">
        <f t="shared" si="322"/>
        <v>1</v>
      </c>
      <c r="AI1102">
        <f t="shared" si="323"/>
        <v>0</v>
      </c>
    </row>
    <row r="1103" spans="1:35" x14ac:dyDescent="0.2">
      <c r="A1103">
        <v>319</v>
      </c>
      <c r="B1103" t="s">
        <v>749</v>
      </c>
      <c r="C1103">
        <v>9</v>
      </c>
      <c r="D1103" t="s">
        <v>3097</v>
      </c>
      <c r="E1103" t="s">
        <v>21</v>
      </c>
      <c r="F1103" t="s">
        <v>39</v>
      </c>
      <c r="G1103" t="s">
        <v>39</v>
      </c>
      <c r="H1103" t="s">
        <v>21</v>
      </c>
      <c r="I1103">
        <v>5</v>
      </c>
      <c r="J1103">
        <v>3</v>
      </c>
      <c r="K1103">
        <v>250</v>
      </c>
      <c r="L1103" t="s">
        <v>70</v>
      </c>
      <c r="M1103" t="s">
        <v>42</v>
      </c>
      <c r="N1103" t="s">
        <v>84</v>
      </c>
      <c r="O1103" t="s">
        <v>3098</v>
      </c>
      <c r="P1103" t="s">
        <v>3099</v>
      </c>
      <c r="Q1103">
        <f t="shared" si="306"/>
        <v>1</v>
      </c>
      <c r="R1103">
        <f t="shared" si="307"/>
        <v>5</v>
      </c>
      <c r="S1103">
        <f t="shared" si="308"/>
        <v>5</v>
      </c>
      <c r="T1103">
        <f t="shared" si="309"/>
        <v>1</v>
      </c>
      <c r="U1103">
        <v>250</v>
      </c>
      <c r="V1103">
        <f t="shared" si="310"/>
        <v>0</v>
      </c>
      <c r="W1103">
        <f t="shared" si="311"/>
        <v>0</v>
      </c>
      <c r="X1103">
        <f t="shared" si="312"/>
        <v>0</v>
      </c>
      <c r="Y1103">
        <f t="shared" si="313"/>
        <v>1</v>
      </c>
      <c r="Z1103">
        <f t="shared" si="314"/>
        <v>0</v>
      </c>
      <c r="AA1103">
        <f t="shared" si="315"/>
        <v>0</v>
      </c>
      <c r="AB1103">
        <f t="shared" si="316"/>
        <v>1</v>
      </c>
      <c r="AC1103">
        <f t="shared" si="317"/>
        <v>0</v>
      </c>
      <c r="AD1103">
        <f t="shared" si="318"/>
        <v>0</v>
      </c>
      <c r="AE1103">
        <f t="shared" si="319"/>
        <v>0</v>
      </c>
      <c r="AF1103">
        <f t="shared" si="320"/>
        <v>0</v>
      </c>
      <c r="AG1103">
        <f t="shared" si="321"/>
        <v>1</v>
      </c>
      <c r="AH1103">
        <f t="shared" si="322"/>
        <v>0</v>
      </c>
      <c r="AI1103">
        <f t="shared" si="323"/>
        <v>0</v>
      </c>
    </row>
    <row r="1104" spans="1:35" x14ac:dyDescent="0.2">
      <c r="A1104">
        <v>320</v>
      </c>
      <c r="B1104" t="s">
        <v>749</v>
      </c>
      <c r="C1104">
        <v>8</v>
      </c>
      <c r="D1104" t="s">
        <v>3100</v>
      </c>
      <c r="E1104" t="s">
        <v>19</v>
      </c>
      <c r="F1104" t="s">
        <v>19</v>
      </c>
      <c r="G1104" t="s">
        <v>19</v>
      </c>
      <c r="H1104" t="s">
        <v>19</v>
      </c>
      <c r="I1104">
        <v>3</v>
      </c>
      <c r="J1104">
        <v>4</v>
      </c>
      <c r="K1104" t="s">
        <v>3101</v>
      </c>
      <c r="L1104" t="s">
        <v>562</v>
      </c>
      <c r="M1104" t="s">
        <v>48</v>
      </c>
      <c r="N1104" t="s">
        <v>942</v>
      </c>
      <c r="O1104" t="s">
        <v>368</v>
      </c>
      <c r="P1104" t="s">
        <v>3102</v>
      </c>
      <c r="Q1104">
        <f t="shared" si="306"/>
        <v>3</v>
      </c>
      <c r="R1104">
        <f t="shared" si="307"/>
        <v>3</v>
      </c>
      <c r="S1104">
        <f t="shared" si="308"/>
        <v>3</v>
      </c>
      <c r="T1104">
        <f t="shared" si="309"/>
        <v>3</v>
      </c>
      <c r="U1104">
        <v>1000000</v>
      </c>
      <c r="V1104">
        <f t="shared" si="310"/>
        <v>0</v>
      </c>
      <c r="W1104">
        <f t="shared" si="311"/>
        <v>1</v>
      </c>
      <c r="X1104">
        <f t="shared" si="312"/>
        <v>1</v>
      </c>
      <c r="Y1104">
        <f t="shared" si="313"/>
        <v>0</v>
      </c>
      <c r="Z1104">
        <f t="shared" si="314"/>
        <v>1</v>
      </c>
      <c r="AA1104">
        <f t="shared" si="315"/>
        <v>1</v>
      </c>
      <c r="AB1104">
        <f t="shared" si="316"/>
        <v>1</v>
      </c>
      <c r="AC1104">
        <f t="shared" si="317"/>
        <v>1</v>
      </c>
      <c r="AD1104">
        <f t="shared" si="318"/>
        <v>0</v>
      </c>
      <c r="AE1104">
        <f t="shared" si="319"/>
        <v>0</v>
      </c>
      <c r="AF1104">
        <f t="shared" si="320"/>
        <v>1</v>
      </c>
      <c r="AG1104">
        <f t="shared" si="321"/>
        <v>1</v>
      </c>
      <c r="AH1104">
        <f t="shared" si="322"/>
        <v>0</v>
      </c>
      <c r="AI1104">
        <f t="shared" si="323"/>
        <v>1</v>
      </c>
    </row>
    <row r="1105" spans="1:35" x14ac:dyDescent="0.2">
      <c r="A1105">
        <v>321</v>
      </c>
      <c r="B1105" t="s">
        <v>749</v>
      </c>
      <c r="C1105">
        <v>8</v>
      </c>
      <c r="D1105" t="s">
        <v>3103</v>
      </c>
      <c r="E1105" t="s">
        <v>19</v>
      </c>
      <c r="F1105" t="s">
        <v>18</v>
      </c>
      <c r="G1105" t="s">
        <v>18</v>
      </c>
      <c r="H1105" t="s">
        <v>19</v>
      </c>
      <c r="I1105">
        <v>3</v>
      </c>
      <c r="J1105">
        <v>3</v>
      </c>
      <c r="K1105" t="s">
        <v>3104</v>
      </c>
      <c r="L1105" t="s">
        <v>601</v>
      </c>
      <c r="M1105" t="s">
        <v>42</v>
      </c>
      <c r="N1105" t="s">
        <v>36</v>
      </c>
      <c r="O1105" t="s">
        <v>3105</v>
      </c>
      <c r="P1105" t="s">
        <v>3106</v>
      </c>
      <c r="Q1105">
        <f t="shared" si="306"/>
        <v>3</v>
      </c>
      <c r="R1105">
        <f t="shared" si="307"/>
        <v>4</v>
      </c>
      <c r="S1105">
        <f t="shared" si="308"/>
        <v>4</v>
      </c>
      <c r="T1105">
        <f t="shared" si="309"/>
        <v>3</v>
      </c>
      <c r="U1105">
        <v>80</v>
      </c>
      <c r="V1105">
        <f t="shared" si="310"/>
        <v>0</v>
      </c>
      <c r="W1105">
        <f t="shared" si="311"/>
        <v>1</v>
      </c>
      <c r="X1105">
        <f t="shared" si="312"/>
        <v>0</v>
      </c>
      <c r="Y1105">
        <f t="shared" si="313"/>
        <v>1</v>
      </c>
      <c r="Z1105">
        <f t="shared" si="314"/>
        <v>1</v>
      </c>
      <c r="AA1105">
        <f t="shared" si="315"/>
        <v>0</v>
      </c>
      <c r="AB1105">
        <f t="shared" si="316"/>
        <v>1</v>
      </c>
      <c r="AC1105">
        <f t="shared" si="317"/>
        <v>0</v>
      </c>
      <c r="AD1105">
        <f t="shared" si="318"/>
        <v>0</v>
      </c>
      <c r="AE1105">
        <f t="shared" si="319"/>
        <v>0</v>
      </c>
      <c r="AF1105">
        <f t="shared" si="320"/>
        <v>0</v>
      </c>
      <c r="AG1105">
        <f t="shared" si="321"/>
        <v>0</v>
      </c>
      <c r="AH1105">
        <f t="shared" si="322"/>
        <v>0</v>
      </c>
      <c r="AI1105">
        <f t="shared" si="323"/>
        <v>1</v>
      </c>
    </row>
    <row r="1106" spans="1:35" x14ac:dyDescent="0.2">
      <c r="A1106">
        <v>322</v>
      </c>
      <c r="B1106" t="s">
        <v>749</v>
      </c>
      <c r="C1106">
        <v>8</v>
      </c>
      <c r="D1106" t="s">
        <v>3107</v>
      </c>
      <c r="E1106" t="s">
        <v>20</v>
      </c>
      <c r="F1106" t="s">
        <v>18</v>
      </c>
      <c r="G1106" t="s">
        <v>18</v>
      </c>
      <c r="H1106" t="s">
        <v>18</v>
      </c>
      <c r="I1106">
        <v>5</v>
      </c>
      <c r="J1106">
        <v>4</v>
      </c>
      <c r="K1106">
        <v>200</v>
      </c>
      <c r="L1106" t="s">
        <v>53</v>
      </c>
      <c r="M1106" t="s">
        <v>179</v>
      </c>
      <c r="N1106" t="s">
        <v>622</v>
      </c>
      <c r="O1106" t="s">
        <v>322</v>
      </c>
      <c r="P1106" t="s">
        <v>3108</v>
      </c>
      <c r="Q1106">
        <f t="shared" si="306"/>
        <v>2</v>
      </c>
      <c r="R1106">
        <f t="shared" si="307"/>
        <v>4</v>
      </c>
      <c r="S1106">
        <f t="shared" si="308"/>
        <v>4</v>
      </c>
      <c r="T1106">
        <f t="shared" si="309"/>
        <v>4</v>
      </c>
      <c r="U1106">
        <v>200</v>
      </c>
      <c r="V1106">
        <f t="shared" si="310"/>
        <v>0</v>
      </c>
      <c r="W1106">
        <f t="shared" si="311"/>
        <v>0</v>
      </c>
      <c r="X1106">
        <f t="shared" si="312"/>
        <v>1</v>
      </c>
      <c r="Y1106">
        <f t="shared" si="313"/>
        <v>0</v>
      </c>
      <c r="Z1106">
        <f t="shared" si="314"/>
        <v>0</v>
      </c>
      <c r="AA1106">
        <f t="shared" si="315"/>
        <v>0</v>
      </c>
      <c r="AB1106">
        <f t="shared" si="316"/>
        <v>0</v>
      </c>
      <c r="AC1106">
        <f t="shared" si="317"/>
        <v>0</v>
      </c>
      <c r="AD1106">
        <f t="shared" si="318"/>
        <v>1</v>
      </c>
      <c r="AE1106">
        <f t="shared" si="319"/>
        <v>1</v>
      </c>
      <c r="AF1106">
        <f t="shared" si="320"/>
        <v>0</v>
      </c>
      <c r="AG1106">
        <f t="shared" si="321"/>
        <v>1</v>
      </c>
      <c r="AH1106">
        <f t="shared" si="322"/>
        <v>0</v>
      </c>
      <c r="AI1106">
        <f t="shared" si="323"/>
        <v>1</v>
      </c>
    </row>
    <row r="1107" spans="1:35" x14ac:dyDescent="0.2">
      <c r="A1107">
        <v>323</v>
      </c>
      <c r="B1107" t="s">
        <v>749</v>
      </c>
      <c r="C1107">
        <v>9</v>
      </c>
      <c r="D1107" t="s">
        <v>3109</v>
      </c>
      <c r="E1107" t="s">
        <v>20</v>
      </c>
      <c r="F1107" t="s">
        <v>39</v>
      </c>
      <c r="G1107" t="s">
        <v>18</v>
      </c>
      <c r="H1107" t="s">
        <v>20</v>
      </c>
      <c r="I1107">
        <v>5</v>
      </c>
      <c r="J1107">
        <v>3</v>
      </c>
      <c r="K1107">
        <v>20000000</v>
      </c>
      <c r="L1107" t="s">
        <v>53</v>
      </c>
      <c r="M1107" t="s">
        <v>161</v>
      </c>
      <c r="N1107" t="s">
        <v>36</v>
      </c>
      <c r="O1107" t="s">
        <v>3110</v>
      </c>
      <c r="P1107" t="s">
        <v>3111</v>
      </c>
      <c r="Q1107">
        <f t="shared" si="306"/>
        <v>2</v>
      </c>
      <c r="R1107">
        <f t="shared" si="307"/>
        <v>5</v>
      </c>
      <c r="S1107">
        <f t="shared" si="308"/>
        <v>4</v>
      </c>
      <c r="T1107">
        <f t="shared" si="309"/>
        <v>2</v>
      </c>
      <c r="U1107">
        <v>20000000</v>
      </c>
      <c r="V1107">
        <f t="shared" si="310"/>
        <v>0</v>
      </c>
      <c r="W1107">
        <f t="shared" si="311"/>
        <v>0</v>
      </c>
      <c r="X1107">
        <f t="shared" si="312"/>
        <v>1</v>
      </c>
      <c r="Y1107">
        <f t="shared" si="313"/>
        <v>0</v>
      </c>
      <c r="Z1107">
        <f t="shared" si="314"/>
        <v>0</v>
      </c>
      <c r="AA1107">
        <f t="shared" si="315"/>
        <v>1</v>
      </c>
      <c r="AB1107">
        <f t="shared" si="316"/>
        <v>1</v>
      </c>
      <c r="AC1107">
        <f t="shared" si="317"/>
        <v>1</v>
      </c>
      <c r="AD1107">
        <f t="shared" si="318"/>
        <v>1</v>
      </c>
      <c r="AE1107">
        <f t="shared" si="319"/>
        <v>0</v>
      </c>
      <c r="AF1107">
        <f t="shared" si="320"/>
        <v>0</v>
      </c>
      <c r="AG1107">
        <f t="shared" si="321"/>
        <v>0</v>
      </c>
      <c r="AH1107">
        <f t="shared" si="322"/>
        <v>0</v>
      </c>
      <c r="AI1107">
        <f t="shared" si="323"/>
        <v>1</v>
      </c>
    </row>
    <row r="1108" spans="1:35" x14ac:dyDescent="0.2">
      <c r="A1108">
        <v>324</v>
      </c>
      <c r="B1108" t="s">
        <v>749</v>
      </c>
      <c r="C1108">
        <v>8</v>
      </c>
      <c r="D1108" t="s">
        <v>3112</v>
      </c>
      <c r="E1108" t="s">
        <v>39</v>
      </c>
      <c r="F1108" t="s">
        <v>20</v>
      </c>
      <c r="G1108" t="s">
        <v>18</v>
      </c>
      <c r="H1108" t="s">
        <v>19</v>
      </c>
      <c r="I1108">
        <v>6</v>
      </c>
      <c r="J1108">
        <v>2</v>
      </c>
      <c r="K1108" s="1">
        <v>500</v>
      </c>
      <c r="L1108" t="s">
        <v>47</v>
      </c>
      <c r="M1108" t="s">
        <v>115</v>
      </c>
      <c r="N1108" t="s">
        <v>36</v>
      </c>
      <c r="O1108" t="s">
        <v>3113</v>
      </c>
      <c r="P1108" t="s">
        <v>3114</v>
      </c>
      <c r="Q1108">
        <f t="shared" si="306"/>
        <v>5</v>
      </c>
      <c r="R1108">
        <f t="shared" si="307"/>
        <v>2</v>
      </c>
      <c r="S1108">
        <f t="shared" si="308"/>
        <v>4</v>
      </c>
      <c r="T1108">
        <f t="shared" si="309"/>
        <v>3</v>
      </c>
      <c r="U1108">
        <v>500</v>
      </c>
      <c r="V1108">
        <f t="shared" si="310"/>
        <v>0</v>
      </c>
      <c r="W1108">
        <f t="shared" si="311"/>
        <v>0</v>
      </c>
      <c r="X1108">
        <f t="shared" si="312"/>
        <v>1</v>
      </c>
      <c r="Y1108">
        <f t="shared" si="313"/>
        <v>0</v>
      </c>
      <c r="Z1108">
        <f t="shared" si="314"/>
        <v>1</v>
      </c>
      <c r="AA1108">
        <f t="shared" si="315"/>
        <v>0</v>
      </c>
      <c r="AB1108">
        <f t="shared" si="316"/>
        <v>0</v>
      </c>
      <c r="AC1108">
        <f t="shared" si="317"/>
        <v>1</v>
      </c>
      <c r="AD1108">
        <f t="shared" si="318"/>
        <v>0</v>
      </c>
      <c r="AE1108">
        <f t="shared" si="319"/>
        <v>0</v>
      </c>
      <c r="AF1108">
        <f t="shared" si="320"/>
        <v>0</v>
      </c>
      <c r="AG1108">
        <f t="shared" si="321"/>
        <v>0</v>
      </c>
      <c r="AH1108">
        <f t="shared" si="322"/>
        <v>0</v>
      </c>
      <c r="AI1108">
        <f t="shared" si="323"/>
        <v>1</v>
      </c>
    </row>
    <row r="1109" spans="1:35" x14ac:dyDescent="0.2">
      <c r="A1109">
        <v>325</v>
      </c>
      <c r="B1109" t="s">
        <v>749</v>
      </c>
      <c r="C1109">
        <v>7</v>
      </c>
      <c r="D1109" t="s">
        <v>3115</v>
      </c>
      <c r="E1109" t="s">
        <v>19</v>
      </c>
      <c r="F1109" t="s">
        <v>18</v>
      </c>
      <c r="G1109" t="s">
        <v>18</v>
      </c>
      <c r="H1109" t="s">
        <v>20</v>
      </c>
      <c r="I1109">
        <v>3</v>
      </c>
      <c r="J1109">
        <v>3</v>
      </c>
      <c r="K1109">
        <v>300</v>
      </c>
      <c r="L1109" t="s">
        <v>562</v>
      </c>
      <c r="M1109" t="s">
        <v>161</v>
      </c>
      <c r="N1109" t="s">
        <v>24</v>
      </c>
      <c r="O1109" t="s">
        <v>3116</v>
      </c>
      <c r="P1109" t="s">
        <v>3117</v>
      </c>
      <c r="Q1109">
        <f t="shared" si="306"/>
        <v>3</v>
      </c>
      <c r="R1109">
        <f t="shared" si="307"/>
        <v>4</v>
      </c>
      <c r="S1109">
        <f t="shared" si="308"/>
        <v>4</v>
      </c>
      <c r="T1109">
        <f t="shared" si="309"/>
        <v>2</v>
      </c>
      <c r="U1109">
        <v>300</v>
      </c>
      <c r="V1109">
        <f t="shared" si="310"/>
        <v>0</v>
      </c>
      <c r="W1109">
        <f t="shared" si="311"/>
        <v>1</v>
      </c>
      <c r="X1109">
        <f t="shared" si="312"/>
        <v>1</v>
      </c>
      <c r="Y1109">
        <f t="shared" si="313"/>
        <v>0</v>
      </c>
      <c r="Z1109">
        <f t="shared" si="314"/>
        <v>1</v>
      </c>
      <c r="AA1109">
        <f t="shared" si="315"/>
        <v>1</v>
      </c>
      <c r="AB1109">
        <f t="shared" si="316"/>
        <v>1</v>
      </c>
      <c r="AC1109">
        <f t="shared" si="317"/>
        <v>1</v>
      </c>
      <c r="AD1109">
        <f t="shared" si="318"/>
        <v>1</v>
      </c>
      <c r="AE1109">
        <f t="shared" si="319"/>
        <v>0</v>
      </c>
      <c r="AF1109">
        <f t="shared" si="320"/>
        <v>0</v>
      </c>
      <c r="AG1109">
        <f t="shared" si="321"/>
        <v>0</v>
      </c>
      <c r="AH1109">
        <f t="shared" si="322"/>
        <v>1</v>
      </c>
      <c r="AI1109">
        <f t="shared" si="323"/>
        <v>0</v>
      </c>
    </row>
    <row r="1110" spans="1:35" x14ac:dyDescent="0.2">
      <c r="A1110">
        <v>326</v>
      </c>
      <c r="B1110" t="s">
        <v>749</v>
      </c>
      <c r="C1110">
        <v>9</v>
      </c>
      <c r="D1110" t="s">
        <v>2257</v>
      </c>
      <c r="E1110" t="s">
        <v>18</v>
      </c>
      <c r="F1110" t="s">
        <v>18</v>
      </c>
      <c r="G1110" t="s">
        <v>18</v>
      </c>
      <c r="H1110" t="s">
        <v>18</v>
      </c>
      <c r="I1110">
        <v>5</v>
      </c>
      <c r="J1110">
        <v>1</v>
      </c>
      <c r="K1110">
        <v>1000</v>
      </c>
      <c r="L1110" t="s">
        <v>79</v>
      </c>
      <c r="M1110" t="s">
        <v>48</v>
      </c>
      <c r="N1110" t="s">
        <v>763</v>
      </c>
      <c r="O1110" t="s">
        <v>257</v>
      </c>
      <c r="P1110" t="s">
        <v>3118</v>
      </c>
      <c r="Q1110">
        <f t="shared" si="306"/>
        <v>4</v>
      </c>
      <c r="R1110">
        <f t="shared" si="307"/>
        <v>4</v>
      </c>
      <c r="S1110">
        <f t="shared" si="308"/>
        <v>4</v>
      </c>
      <c r="T1110">
        <f t="shared" si="309"/>
        <v>4</v>
      </c>
      <c r="U1110">
        <v>1000</v>
      </c>
      <c r="V1110">
        <f t="shared" si="310"/>
        <v>0</v>
      </c>
      <c r="W1110">
        <f t="shared" si="311"/>
        <v>1</v>
      </c>
      <c r="X1110">
        <f t="shared" si="312"/>
        <v>0</v>
      </c>
      <c r="Y1110">
        <f t="shared" si="313"/>
        <v>0</v>
      </c>
      <c r="Z1110">
        <f t="shared" si="314"/>
        <v>1</v>
      </c>
      <c r="AA1110">
        <f t="shared" si="315"/>
        <v>1</v>
      </c>
      <c r="AB1110">
        <f t="shared" si="316"/>
        <v>1</v>
      </c>
      <c r="AC1110">
        <f t="shared" si="317"/>
        <v>1</v>
      </c>
      <c r="AD1110">
        <f t="shared" si="318"/>
        <v>0</v>
      </c>
      <c r="AE1110">
        <f t="shared" si="319"/>
        <v>0</v>
      </c>
      <c r="AF1110">
        <f t="shared" si="320"/>
        <v>1</v>
      </c>
      <c r="AG1110">
        <f t="shared" si="321"/>
        <v>1</v>
      </c>
      <c r="AH1110">
        <f t="shared" si="322"/>
        <v>1</v>
      </c>
      <c r="AI1110">
        <f t="shared" si="323"/>
        <v>1</v>
      </c>
    </row>
    <row r="1111" spans="1:35" x14ac:dyDescent="0.2">
      <c r="A1111">
        <v>327</v>
      </c>
      <c r="B1111" t="s">
        <v>749</v>
      </c>
      <c r="C1111">
        <v>4</v>
      </c>
      <c r="D1111" t="s">
        <v>3119</v>
      </c>
      <c r="E1111" t="s">
        <v>20</v>
      </c>
      <c r="F1111" t="s">
        <v>19</v>
      </c>
      <c r="G1111" t="s">
        <v>19</v>
      </c>
      <c r="H1111" t="s">
        <v>20</v>
      </c>
      <c r="I1111">
        <v>4</v>
      </c>
      <c r="J1111">
        <v>5</v>
      </c>
      <c r="K1111" s="1">
        <v>60</v>
      </c>
      <c r="L1111" t="s">
        <v>79</v>
      </c>
      <c r="M1111" t="s">
        <v>1354</v>
      </c>
      <c r="N1111" t="s">
        <v>36</v>
      </c>
      <c r="O1111" t="s">
        <v>310</v>
      </c>
      <c r="P1111" t="s">
        <v>3120</v>
      </c>
      <c r="Q1111">
        <f t="shared" si="306"/>
        <v>2</v>
      </c>
      <c r="R1111">
        <f t="shared" si="307"/>
        <v>3</v>
      </c>
      <c r="S1111">
        <f t="shared" si="308"/>
        <v>3</v>
      </c>
      <c r="T1111">
        <f t="shared" si="309"/>
        <v>2</v>
      </c>
      <c r="U1111">
        <v>60</v>
      </c>
      <c r="V1111">
        <f t="shared" si="310"/>
        <v>0</v>
      </c>
      <c r="W1111">
        <f t="shared" si="311"/>
        <v>1</v>
      </c>
      <c r="X1111">
        <f t="shared" si="312"/>
        <v>0</v>
      </c>
      <c r="Y1111">
        <f t="shared" si="313"/>
        <v>0</v>
      </c>
      <c r="Z1111">
        <f t="shared" si="314"/>
        <v>1</v>
      </c>
      <c r="AA1111">
        <f t="shared" si="315"/>
        <v>0</v>
      </c>
      <c r="AB1111">
        <f t="shared" si="316"/>
        <v>1</v>
      </c>
      <c r="AC1111">
        <f t="shared" si="317"/>
        <v>1</v>
      </c>
      <c r="AD1111">
        <f t="shared" si="318"/>
        <v>0</v>
      </c>
      <c r="AE1111">
        <f t="shared" si="319"/>
        <v>1</v>
      </c>
      <c r="AF1111">
        <f t="shared" si="320"/>
        <v>0</v>
      </c>
      <c r="AG1111">
        <f t="shared" si="321"/>
        <v>0</v>
      </c>
      <c r="AH1111">
        <f t="shared" si="322"/>
        <v>0</v>
      </c>
      <c r="AI1111">
        <f t="shared" si="323"/>
        <v>1</v>
      </c>
    </row>
    <row r="1112" spans="1:35" x14ac:dyDescent="0.2">
      <c r="A1112">
        <v>328</v>
      </c>
      <c r="B1112" t="s">
        <v>749</v>
      </c>
      <c r="C1112">
        <v>5</v>
      </c>
      <c r="D1112" t="s">
        <v>1379</v>
      </c>
      <c r="E1112" t="s">
        <v>20</v>
      </c>
      <c r="F1112" t="s">
        <v>18</v>
      </c>
      <c r="G1112" t="s">
        <v>18</v>
      </c>
      <c r="H1112" t="s">
        <v>20</v>
      </c>
      <c r="I1112">
        <v>3</v>
      </c>
      <c r="J1112">
        <v>2</v>
      </c>
      <c r="K1112">
        <v>10</v>
      </c>
      <c r="L1112" t="s">
        <v>41</v>
      </c>
      <c r="M1112" t="s">
        <v>42</v>
      </c>
      <c r="N1112" t="s">
        <v>84</v>
      </c>
      <c r="O1112" t="s">
        <v>3121</v>
      </c>
      <c r="P1112" t="s">
        <v>3122</v>
      </c>
      <c r="Q1112">
        <f t="shared" si="306"/>
        <v>2</v>
      </c>
      <c r="R1112">
        <f t="shared" si="307"/>
        <v>4</v>
      </c>
      <c r="S1112">
        <f t="shared" si="308"/>
        <v>4</v>
      </c>
      <c r="T1112">
        <f t="shared" si="309"/>
        <v>2</v>
      </c>
      <c r="U1112">
        <v>10</v>
      </c>
      <c r="V1112">
        <f t="shared" si="310"/>
        <v>0</v>
      </c>
      <c r="W1112">
        <f t="shared" si="311"/>
        <v>0</v>
      </c>
      <c r="X1112">
        <f t="shared" si="312"/>
        <v>0</v>
      </c>
      <c r="Y1112">
        <f t="shared" si="313"/>
        <v>0</v>
      </c>
      <c r="Z1112">
        <f t="shared" si="314"/>
        <v>1</v>
      </c>
      <c r="AA1112">
        <f t="shared" si="315"/>
        <v>0</v>
      </c>
      <c r="AB1112">
        <f t="shared" si="316"/>
        <v>1</v>
      </c>
      <c r="AC1112">
        <f t="shared" si="317"/>
        <v>0</v>
      </c>
      <c r="AD1112">
        <f t="shared" si="318"/>
        <v>0</v>
      </c>
      <c r="AE1112">
        <f t="shared" si="319"/>
        <v>0</v>
      </c>
      <c r="AF1112">
        <f t="shared" si="320"/>
        <v>0</v>
      </c>
      <c r="AG1112">
        <f t="shared" si="321"/>
        <v>1</v>
      </c>
      <c r="AH1112">
        <f t="shared" si="322"/>
        <v>0</v>
      </c>
      <c r="AI1112">
        <f t="shared" si="323"/>
        <v>0</v>
      </c>
    </row>
    <row r="1113" spans="1:35" x14ac:dyDescent="0.2">
      <c r="A1113">
        <v>329</v>
      </c>
      <c r="B1113" t="s">
        <v>749</v>
      </c>
      <c r="C1113">
        <v>7</v>
      </c>
      <c r="D1113" t="s">
        <v>3123</v>
      </c>
      <c r="E1113" t="s">
        <v>20</v>
      </c>
      <c r="F1113" t="s">
        <v>39</v>
      </c>
      <c r="G1113" t="s">
        <v>18</v>
      </c>
      <c r="H1113" t="s">
        <v>20</v>
      </c>
      <c r="I1113">
        <v>6</v>
      </c>
      <c r="J1113">
        <v>8</v>
      </c>
      <c r="K1113" s="1">
        <v>100000</v>
      </c>
      <c r="L1113" t="s">
        <v>53</v>
      </c>
      <c r="M1113" t="s">
        <v>123</v>
      </c>
      <c r="N1113" t="s">
        <v>84</v>
      </c>
      <c r="O1113" t="s">
        <v>3124</v>
      </c>
      <c r="P1113" t="s">
        <v>3125</v>
      </c>
      <c r="Q1113">
        <f t="shared" si="306"/>
        <v>2</v>
      </c>
      <c r="R1113">
        <f t="shared" si="307"/>
        <v>5</v>
      </c>
      <c r="S1113">
        <f t="shared" si="308"/>
        <v>4</v>
      </c>
      <c r="T1113">
        <f t="shared" si="309"/>
        <v>2</v>
      </c>
      <c r="U1113">
        <v>100000</v>
      </c>
      <c r="V1113">
        <f t="shared" si="310"/>
        <v>0</v>
      </c>
      <c r="W1113">
        <f t="shared" si="311"/>
        <v>0</v>
      </c>
      <c r="X1113">
        <f t="shared" si="312"/>
        <v>1</v>
      </c>
      <c r="Y1113">
        <f t="shared" si="313"/>
        <v>0</v>
      </c>
      <c r="Z1113">
        <f t="shared" si="314"/>
        <v>0</v>
      </c>
      <c r="AA1113">
        <f t="shared" si="315"/>
        <v>0</v>
      </c>
      <c r="AB1113">
        <f t="shared" si="316"/>
        <v>1</v>
      </c>
      <c r="AC1113">
        <f t="shared" si="317"/>
        <v>1</v>
      </c>
      <c r="AD1113">
        <f t="shared" si="318"/>
        <v>0</v>
      </c>
      <c r="AE1113">
        <f t="shared" si="319"/>
        <v>0</v>
      </c>
      <c r="AF1113">
        <f t="shared" si="320"/>
        <v>0</v>
      </c>
      <c r="AG1113">
        <f t="shared" si="321"/>
        <v>1</v>
      </c>
      <c r="AH1113">
        <f t="shared" si="322"/>
        <v>0</v>
      </c>
      <c r="AI1113">
        <f t="shared" si="323"/>
        <v>0</v>
      </c>
    </row>
    <row r="1114" spans="1:35" x14ac:dyDescent="0.2">
      <c r="A1114">
        <v>330</v>
      </c>
      <c r="B1114" t="s">
        <v>749</v>
      </c>
      <c r="C1114">
        <v>3</v>
      </c>
      <c r="D1114" t="s">
        <v>3126</v>
      </c>
      <c r="E1114" t="s">
        <v>21</v>
      </c>
      <c r="F1114" t="s">
        <v>18</v>
      </c>
      <c r="G1114" t="s">
        <v>39</v>
      </c>
      <c r="H1114" t="s">
        <v>21</v>
      </c>
      <c r="I1114">
        <v>4</v>
      </c>
      <c r="J1114">
        <v>5</v>
      </c>
      <c r="K1114">
        <v>150</v>
      </c>
      <c r="L1114" t="s">
        <v>601</v>
      </c>
      <c r="M1114" t="s">
        <v>48</v>
      </c>
      <c r="N1114" t="s">
        <v>36</v>
      </c>
      <c r="O1114" t="s">
        <v>590</v>
      </c>
      <c r="P1114" t="s">
        <v>3127</v>
      </c>
      <c r="Q1114">
        <f t="shared" si="306"/>
        <v>1</v>
      </c>
      <c r="R1114">
        <f t="shared" si="307"/>
        <v>4</v>
      </c>
      <c r="S1114">
        <f t="shared" si="308"/>
        <v>5</v>
      </c>
      <c r="T1114">
        <f t="shared" si="309"/>
        <v>1</v>
      </c>
      <c r="U1114">
        <v>150</v>
      </c>
      <c r="V1114">
        <f t="shared" si="310"/>
        <v>0</v>
      </c>
      <c r="W1114">
        <f t="shared" si="311"/>
        <v>1</v>
      </c>
      <c r="X1114">
        <f t="shared" si="312"/>
        <v>0</v>
      </c>
      <c r="Y1114">
        <f t="shared" si="313"/>
        <v>1</v>
      </c>
      <c r="Z1114">
        <f t="shared" si="314"/>
        <v>1</v>
      </c>
      <c r="AA1114">
        <f t="shared" si="315"/>
        <v>1</v>
      </c>
      <c r="AB1114">
        <f t="shared" si="316"/>
        <v>1</v>
      </c>
      <c r="AC1114">
        <f t="shared" si="317"/>
        <v>1</v>
      </c>
      <c r="AD1114">
        <f t="shared" si="318"/>
        <v>0</v>
      </c>
      <c r="AE1114">
        <f t="shared" si="319"/>
        <v>0</v>
      </c>
      <c r="AF1114">
        <f t="shared" si="320"/>
        <v>0</v>
      </c>
      <c r="AG1114">
        <f t="shared" si="321"/>
        <v>0</v>
      </c>
      <c r="AH1114">
        <f t="shared" si="322"/>
        <v>0</v>
      </c>
      <c r="AI1114">
        <f t="shared" si="323"/>
        <v>1</v>
      </c>
    </row>
    <row r="1115" spans="1:35" x14ac:dyDescent="0.2">
      <c r="A1115">
        <v>331</v>
      </c>
      <c r="B1115" t="s">
        <v>749</v>
      </c>
      <c r="C1115">
        <v>5</v>
      </c>
      <c r="D1115" t="s">
        <v>3128</v>
      </c>
      <c r="E1115" t="s">
        <v>21</v>
      </c>
      <c r="F1115" t="s">
        <v>18</v>
      </c>
      <c r="G1115" t="s">
        <v>18</v>
      </c>
      <c r="H1115" t="s">
        <v>20</v>
      </c>
      <c r="I1115">
        <v>3</v>
      </c>
      <c r="J1115">
        <v>3</v>
      </c>
      <c r="K1115">
        <v>400</v>
      </c>
      <c r="L1115" t="s">
        <v>494</v>
      </c>
      <c r="M1115" t="s">
        <v>48</v>
      </c>
      <c r="N1115" t="s">
        <v>36</v>
      </c>
      <c r="O1115" t="s">
        <v>3129</v>
      </c>
      <c r="P1115" t="s">
        <v>3130</v>
      </c>
      <c r="Q1115">
        <f t="shared" si="306"/>
        <v>1</v>
      </c>
      <c r="R1115">
        <f t="shared" si="307"/>
        <v>4</v>
      </c>
      <c r="S1115">
        <f t="shared" si="308"/>
        <v>4</v>
      </c>
      <c r="T1115">
        <f t="shared" si="309"/>
        <v>2</v>
      </c>
      <c r="U1115">
        <v>400</v>
      </c>
      <c r="V1115">
        <f t="shared" si="310"/>
        <v>0</v>
      </c>
      <c r="W1115">
        <f t="shared" si="311"/>
        <v>1</v>
      </c>
      <c r="X1115">
        <f t="shared" si="312"/>
        <v>1</v>
      </c>
      <c r="Y1115">
        <f t="shared" si="313"/>
        <v>1</v>
      </c>
      <c r="Z1115">
        <f t="shared" si="314"/>
        <v>1</v>
      </c>
      <c r="AA1115">
        <f t="shared" si="315"/>
        <v>1</v>
      </c>
      <c r="AB1115">
        <f t="shared" si="316"/>
        <v>1</v>
      </c>
      <c r="AC1115">
        <f t="shared" si="317"/>
        <v>1</v>
      </c>
      <c r="AD1115">
        <f t="shared" si="318"/>
        <v>0</v>
      </c>
      <c r="AE1115">
        <f t="shared" si="319"/>
        <v>0</v>
      </c>
      <c r="AF1115">
        <f t="shared" si="320"/>
        <v>0</v>
      </c>
      <c r="AG1115">
        <f t="shared" si="321"/>
        <v>0</v>
      </c>
      <c r="AH1115">
        <f t="shared" si="322"/>
        <v>0</v>
      </c>
      <c r="AI1115">
        <f t="shared" si="323"/>
        <v>1</v>
      </c>
    </row>
    <row r="1116" spans="1:35" x14ac:dyDescent="0.2">
      <c r="A1116">
        <v>332</v>
      </c>
      <c r="B1116" t="s">
        <v>749</v>
      </c>
      <c r="C1116">
        <v>7</v>
      </c>
      <c r="D1116" t="s">
        <v>3131</v>
      </c>
      <c r="E1116" t="s">
        <v>21</v>
      </c>
      <c r="F1116" t="s">
        <v>18</v>
      </c>
      <c r="G1116" t="s">
        <v>18</v>
      </c>
      <c r="H1116" t="s">
        <v>21</v>
      </c>
      <c r="I1116">
        <v>2</v>
      </c>
      <c r="J1116">
        <v>4</v>
      </c>
      <c r="K1116">
        <v>100</v>
      </c>
      <c r="L1116" t="s">
        <v>53</v>
      </c>
      <c r="M1116" t="s">
        <v>123</v>
      </c>
      <c r="N1116" t="s">
        <v>84</v>
      </c>
      <c r="O1116" t="s">
        <v>2897</v>
      </c>
      <c r="P1116" t="s">
        <v>3132</v>
      </c>
      <c r="Q1116">
        <f t="shared" si="306"/>
        <v>1</v>
      </c>
      <c r="R1116">
        <f t="shared" si="307"/>
        <v>4</v>
      </c>
      <c r="S1116">
        <f t="shared" si="308"/>
        <v>4</v>
      </c>
      <c r="T1116">
        <f t="shared" si="309"/>
        <v>1</v>
      </c>
      <c r="U1116">
        <v>100</v>
      </c>
      <c r="V1116">
        <f t="shared" si="310"/>
        <v>0</v>
      </c>
      <c r="W1116">
        <f t="shared" si="311"/>
        <v>0</v>
      </c>
      <c r="X1116">
        <f t="shared" si="312"/>
        <v>1</v>
      </c>
      <c r="Y1116">
        <f t="shared" si="313"/>
        <v>0</v>
      </c>
      <c r="Z1116">
        <f t="shared" si="314"/>
        <v>0</v>
      </c>
      <c r="AA1116">
        <f t="shared" si="315"/>
        <v>0</v>
      </c>
      <c r="AB1116">
        <f t="shared" si="316"/>
        <v>1</v>
      </c>
      <c r="AC1116">
        <f t="shared" si="317"/>
        <v>1</v>
      </c>
      <c r="AD1116">
        <f t="shared" si="318"/>
        <v>0</v>
      </c>
      <c r="AE1116">
        <f t="shared" si="319"/>
        <v>0</v>
      </c>
      <c r="AF1116">
        <f t="shared" si="320"/>
        <v>0</v>
      </c>
      <c r="AG1116">
        <f t="shared" si="321"/>
        <v>1</v>
      </c>
      <c r="AH1116">
        <f t="shared" si="322"/>
        <v>0</v>
      </c>
      <c r="AI1116">
        <f t="shared" si="323"/>
        <v>0</v>
      </c>
    </row>
    <row r="1117" spans="1:35" x14ac:dyDescent="0.2">
      <c r="A1117">
        <v>333</v>
      </c>
      <c r="B1117" t="s">
        <v>749</v>
      </c>
      <c r="C1117">
        <v>9</v>
      </c>
      <c r="D1117" t="s">
        <v>3133</v>
      </c>
      <c r="E1117" t="s">
        <v>20</v>
      </c>
      <c r="F1117" t="s">
        <v>18</v>
      </c>
      <c r="G1117" t="s">
        <v>39</v>
      </c>
      <c r="H1117" t="s">
        <v>20</v>
      </c>
      <c r="I1117">
        <v>4</v>
      </c>
      <c r="J1117">
        <v>14</v>
      </c>
      <c r="K1117" s="1">
        <v>1200</v>
      </c>
      <c r="L1117" t="s">
        <v>79</v>
      </c>
      <c r="M1117" t="s">
        <v>1354</v>
      </c>
      <c r="N1117" t="s">
        <v>847</v>
      </c>
      <c r="O1117" t="s">
        <v>3134</v>
      </c>
      <c r="P1117" t="s">
        <v>3135</v>
      </c>
      <c r="Q1117">
        <f t="shared" si="306"/>
        <v>2</v>
      </c>
      <c r="R1117">
        <f t="shared" si="307"/>
        <v>4</v>
      </c>
      <c r="S1117">
        <f t="shared" si="308"/>
        <v>5</v>
      </c>
      <c r="T1117">
        <f t="shared" si="309"/>
        <v>2</v>
      </c>
      <c r="U1117">
        <v>1200</v>
      </c>
      <c r="V1117">
        <f t="shared" si="310"/>
        <v>0</v>
      </c>
      <c r="W1117">
        <f t="shared" si="311"/>
        <v>1</v>
      </c>
      <c r="X1117">
        <f t="shared" si="312"/>
        <v>0</v>
      </c>
      <c r="Y1117">
        <f t="shared" si="313"/>
        <v>0</v>
      </c>
      <c r="Z1117">
        <f t="shared" si="314"/>
        <v>1</v>
      </c>
      <c r="AA1117">
        <f t="shared" si="315"/>
        <v>0</v>
      </c>
      <c r="AB1117">
        <f t="shared" si="316"/>
        <v>1</v>
      </c>
      <c r="AC1117">
        <f t="shared" si="317"/>
        <v>1</v>
      </c>
      <c r="AD1117">
        <f t="shared" si="318"/>
        <v>0</v>
      </c>
      <c r="AE1117">
        <f t="shared" si="319"/>
        <v>1</v>
      </c>
      <c r="AF1117">
        <f t="shared" si="320"/>
        <v>1</v>
      </c>
      <c r="AG1117">
        <f t="shared" si="321"/>
        <v>0</v>
      </c>
      <c r="AH1117">
        <f t="shared" si="322"/>
        <v>0</v>
      </c>
      <c r="AI1117">
        <f t="shared" si="323"/>
        <v>1</v>
      </c>
    </row>
    <row r="1118" spans="1:35" x14ac:dyDescent="0.2">
      <c r="A1118">
        <v>334</v>
      </c>
      <c r="B1118" t="s">
        <v>749</v>
      </c>
      <c r="C1118">
        <v>1</v>
      </c>
      <c r="D1118" t="s">
        <v>2278</v>
      </c>
      <c r="E1118" t="s">
        <v>21</v>
      </c>
      <c r="F1118" t="s">
        <v>21</v>
      </c>
      <c r="G1118" t="s">
        <v>19</v>
      </c>
      <c r="H1118" t="s">
        <v>21</v>
      </c>
      <c r="I1118">
        <v>4</v>
      </c>
      <c r="J1118">
        <v>3</v>
      </c>
      <c r="K1118" t="s">
        <v>3136</v>
      </c>
      <c r="L1118" t="s">
        <v>70</v>
      </c>
      <c r="M1118" t="s">
        <v>48</v>
      </c>
      <c r="N1118" t="s">
        <v>36</v>
      </c>
      <c r="O1118" t="s">
        <v>3137</v>
      </c>
      <c r="P1118" t="s">
        <v>2233</v>
      </c>
      <c r="Q1118">
        <f t="shared" si="306"/>
        <v>1</v>
      </c>
      <c r="R1118">
        <f t="shared" si="307"/>
        <v>1</v>
      </c>
      <c r="S1118">
        <f t="shared" si="308"/>
        <v>3</v>
      </c>
      <c r="T1118">
        <f t="shared" si="309"/>
        <v>1</v>
      </c>
      <c r="U1118">
        <v>30</v>
      </c>
      <c r="V1118">
        <f t="shared" si="310"/>
        <v>0</v>
      </c>
      <c r="W1118">
        <f t="shared" si="311"/>
        <v>0</v>
      </c>
      <c r="X1118">
        <f t="shared" si="312"/>
        <v>0</v>
      </c>
      <c r="Y1118">
        <f t="shared" si="313"/>
        <v>1</v>
      </c>
      <c r="Z1118">
        <f t="shared" si="314"/>
        <v>0</v>
      </c>
      <c r="AA1118">
        <f t="shared" si="315"/>
        <v>1</v>
      </c>
      <c r="AB1118">
        <f t="shared" si="316"/>
        <v>1</v>
      </c>
      <c r="AC1118">
        <f t="shared" si="317"/>
        <v>1</v>
      </c>
      <c r="AD1118">
        <f t="shared" si="318"/>
        <v>0</v>
      </c>
      <c r="AE1118">
        <f t="shared" si="319"/>
        <v>0</v>
      </c>
      <c r="AF1118">
        <f t="shared" si="320"/>
        <v>0</v>
      </c>
      <c r="AG1118">
        <f t="shared" si="321"/>
        <v>0</v>
      </c>
      <c r="AH1118">
        <f t="shared" si="322"/>
        <v>0</v>
      </c>
      <c r="AI1118">
        <f t="shared" si="323"/>
        <v>1</v>
      </c>
    </row>
    <row r="1119" spans="1:35" x14ac:dyDescent="0.2">
      <c r="A1119">
        <v>335</v>
      </c>
      <c r="B1119" t="s">
        <v>749</v>
      </c>
      <c r="C1119">
        <v>7</v>
      </c>
      <c r="D1119" t="s">
        <v>3138</v>
      </c>
      <c r="E1119" t="s">
        <v>18</v>
      </c>
      <c r="F1119" t="s">
        <v>19</v>
      </c>
      <c r="G1119" t="s">
        <v>19</v>
      </c>
      <c r="H1119" t="s">
        <v>20</v>
      </c>
      <c r="I1119">
        <v>3</v>
      </c>
      <c r="J1119">
        <v>3</v>
      </c>
      <c r="K1119">
        <v>0</v>
      </c>
      <c r="L1119" t="s">
        <v>70</v>
      </c>
      <c r="M1119" t="s">
        <v>115</v>
      </c>
      <c r="N1119" t="s">
        <v>24</v>
      </c>
      <c r="O1119" t="s">
        <v>590</v>
      </c>
      <c r="P1119" t="s">
        <v>3139</v>
      </c>
      <c r="Q1119">
        <f t="shared" si="306"/>
        <v>4</v>
      </c>
      <c r="R1119">
        <f t="shared" si="307"/>
        <v>3</v>
      </c>
      <c r="S1119">
        <f t="shared" si="308"/>
        <v>3</v>
      </c>
      <c r="T1119">
        <f t="shared" si="309"/>
        <v>2</v>
      </c>
      <c r="U1119">
        <v>0</v>
      </c>
      <c r="V1119">
        <f t="shared" si="310"/>
        <v>0</v>
      </c>
      <c r="W1119">
        <f t="shared" si="311"/>
        <v>0</v>
      </c>
      <c r="X1119">
        <f t="shared" si="312"/>
        <v>0</v>
      </c>
      <c r="Y1119">
        <f t="shared" si="313"/>
        <v>1</v>
      </c>
      <c r="Z1119">
        <f t="shared" si="314"/>
        <v>0</v>
      </c>
      <c r="AA1119">
        <f t="shared" si="315"/>
        <v>0</v>
      </c>
      <c r="AB1119">
        <f t="shared" si="316"/>
        <v>0</v>
      </c>
      <c r="AC1119">
        <f t="shared" si="317"/>
        <v>1</v>
      </c>
      <c r="AD1119">
        <f t="shared" si="318"/>
        <v>0</v>
      </c>
      <c r="AE1119">
        <f t="shared" si="319"/>
        <v>0</v>
      </c>
      <c r="AF1119">
        <f t="shared" si="320"/>
        <v>0</v>
      </c>
      <c r="AG1119">
        <f t="shared" si="321"/>
        <v>0</v>
      </c>
      <c r="AH1119">
        <f t="shared" si="322"/>
        <v>1</v>
      </c>
      <c r="AI1119">
        <f t="shared" si="323"/>
        <v>0</v>
      </c>
    </row>
    <row r="1120" spans="1:35" x14ac:dyDescent="0.2">
      <c r="A1120">
        <v>336</v>
      </c>
      <c r="B1120" t="s">
        <v>749</v>
      </c>
      <c r="C1120">
        <v>7</v>
      </c>
      <c r="D1120" t="s">
        <v>3140</v>
      </c>
      <c r="E1120" t="s">
        <v>18</v>
      </c>
      <c r="F1120" t="s">
        <v>18</v>
      </c>
      <c r="G1120" t="s">
        <v>18</v>
      </c>
      <c r="H1120" t="s">
        <v>19</v>
      </c>
      <c r="I1120">
        <v>3</v>
      </c>
      <c r="J1120">
        <v>4</v>
      </c>
      <c r="K1120">
        <v>250</v>
      </c>
      <c r="L1120" t="s">
        <v>70</v>
      </c>
      <c r="M1120" t="s">
        <v>99</v>
      </c>
      <c r="N1120" t="s">
        <v>651</v>
      </c>
      <c r="O1120" t="s">
        <v>3141</v>
      </c>
      <c r="P1120" t="s">
        <v>3142</v>
      </c>
      <c r="Q1120">
        <f t="shared" si="306"/>
        <v>4</v>
      </c>
      <c r="R1120">
        <f t="shared" si="307"/>
        <v>4</v>
      </c>
      <c r="S1120">
        <f t="shared" si="308"/>
        <v>4</v>
      </c>
      <c r="T1120">
        <f t="shared" si="309"/>
        <v>3</v>
      </c>
      <c r="U1120">
        <v>250</v>
      </c>
      <c r="V1120">
        <f t="shared" si="310"/>
        <v>0</v>
      </c>
      <c r="W1120">
        <f t="shared" si="311"/>
        <v>0</v>
      </c>
      <c r="X1120">
        <f t="shared" si="312"/>
        <v>0</v>
      </c>
      <c r="Y1120">
        <f t="shared" si="313"/>
        <v>1</v>
      </c>
      <c r="Z1120">
        <f t="shared" si="314"/>
        <v>0</v>
      </c>
      <c r="AA1120">
        <f t="shared" si="315"/>
        <v>1</v>
      </c>
      <c r="AB1120">
        <f t="shared" si="316"/>
        <v>0</v>
      </c>
      <c r="AC1120">
        <f t="shared" si="317"/>
        <v>0</v>
      </c>
      <c r="AD1120">
        <f t="shared" si="318"/>
        <v>0</v>
      </c>
      <c r="AE1120">
        <f t="shared" si="319"/>
        <v>1</v>
      </c>
      <c r="AF1120">
        <f t="shared" si="320"/>
        <v>1</v>
      </c>
      <c r="AG1120">
        <f t="shared" si="321"/>
        <v>0</v>
      </c>
      <c r="AH1120">
        <f t="shared" si="322"/>
        <v>1</v>
      </c>
      <c r="AI1120">
        <f t="shared" si="323"/>
        <v>0</v>
      </c>
    </row>
    <row r="1121" spans="1:35" x14ac:dyDescent="0.2">
      <c r="A1121">
        <v>337</v>
      </c>
      <c r="B1121" t="s">
        <v>749</v>
      </c>
      <c r="C1121">
        <v>9</v>
      </c>
      <c r="D1121" t="s">
        <v>3143</v>
      </c>
      <c r="E1121" t="s">
        <v>18</v>
      </c>
      <c r="F1121" t="s">
        <v>20</v>
      </c>
      <c r="G1121" t="s">
        <v>39</v>
      </c>
      <c r="H1121" t="s">
        <v>18</v>
      </c>
      <c r="I1121">
        <v>3</v>
      </c>
      <c r="J1121">
        <v>4</v>
      </c>
      <c r="K1121" s="1">
        <v>35</v>
      </c>
      <c r="L1121" t="s">
        <v>70</v>
      </c>
      <c r="M1121" t="s">
        <v>123</v>
      </c>
      <c r="N1121" t="s">
        <v>36</v>
      </c>
      <c r="O1121" t="s">
        <v>3144</v>
      </c>
      <c r="P1121" t="s">
        <v>3145</v>
      </c>
      <c r="Q1121">
        <f t="shared" si="306"/>
        <v>4</v>
      </c>
      <c r="R1121">
        <f t="shared" si="307"/>
        <v>2</v>
      </c>
      <c r="S1121">
        <f t="shared" si="308"/>
        <v>5</v>
      </c>
      <c r="T1121">
        <f t="shared" si="309"/>
        <v>4</v>
      </c>
      <c r="U1121">
        <v>35</v>
      </c>
      <c r="V1121">
        <f t="shared" si="310"/>
        <v>0</v>
      </c>
      <c r="W1121">
        <f t="shared" si="311"/>
        <v>0</v>
      </c>
      <c r="X1121">
        <f t="shared" si="312"/>
        <v>0</v>
      </c>
      <c r="Y1121">
        <f t="shared" si="313"/>
        <v>1</v>
      </c>
      <c r="Z1121">
        <f t="shared" si="314"/>
        <v>0</v>
      </c>
      <c r="AA1121">
        <f t="shared" si="315"/>
        <v>0</v>
      </c>
      <c r="AB1121">
        <f t="shared" si="316"/>
        <v>1</v>
      </c>
      <c r="AC1121">
        <f t="shared" si="317"/>
        <v>1</v>
      </c>
      <c r="AD1121">
        <f t="shared" si="318"/>
        <v>0</v>
      </c>
      <c r="AE1121">
        <f t="shared" si="319"/>
        <v>0</v>
      </c>
      <c r="AF1121">
        <f t="shared" si="320"/>
        <v>0</v>
      </c>
      <c r="AG1121">
        <f t="shared" si="321"/>
        <v>0</v>
      </c>
      <c r="AH1121">
        <f t="shared" si="322"/>
        <v>0</v>
      </c>
      <c r="AI1121">
        <f t="shared" si="323"/>
        <v>1</v>
      </c>
    </row>
    <row r="1122" spans="1:35" x14ac:dyDescent="0.2">
      <c r="A1122">
        <v>338</v>
      </c>
      <c r="B1122" t="s">
        <v>749</v>
      </c>
      <c r="C1122">
        <v>4</v>
      </c>
      <c r="D1122" t="s">
        <v>3146</v>
      </c>
      <c r="E1122" t="s">
        <v>18</v>
      </c>
      <c r="F1122" t="s">
        <v>21</v>
      </c>
      <c r="G1122" t="s">
        <v>19</v>
      </c>
      <c r="H1122" t="s">
        <v>20</v>
      </c>
      <c r="I1122">
        <v>4</v>
      </c>
      <c r="J1122">
        <v>4</v>
      </c>
      <c r="K1122" t="s">
        <v>3147</v>
      </c>
      <c r="L1122" t="s">
        <v>70</v>
      </c>
      <c r="M1122" t="s">
        <v>219</v>
      </c>
      <c r="N1122" t="s">
        <v>847</v>
      </c>
      <c r="O1122" t="s">
        <v>3148</v>
      </c>
      <c r="P1122" t="s">
        <v>3149</v>
      </c>
      <c r="Q1122">
        <f t="shared" si="306"/>
        <v>4</v>
      </c>
      <c r="R1122">
        <f t="shared" si="307"/>
        <v>1</v>
      </c>
      <c r="S1122">
        <f t="shared" si="308"/>
        <v>3</v>
      </c>
      <c r="T1122">
        <f t="shared" si="309"/>
        <v>2</v>
      </c>
      <c r="U1122">
        <v>40</v>
      </c>
      <c r="V1122">
        <f t="shared" si="310"/>
        <v>0</v>
      </c>
      <c r="W1122">
        <f t="shared" si="311"/>
        <v>0</v>
      </c>
      <c r="X1122">
        <f t="shared" si="312"/>
        <v>0</v>
      </c>
      <c r="Y1122">
        <f t="shared" si="313"/>
        <v>1</v>
      </c>
      <c r="Z1122">
        <f t="shared" si="314"/>
        <v>0</v>
      </c>
      <c r="AA1122">
        <f t="shared" si="315"/>
        <v>0</v>
      </c>
      <c r="AB1122">
        <f t="shared" si="316"/>
        <v>0</v>
      </c>
      <c r="AC1122">
        <f t="shared" si="317"/>
        <v>0</v>
      </c>
      <c r="AD1122">
        <f t="shared" si="318"/>
        <v>0</v>
      </c>
      <c r="AE1122">
        <f t="shared" si="319"/>
        <v>1</v>
      </c>
      <c r="AF1122">
        <f t="shared" si="320"/>
        <v>1</v>
      </c>
      <c r="AG1122">
        <f t="shared" si="321"/>
        <v>0</v>
      </c>
      <c r="AH1122">
        <f t="shared" si="322"/>
        <v>0</v>
      </c>
      <c r="AI1122">
        <f t="shared" si="323"/>
        <v>1</v>
      </c>
    </row>
    <row r="1123" spans="1:35" x14ac:dyDescent="0.2">
      <c r="A1123">
        <v>339</v>
      </c>
      <c r="B1123" t="s">
        <v>749</v>
      </c>
      <c r="C1123">
        <v>9</v>
      </c>
      <c r="D1123" t="s">
        <v>3150</v>
      </c>
      <c r="E1123" t="s">
        <v>19</v>
      </c>
      <c r="F1123" t="s">
        <v>18</v>
      </c>
      <c r="G1123" t="s">
        <v>18</v>
      </c>
      <c r="H1123" t="s">
        <v>20</v>
      </c>
      <c r="I1123">
        <v>4</v>
      </c>
      <c r="J1123">
        <v>6</v>
      </c>
      <c r="K1123">
        <v>200000</v>
      </c>
      <c r="L1123" t="s">
        <v>41</v>
      </c>
      <c r="M1123" t="s">
        <v>154</v>
      </c>
      <c r="N1123" t="s">
        <v>147</v>
      </c>
      <c r="O1123" t="s">
        <v>977</v>
      </c>
      <c r="P1123" t="s">
        <v>3151</v>
      </c>
      <c r="Q1123">
        <f t="shared" si="306"/>
        <v>3</v>
      </c>
      <c r="R1123">
        <f t="shared" si="307"/>
        <v>4</v>
      </c>
      <c r="S1123">
        <f t="shared" si="308"/>
        <v>4</v>
      </c>
      <c r="T1123">
        <f t="shared" si="309"/>
        <v>2</v>
      </c>
      <c r="U1123">
        <v>200000</v>
      </c>
      <c r="V1123">
        <f t="shared" si="310"/>
        <v>0</v>
      </c>
      <c r="W1123">
        <f t="shared" si="311"/>
        <v>0</v>
      </c>
      <c r="X1123">
        <f t="shared" si="312"/>
        <v>0</v>
      </c>
      <c r="Y1123">
        <f t="shared" si="313"/>
        <v>0</v>
      </c>
      <c r="Z1123">
        <f t="shared" si="314"/>
        <v>1</v>
      </c>
      <c r="AA1123">
        <f t="shared" si="315"/>
        <v>1</v>
      </c>
      <c r="AB1123">
        <f t="shared" si="316"/>
        <v>0</v>
      </c>
      <c r="AC1123">
        <f t="shared" si="317"/>
        <v>1</v>
      </c>
      <c r="AD1123">
        <f t="shared" si="318"/>
        <v>0</v>
      </c>
      <c r="AE1123">
        <f t="shared" si="319"/>
        <v>0</v>
      </c>
      <c r="AF1123">
        <f t="shared" si="320"/>
        <v>0</v>
      </c>
      <c r="AG1123">
        <f t="shared" si="321"/>
        <v>0</v>
      </c>
      <c r="AH1123">
        <f t="shared" si="322"/>
        <v>1</v>
      </c>
      <c r="AI1123">
        <f t="shared" si="323"/>
        <v>1</v>
      </c>
    </row>
    <row r="1124" spans="1:35" x14ac:dyDescent="0.2">
      <c r="A1124">
        <v>340</v>
      </c>
      <c r="B1124" t="s">
        <v>749</v>
      </c>
      <c r="C1124">
        <v>7</v>
      </c>
      <c r="D1124" t="s">
        <v>3152</v>
      </c>
      <c r="E1124" t="s">
        <v>19</v>
      </c>
      <c r="F1124" t="s">
        <v>18</v>
      </c>
      <c r="G1124" t="s">
        <v>39</v>
      </c>
      <c r="H1124" t="s">
        <v>20</v>
      </c>
      <c r="I1124">
        <v>3</v>
      </c>
      <c r="J1124">
        <v>2</v>
      </c>
      <c r="K1124" t="s">
        <v>3153</v>
      </c>
      <c r="L1124" t="s">
        <v>79</v>
      </c>
      <c r="M1124" t="s">
        <v>468</v>
      </c>
      <c r="N1124" t="s">
        <v>84</v>
      </c>
      <c r="O1124" t="s">
        <v>3154</v>
      </c>
      <c r="P1124" t="s">
        <v>3155</v>
      </c>
      <c r="Q1124">
        <f t="shared" si="306"/>
        <v>3</v>
      </c>
      <c r="R1124">
        <f t="shared" si="307"/>
        <v>4</v>
      </c>
      <c r="S1124">
        <f t="shared" si="308"/>
        <v>5</v>
      </c>
      <c r="T1124">
        <f t="shared" si="309"/>
        <v>2</v>
      </c>
      <c r="U1124">
        <v>500</v>
      </c>
      <c r="V1124">
        <f t="shared" si="310"/>
        <v>0</v>
      </c>
      <c r="W1124">
        <f t="shared" si="311"/>
        <v>1</v>
      </c>
      <c r="X1124">
        <f t="shared" si="312"/>
        <v>0</v>
      </c>
      <c r="Y1124">
        <f t="shared" si="313"/>
        <v>0</v>
      </c>
      <c r="Z1124">
        <f t="shared" si="314"/>
        <v>1</v>
      </c>
      <c r="AA1124">
        <f t="shared" si="315"/>
        <v>1</v>
      </c>
      <c r="AB1124">
        <f t="shared" si="316"/>
        <v>1</v>
      </c>
      <c r="AC1124">
        <f t="shared" si="317"/>
        <v>1</v>
      </c>
      <c r="AD1124">
        <f t="shared" si="318"/>
        <v>1</v>
      </c>
      <c r="AE1124">
        <f t="shared" si="319"/>
        <v>1</v>
      </c>
      <c r="AF1124">
        <f t="shared" si="320"/>
        <v>0</v>
      </c>
      <c r="AG1124">
        <f t="shared" si="321"/>
        <v>1</v>
      </c>
      <c r="AH1124">
        <f t="shared" si="322"/>
        <v>0</v>
      </c>
      <c r="AI1124">
        <f t="shared" si="323"/>
        <v>0</v>
      </c>
    </row>
    <row r="1125" spans="1:35" x14ac:dyDescent="0.2">
      <c r="A1125">
        <v>341</v>
      </c>
      <c r="B1125" t="s">
        <v>749</v>
      </c>
      <c r="C1125">
        <v>4</v>
      </c>
      <c r="D1125" t="s">
        <v>3156</v>
      </c>
      <c r="E1125" t="s">
        <v>20</v>
      </c>
      <c r="F1125" t="s">
        <v>18</v>
      </c>
      <c r="G1125" t="s">
        <v>19</v>
      </c>
      <c r="H1125" t="s">
        <v>20</v>
      </c>
      <c r="I1125">
        <v>2</v>
      </c>
      <c r="J1125">
        <v>3</v>
      </c>
      <c r="K1125">
        <v>40000</v>
      </c>
      <c r="L1125" t="s">
        <v>47</v>
      </c>
      <c r="M1125" t="s">
        <v>115</v>
      </c>
      <c r="N1125" t="s">
        <v>43</v>
      </c>
      <c r="O1125" t="s">
        <v>3157</v>
      </c>
      <c r="P1125" t="s">
        <v>3158</v>
      </c>
      <c r="Q1125">
        <f t="shared" si="306"/>
        <v>2</v>
      </c>
      <c r="R1125">
        <f t="shared" si="307"/>
        <v>4</v>
      </c>
      <c r="S1125">
        <f t="shared" si="308"/>
        <v>3</v>
      </c>
      <c r="T1125">
        <f t="shared" si="309"/>
        <v>2</v>
      </c>
      <c r="U1125">
        <v>40000</v>
      </c>
      <c r="V1125">
        <f t="shared" si="310"/>
        <v>0</v>
      </c>
      <c r="W1125">
        <f t="shared" si="311"/>
        <v>0</v>
      </c>
      <c r="X1125">
        <f t="shared" si="312"/>
        <v>1</v>
      </c>
      <c r="Y1125">
        <f t="shared" si="313"/>
        <v>0</v>
      </c>
      <c r="Z1125">
        <f t="shared" si="314"/>
        <v>1</v>
      </c>
      <c r="AA1125">
        <f t="shared" si="315"/>
        <v>0</v>
      </c>
      <c r="AB1125">
        <f t="shared" si="316"/>
        <v>0</v>
      </c>
      <c r="AC1125">
        <f t="shared" si="317"/>
        <v>1</v>
      </c>
      <c r="AD1125">
        <f t="shared" si="318"/>
        <v>0</v>
      </c>
      <c r="AE1125">
        <f t="shared" si="319"/>
        <v>0</v>
      </c>
      <c r="AF1125">
        <f t="shared" si="320"/>
        <v>1</v>
      </c>
      <c r="AG1125">
        <f t="shared" si="321"/>
        <v>1</v>
      </c>
      <c r="AH1125">
        <f t="shared" si="322"/>
        <v>0</v>
      </c>
      <c r="AI1125">
        <f t="shared" si="323"/>
        <v>0</v>
      </c>
    </row>
    <row r="1126" spans="1:35" x14ac:dyDescent="0.2">
      <c r="A1126">
        <v>342</v>
      </c>
      <c r="B1126" t="s">
        <v>749</v>
      </c>
      <c r="C1126">
        <v>8</v>
      </c>
      <c r="D1126" t="s">
        <v>274</v>
      </c>
      <c r="E1126" t="s">
        <v>19</v>
      </c>
      <c r="F1126" t="s">
        <v>18</v>
      </c>
      <c r="G1126" t="s">
        <v>18</v>
      </c>
      <c r="H1126" t="s">
        <v>20</v>
      </c>
      <c r="I1126">
        <v>4</v>
      </c>
      <c r="J1126">
        <v>5</v>
      </c>
      <c r="K1126">
        <v>100</v>
      </c>
      <c r="L1126" t="s">
        <v>41</v>
      </c>
      <c r="M1126" t="s">
        <v>23</v>
      </c>
      <c r="N1126" t="s">
        <v>215</v>
      </c>
      <c r="O1126" t="s">
        <v>3159</v>
      </c>
      <c r="P1126" t="s">
        <v>3160</v>
      </c>
      <c r="Q1126">
        <f t="shared" si="306"/>
        <v>3</v>
      </c>
      <c r="R1126">
        <f t="shared" si="307"/>
        <v>4</v>
      </c>
      <c r="S1126">
        <f t="shared" si="308"/>
        <v>4</v>
      </c>
      <c r="T1126">
        <f t="shared" si="309"/>
        <v>2</v>
      </c>
      <c r="U1126">
        <v>100</v>
      </c>
      <c r="V1126">
        <f t="shared" si="310"/>
        <v>0</v>
      </c>
      <c r="W1126">
        <f t="shared" si="311"/>
        <v>0</v>
      </c>
      <c r="X1126">
        <f t="shared" si="312"/>
        <v>0</v>
      </c>
      <c r="Y1126">
        <f t="shared" si="313"/>
        <v>0</v>
      </c>
      <c r="Z1126">
        <f t="shared" si="314"/>
        <v>1</v>
      </c>
      <c r="AA1126">
        <f t="shared" si="315"/>
        <v>1</v>
      </c>
      <c r="AB1126">
        <f t="shared" si="316"/>
        <v>0</v>
      </c>
      <c r="AC1126">
        <f t="shared" si="317"/>
        <v>0</v>
      </c>
      <c r="AD1126">
        <f t="shared" si="318"/>
        <v>0</v>
      </c>
      <c r="AE1126">
        <f t="shared" si="319"/>
        <v>0</v>
      </c>
      <c r="AF1126">
        <f t="shared" si="320"/>
        <v>1</v>
      </c>
      <c r="AG1126">
        <f t="shared" si="321"/>
        <v>0</v>
      </c>
      <c r="AH1126">
        <f t="shared" si="322"/>
        <v>0</v>
      </c>
      <c r="AI1126">
        <f t="shared" si="323"/>
        <v>0</v>
      </c>
    </row>
    <row r="1127" spans="1:35" x14ac:dyDescent="0.2">
      <c r="A1127">
        <v>343</v>
      </c>
      <c r="B1127" t="s">
        <v>749</v>
      </c>
      <c r="C1127">
        <v>7</v>
      </c>
      <c r="D1127" t="s">
        <v>545</v>
      </c>
      <c r="E1127" t="s">
        <v>18</v>
      </c>
      <c r="F1127" t="s">
        <v>20</v>
      </c>
      <c r="G1127" t="s">
        <v>20</v>
      </c>
      <c r="H1127" t="s">
        <v>18</v>
      </c>
      <c r="I1127">
        <v>2</v>
      </c>
      <c r="J1127">
        <v>1</v>
      </c>
      <c r="K1127">
        <v>20</v>
      </c>
      <c r="L1127" t="s">
        <v>70</v>
      </c>
      <c r="M1127" t="s">
        <v>42</v>
      </c>
      <c r="N1127" t="s">
        <v>36</v>
      </c>
      <c r="O1127" t="s">
        <v>1231</v>
      </c>
      <c r="P1127" t="s">
        <v>3161</v>
      </c>
      <c r="Q1127">
        <f t="shared" si="306"/>
        <v>4</v>
      </c>
      <c r="R1127">
        <f t="shared" si="307"/>
        <v>2</v>
      </c>
      <c r="S1127">
        <f t="shared" si="308"/>
        <v>2</v>
      </c>
      <c r="T1127">
        <f t="shared" si="309"/>
        <v>4</v>
      </c>
      <c r="U1127">
        <v>20</v>
      </c>
      <c r="V1127">
        <f t="shared" si="310"/>
        <v>0</v>
      </c>
      <c r="W1127">
        <f t="shared" si="311"/>
        <v>0</v>
      </c>
      <c r="X1127">
        <f t="shared" si="312"/>
        <v>0</v>
      </c>
      <c r="Y1127">
        <f t="shared" si="313"/>
        <v>1</v>
      </c>
      <c r="Z1127">
        <f t="shared" si="314"/>
        <v>0</v>
      </c>
      <c r="AA1127">
        <f t="shared" si="315"/>
        <v>0</v>
      </c>
      <c r="AB1127">
        <f t="shared" si="316"/>
        <v>1</v>
      </c>
      <c r="AC1127">
        <f t="shared" si="317"/>
        <v>0</v>
      </c>
      <c r="AD1127">
        <f t="shared" si="318"/>
        <v>0</v>
      </c>
      <c r="AE1127">
        <f t="shared" si="319"/>
        <v>0</v>
      </c>
      <c r="AF1127">
        <f t="shared" si="320"/>
        <v>0</v>
      </c>
      <c r="AG1127">
        <f t="shared" si="321"/>
        <v>0</v>
      </c>
      <c r="AH1127">
        <f t="shared" si="322"/>
        <v>0</v>
      </c>
      <c r="AI1127">
        <f t="shared" si="323"/>
        <v>1</v>
      </c>
    </row>
    <row r="1128" spans="1:35" x14ac:dyDescent="0.2">
      <c r="A1128">
        <v>344</v>
      </c>
      <c r="B1128" t="s">
        <v>749</v>
      </c>
      <c r="C1128">
        <v>1</v>
      </c>
      <c r="D1128" t="s">
        <v>3162</v>
      </c>
      <c r="E1128" t="s">
        <v>20</v>
      </c>
      <c r="F1128" t="s">
        <v>20</v>
      </c>
      <c r="G1128" t="s">
        <v>20</v>
      </c>
      <c r="H1128" t="s">
        <v>20</v>
      </c>
      <c r="I1128">
        <v>4</v>
      </c>
      <c r="J1128">
        <v>3</v>
      </c>
      <c r="K1128">
        <v>25</v>
      </c>
      <c r="L1128" t="s">
        <v>41</v>
      </c>
      <c r="M1128" t="s">
        <v>42</v>
      </c>
      <c r="N1128" t="s">
        <v>36</v>
      </c>
      <c r="O1128" t="s">
        <v>3163</v>
      </c>
      <c r="P1128" t="s">
        <v>3164</v>
      </c>
      <c r="Q1128">
        <f t="shared" si="306"/>
        <v>2</v>
      </c>
      <c r="R1128">
        <f t="shared" si="307"/>
        <v>2</v>
      </c>
      <c r="S1128">
        <f t="shared" si="308"/>
        <v>2</v>
      </c>
      <c r="T1128">
        <f t="shared" si="309"/>
        <v>2</v>
      </c>
      <c r="U1128">
        <v>25</v>
      </c>
      <c r="V1128">
        <f t="shared" si="310"/>
        <v>0</v>
      </c>
      <c r="W1128">
        <f t="shared" si="311"/>
        <v>0</v>
      </c>
      <c r="X1128">
        <f t="shared" si="312"/>
        <v>0</v>
      </c>
      <c r="Y1128">
        <f t="shared" si="313"/>
        <v>0</v>
      </c>
      <c r="Z1128">
        <f t="shared" si="314"/>
        <v>1</v>
      </c>
      <c r="AA1128">
        <f t="shared" si="315"/>
        <v>0</v>
      </c>
      <c r="AB1128">
        <f t="shared" si="316"/>
        <v>1</v>
      </c>
      <c r="AC1128">
        <f t="shared" si="317"/>
        <v>0</v>
      </c>
      <c r="AD1128">
        <f t="shared" si="318"/>
        <v>0</v>
      </c>
      <c r="AE1128">
        <f t="shared" si="319"/>
        <v>0</v>
      </c>
      <c r="AF1128">
        <f t="shared" si="320"/>
        <v>0</v>
      </c>
      <c r="AG1128">
        <f t="shared" si="321"/>
        <v>0</v>
      </c>
      <c r="AH1128">
        <f t="shared" si="322"/>
        <v>0</v>
      </c>
      <c r="AI1128">
        <f t="shared" si="323"/>
        <v>1</v>
      </c>
    </row>
    <row r="1129" spans="1:35" x14ac:dyDescent="0.2">
      <c r="A1129">
        <v>345</v>
      </c>
      <c r="B1129" t="s">
        <v>749</v>
      </c>
      <c r="C1129">
        <v>9</v>
      </c>
      <c r="D1129" t="s">
        <v>3165</v>
      </c>
      <c r="E1129" t="s">
        <v>21</v>
      </c>
      <c r="F1129" t="s">
        <v>39</v>
      </c>
      <c r="G1129" t="s">
        <v>18</v>
      </c>
      <c r="H1129" t="s">
        <v>21</v>
      </c>
      <c r="I1129">
        <v>3</v>
      </c>
      <c r="J1129">
        <v>3</v>
      </c>
      <c r="K1129" s="1">
        <v>30</v>
      </c>
      <c r="L1129" t="s">
        <v>41</v>
      </c>
      <c r="M1129" t="s">
        <v>161</v>
      </c>
      <c r="N1129" t="s">
        <v>43</v>
      </c>
      <c r="O1129" t="s">
        <v>3166</v>
      </c>
      <c r="P1129" t="s">
        <v>3167</v>
      </c>
      <c r="Q1129">
        <f t="shared" si="306"/>
        <v>1</v>
      </c>
      <c r="R1129">
        <f t="shared" si="307"/>
        <v>5</v>
      </c>
      <c r="S1129">
        <f t="shared" si="308"/>
        <v>4</v>
      </c>
      <c r="T1129">
        <f t="shared" si="309"/>
        <v>1</v>
      </c>
      <c r="U1129">
        <v>30</v>
      </c>
      <c r="V1129">
        <f t="shared" si="310"/>
        <v>0</v>
      </c>
      <c r="W1129">
        <f t="shared" si="311"/>
        <v>0</v>
      </c>
      <c r="X1129">
        <f t="shared" si="312"/>
        <v>0</v>
      </c>
      <c r="Y1129">
        <f t="shared" si="313"/>
        <v>0</v>
      </c>
      <c r="Z1129">
        <f t="shared" si="314"/>
        <v>1</v>
      </c>
      <c r="AA1129">
        <f t="shared" si="315"/>
        <v>1</v>
      </c>
      <c r="AB1129">
        <f t="shared" si="316"/>
        <v>1</v>
      </c>
      <c r="AC1129">
        <f t="shared" si="317"/>
        <v>1</v>
      </c>
      <c r="AD1129">
        <f t="shared" si="318"/>
        <v>1</v>
      </c>
      <c r="AE1129">
        <f t="shared" si="319"/>
        <v>0</v>
      </c>
      <c r="AF1129">
        <f t="shared" si="320"/>
        <v>1</v>
      </c>
      <c r="AG1129">
        <f t="shared" si="321"/>
        <v>1</v>
      </c>
      <c r="AH1129">
        <f t="shared" si="322"/>
        <v>0</v>
      </c>
      <c r="AI1129">
        <f t="shared" si="323"/>
        <v>0</v>
      </c>
    </row>
    <row r="1130" spans="1:35" x14ac:dyDescent="0.2">
      <c r="A1130">
        <v>346</v>
      </c>
      <c r="B1130" t="s">
        <v>749</v>
      </c>
      <c r="C1130">
        <v>8</v>
      </c>
      <c r="D1130" t="s">
        <v>3168</v>
      </c>
      <c r="E1130" t="s">
        <v>18</v>
      </c>
      <c r="F1130" t="s">
        <v>20</v>
      </c>
      <c r="G1130" t="s">
        <v>19</v>
      </c>
      <c r="H1130" t="s">
        <v>21</v>
      </c>
      <c r="I1130">
        <v>4</v>
      </c>
      <c r="J1130">
        <v>14</v>
      </c>
      <c r="K1130">
        <v>400</v>
      </c>
      <c r="L1130" t="s">
        <v>494</v>
      </c>
      <c r="M1130" t="s">
        <v>280</v>
      </c>
      <c r="N1130" t="s">
        <v>43</v>
      </c>
      <c r="O1130" t="s">
        <v>3169</v>
      </c>
      <c r="P1130" t="s">
        <v>3170</v>
      </c>
      <c r="Q1130">
        <f t="shared" si="306"/>
        <v>4</v>
      </c>
      <c r="R1130">
        <f t="shared" si="307"/>
        <v>2</v>
      </c>
      <c r="S1130">
        <f t="shared" si="308"/>
        <v>3</v>
      </c>
      <c r="T1130">
        <f t="shared" si="309"/>
        <v>1</v>
      </c>
      <c r="U1130">
        <v>400</v>
      </c>
      <c r="V1130">
        <f t="shared" si="310"/>
        <v>0</v>
      </c>
      <c r="W1130">
        <f t="shared" si="311"/>
        <v>1</v>
      </c>
      <c r="X1130">
        <f t="shared" si="312"/>
        <v>1</v>
      </c>
      <c r="Y1130">
        <f t="shared" si="313"/>
        <v>1</v>
      </c>
      <c r="Z1130">
        <f t="shared" si="314"/>
        <v>1</v>
      </c>
      <c r="AA1130">
        <f t="shared" si="315"/>
        <v>0</v>
      </c>
      <c r="AB1130">
        <f t="shared" si="316"/>
        <v>1</v>
      </c>
      <c r="AC1130">
        <f t="shared" si="317"/>
        <v>1</v>
      </c>
      <c r="AD1130">
        <f t="shared" si="318"/>
        <v>1</v>
      </c>
      <c r="AE1130">
        <f t="shared" si="319"/>
        <v>0</v>
      </c>
      <c r="AF1130">
        <f t="shared" si="320"/>
        <v>1</v>
      </c>
      <c r="AG1130">
        <f t="shared" si="321"/>
        <v>1</v>
      </c>
      <c r="AH1130">
        <f t="shared" si="322"/>
        <v>0</v>
      </c>
      <c r="AI1130">
        <f t="shared" si="323"/>
        <v>0</v>
      </c>
    </row>
    <row r="1131" spans="1:35" x14ac:dyDescent="0.2">
      <c r="A1131">
        <v>347</v>
      </c>
      <c r="B1131" t="s">
        <v>749</v>
      </c>
      <c r="C1131">
        <v>9</v>
      </c>
      <c r="D1131" t="s">
        <v>3171</v>
      </c>
      <c r="E1131" t="s">
        <v>18</v>
      </c>
      <c r="F1131" t="s">
        <v>20</v>
      </c>
      <c r="G1131" t="s">
        <v>20</v>
      </c>
      <c r="H1131" t="s">
        <v>19</v>
      </c>
      <c r="I1131">
        <v>3</v>
      </c>
      <c r="J1131">
        <v>4</v>
      </c>
      <c r="K1131">
        <v>800</v>
      </c>
      <c r="L1131" t="s">
        <v>53</v>
      </c>
      <c r="M1131" t="s">
        <v>135</v>
      </c>
      <c r="N1131" t="s">
        <v>651</v>
      </c>
      <c r="O1131" t="s">
        <v>3172</v>
      </c>
      <c r="P1131" t="s">
        <v>3173</v>
      </c>
      <c r="Q1131">
        <f t="shared" si="306"/>
        <v>4</v>
      </c>
      <c r="R1131">
        <f t="shared" si="307"/>
        <v>2</v>
      </c>
      <c r="S1131">
        <f t="shared" si="308"/>
        <v>2</v>
      </c>
      <c r="T1131">
        <f t="shared" si="309"/>
        <v>3</v>
      </c>
      <c r="U1131">
        <v>800</v>
      </c>
      <c r="V1131">
        <f t="shared" si="310"/>
        <v>0</v>
      </c>
      <c r="W1131">
        <f t="shared" si="311"/>
        <v>0</v>
      </c>
      <c r="X1131">
        <f t="shared" si="312"/>
        <v>1</v>
      </c>
      <c r="Y1131">
        <f t="shared" si="313"/>
        <v>0</v>
      </c>
      <c r="Z1131">
        <f t="shared" si="314"/>
        <v>0</v>
      </c>
      <c r="AA1131">
        <f t="shared" si="315"/>
        <v>1</v>
      </c>
      <c r="AB1131">
        <f t="shared" si="316"/>
        <v>1</v>
      </c>
      <c r="AC1131">
        <f t="shared" si="317"/>
        <v>0</v>
      </c>
      <c r="AD1131">
        <f t="shared" si="318"/>
        <v>0</v>
      </c>
      <c r="AE1131">
        <f t="shared" si="319"/>
        <v>0</v>
      </c>
      <c r="AF1131">
        <f t="shared" si="320"/>
        <v>1</v>
      </c>
      <c r="AG1131">
        <f t="shared" si="321"/>
        <v>0</v>
      </c>
      <c r="AH1131">
        <f t="shared" si="322"/>
        <v>1</v>
      </c>
      <c r="AI1131">
        <f t="shared" si="323"/>
        <v>0</v>
      </c>
    </row>
    <row r="1132" spans="1:35" x14ac:dyDescent="0.2">
      <c r="A1132">
        <v>348</v>
      </c>
      <c r="B1132" t="s">
        <v>749</v>
      </c>
      <c r="C1132">
        <v>4</v>
      </c>
      <c r="D1132" t="s">
        <v>3174</v>
      </c>
      <c r="E1132" t="s">
        <v>18</v>
      </c>
      <c r="F1132" t="s">
        <v>20</v>
      </c>
      <c r="G1132" t="s">
        <v>19</v>
      </c>
      <c r="H1132" t="s">
        <v>18</v>
      </c>
      <c r="I1132">
        <v>4</v>
      </c>
      <c r="J1132">
        <v>6</v>
      </c>
      <c r="K1132" s="1">
        <v>67</v>
      </c>
      <c r="L1132" t="s">
        <v>514</v>
      </c>
      <c r="M1132" t="s">
        <v>48</v>
      </c>
      <c r="N1132" t="s">
        <v>36</v>
      </c>
      <c r="O1132" t="s">
        <v>205</v>
      </c>
      <c r="P1132" t="s">
        <v>3175</v>
      </c>
      <c r="Q1132">
        <f t="shared" si="306"/>
        <v>4</v>
      </c>
      <c r="R1132">
        <f t="shared" si="307"/>
        <v>2</v>
      </c>
      <c r="S1132">
        <f t="shared" si="308"/>
        <v>3</v>
      </c>
      <c r="T1132">
        <f t="shared" si="309"/>
        <v>4</v>
      </c>
      <c r="U1132">
        <v>67</v>
      </c>
      <c r="V1132">
        <f t="shared" si="310"/>
        <v>1</v>
      </c>
      <c r="W1132">
        <f t="shared" si="311"/>
        <v>1</v>
      </c>
      <c r="X1132">
        <f t="shared" si="312"/>
        <v>0</v>
      </c>
      <c r="Y1132">
        <f t="shared" si="313"/>
        <v>0</v>
      </c>
      <c r="Z1132">
        <f t="shared" si="314"/>
        <v>1</v>
      </c>
      <c r="AA1132">
        <f t="shared" si="315"/>
        <v>1</v>
      </c>
      <c r="AB1132">
        <f t="shared" si="316"/>
        <v>1</v>
      </c>
      <c r="AC1132">
        <f t="shared" si="317"/>
        <v>1</v>
      </c>
      <c r="AD1132">
        <f t="shared" si="318"/>
        <v>0</v>
      </c>
      <c r="AE1132">
        <f t="shared" si="319"/>
        <v>0</v>
      </c>
      <c r="AF1132">
        <f t="shared" si="320"/>
        <v>0</v>
      </c>
      <c r="AG1132">
        <f t="shared" si="321"/>
        <v>0</v>
      </c>
      <c r="AH1132">
        <f t="shared" si="322"/>
        <v>0</v>
      </c>
      <c r="AI1132">
        <f t="shared" si="323"/>
        <v>1</v>
      </c>
    </row>
    <row r="1133" spans="1:35" x14ac:dyDescent="0.2">
      <c r="A1133">
        <v>349</v>
      </c>
      <c r="B1133" t="s">
        <v>749</v>
      </c>
      <c r="C1133">
        <v>6</v>
      </c>
      <c r="D1133" t="s">
        <v>3176</v>
      </c>
      <c r="E1133" t="s">
        <v>20</v>
      </c>
      <c r="F1133" t="s">
        <v>39</v>
      </c>
      <c r="G1133" t="s">
        <v>18</v>
      </c>
      <c r="H1133" t="s">
        <v>20</v>
      </c>
      <c r="I1133">
        <v>3</v>
      </c>
      <c r="J1133">
        <v>2</v>
      </c>
      <c r="K1133">
        <v>17000000</v>
      </c>
      <c r="L1133" t="s">
        <v>276</v>
      </c>
      <c r="M1133" t="s">
        <v>268</v>
      </c>
      <c r="N1133" t="s">
        <v>43</v>
      </c>
      <c r="O1133" t="s">
        <v>3177</v>
      </c>
      <c r="P1133" t="s">
        <v>3178</v>
      </c>
      <c r="Q1133">
        <f t="shared" si="306"/>
        <v>2</v>
      </c>
      <c r="R1133">
        <f t="shared" si="307"/>
        <v>5</v>
      </c>
      <c r="S1133">
        <f t="shared" si="308"/>
        <v>4</v>
      </c>
      <c r="T1133">
        <f t="shared" si="309"/>
        <v>2</v>
      </c>
      <c r="U1133">
        <v>17000000</v>
      </c>
      <c r="V1133">
        <f t="shared" si="310"/>
        <v>1</v>
      </c>
      <c r="W1133">
        <f t="shared" si="311"/>
        <v>1</v>
      </c>
      <c r="X1133">
        <f t="shared" si="312"/>
        <v>0</v>
      </c>
      <c r="Y1133">
        <f t="shared" si="313"/>
        <v>1</v>
      </c>
      <c r="Z1133">
        <f t="shared" si="314"/>
        <v>1</v>
      </c>
      <c r="AA1133">
        <f t="shared" si="315"/>
        <v>1</v>
      </c>
      <c r="AB1133">
        <f t="shared" si="316"/>
        <v>1</v>
      </c>
      <c r="AC1133">
        <f t="shared" si="317"/>
        <v>0</v>
      </c>
      <c r="AD1133">
        <f t="shared" si="318"/>
        <v>1</v>
      </c>
      <c r="AE1133">
        <f t="shared" si="319"/>
        <v>0</v>
      </c>
      <c r="AF1133">
        <f t="shared" si="320"/>
        <v>1</v>
      </c>
      <c r="AG1133">
        <f t="shared" si="321"/>
        <v>1</v>
      </c>
      <c r="AH1133">
        <f t="shared" si="322"/>
        <v>0</v>
      </c>
      <c r="AI1133">
        <f t="shared" si="323"/>
        <v>0</v>
      </c>
    </row>
    <row r="1134" spans="1:35" x14ac:dyDescent="0.2">
      <c r="A1134">
        <v>350</v>
      </c>
      <c r="B1134" t="s">
        <v>749</v>
      </c>
      <c r="C1134">
        <v>4</v>
      </c>
      <c r="D1134" t="s">
        <v>1130</v>
      </c>
      <c r="E1134" t="s">
        <v>18</v>
      </c>
      <c r="F1134" t="s">
        <v>18</v>
      </c>
      <c r="G1134" t="s">
        <v>39</v>
      </c>
      <c r="H1134" t="s">
        <v>21</v>
      </c>
      <c r="I1134">
        <v>3</v>
      </c>
      <c r="J1134">
        <v>3</v>
      </c>
      <c r="K1134">
        <v>3</v>
      </c>
      <c r="L1134" t="s">
        <v>435</v>
      </c>
      <c r="M1134" t="s">
        <v>781</v>
      </c>
      <c r="N1134" t="s">
        <v>24</v>
      </c>
      <c r="O1134" t="s">
        <v>67</v>
      </c>
      <c r="P1134" t="s">
        <v>3179</v>
      </c>
      <c r="Q1134">
        <f t="shared" si="306"/>
        <v>4</v>
      </c>
      <c r="R1134">
        <f t="shared" si="307"/>
        <v>4</v>
      </c>
      <c r="S1134">
        <f t="shared" si="308"/>
        <v>5</v>
      </c>
      <c r="T1134">
        <f t="shared" si="309"/>
        <v>1</v>
      </c>
      <c r="U1134">
        <v>3</v>
      </c>
      <c r="V1134">
        <f t="shared" si="310"/>
        <v>1</v>
      </c>
      <c r="W1134">
        <f t="shared" si="311"/>
        <v>0</v>
      </c>
      <c r="X1134">
        <f t="shared" si="312"/>
        <v>0</v>
      </c>
      <c r="Y1134">
        <f t="shared" si="313"/>
        <v>0</v>
      </c>
      <c r="Z1134">
        <f t="shared" si="314"/>
        <v>1</v>
      </c>
      <c r="AA1134">
        <f t="shared" si="315"/>
        <v>0</v>
      </c>
      <c r="AB1134">
        <f t="shared" si="316"/>
        <v>1</v>
      </c>
      <c r="AC1134">
        <f t="shared" si="317"/>
        <v>1</v>
      </c>
      <c r="AD1134">
        <f t="shared" si="318"/>
        <v>1</v>
      </c>
      <c r="AE1134">
        <f t="shared" si="319"/>
        <v>1</v>
      </c>
      <c r="AF1134">
        <f t="shared" si="320"/>
        <v>0</v>
      </c>
      <c r="AG1134">
        <f t="shared" si="321"/>
        <v>0</v>
      </c>
      <c r="AH1134">
        <f t="shared" si="322"/>
        <v>1</v>
      </c>
      <c r="AI1134">
        <f t="shared" si="323"/>
        <v>0</v>
      </c>
    </row>
    <row r="1135" spans="1:35" x14ac:dyDescent="0.2">
      <c r="A1135">
        <v>351</v>
      </c>
      <c r="B1135" t="s">
        <v>749</v>
      </c>
      <c r="C1135">
        <v>1</v>
      </c>
      <c r="D1135" t="s">
        <v>3180</v>
      </c>
      <c r="E1135" t="s">
        <v>21</v>
      </c>
      <c r="F1135" t="s">
        <v>21</v>
      </c>
      <c r="G1135" t="s">
        <v>21</v>
      </c>
      <c r="H1135" t="s">
        <v>21</v>
      </c>
      <c r="I1135">
        <v>6</v>
      </c>
      <c r="J1135">
        <v>3</v>
      </c>
      <c r="K1135" s="5">
        <v>0.01</v>
      </c>
      <c r="L1135" t="s">
        <v>22</v>
      </c>
      <c r="M1135" t="s">
        <v>99</v>
      </c>
      <c r="N1135" t="s">
        <v>84</v>
      </c>
      <c r="O1135" t="s">
        <v>3181</v>
      </c>
      <c r="P1135" t="s">
        <v>3182</v>
      </c>
      <c r="Q1135">
        <f t="shared" si="306"/>
        <v>1</v>
      </c>
      <c r="R1135">
        <f t="shared" si="307"/>
        <v>1</v>
      </c>
      <c r="S1135">
        <f t="shared" si="308"/>
        <v>1</v>
      </c>
      <c r="T1135">
        <f t="shared" si="309"/>
        <v>1</v>
      </c>
      <c r="U1135">
        <v>0.01</v>
      </c>
      <c r="V1135">
        <f t="shared" si="310"/>
        <v>1</v>
      </c>
      <c r="W1135">
        <f t="shared" si="311"/>
        <v>0</v>
      </c>
      <c r="X1135">
        <f t="shared" si="312"/>
        <v>0</v>
      </c>
      <c r="Y1135">
        <f t="shared" si="313"/>
        <v>0</v>
      </c>
      <c r="Z1135">
        <f t="shared" si="314"/>
        <v>0</v>
      </c>
      <c r="AA1135">
        <f t="shared" si="315"/>
        <v>1</v>
      </c>
      <c r="AB1135">
        <f t="shared" si="316"/>
        <v>0</v>
      </c>
      <c r="AC1135">
        <f t="shared" si="317"/>
        <v>0</v>
      </c>
      <c r="AD1135">
        <f t="shared" si="318"/>
        <v>0</v>
      </c>
      <c r="AE1135">
        <f t="shared" si="319"/>
        <v>1</v>
      </c>
      <c r="AF1135">
        <f t="shared" si="320"/>
        <v>0</v>
      </c>
      <c r="AG1135">
        <f t="shared" si="321"/>
        <v>1</v>
      </c>
      <c r="AH1135">
        <f t="shared" si="322"/>
        <v>0</v>
      </c>
      <c r="AI1135">
        <f t="shared" si="323"/>
        <v>0</v>
      </c>
    </row>
    <row r="1136" spans="1:35" x14ac:dyDescent="0.2">
      <c r="A1136">
        <v>352</v>
      </c>
      <c r="B1136" t="s">
        <v>749</v>
      </c>
      <c r="C1136">
        <v>4</v>
      </c>
      <c r="D1136" t="s">
        <v>3183</v>
      </c>
      <c r="E1136" t="s">
        <v>18</v>
      </c>
      <c r="F1136" t="s">
        <v>18</v>
      </c>
      <c r="G1136" t="s">
        <v>18</v>
      </c>
      <c r="H1136" t="s">
        <v>20</v>
      </c>
      <c r="I1136">
        <v>4</v>
      </c>
      <c r="J1136">
        <v>4</v>
      </c>
      <c r="K1136">
        <v>20</v>
      </c>
      <c r="L1136" t="s">
        <v>70</v>
      </c>
      <c r="M1136" t="s">
        <v>42</v>
      </c>
      <c r="N1136" t="s">
        <v>84</v>
      </c>
      <c r="O1136" t="s">
        <v>1146</v>
      </c>
      <c r="P1136" t="s">
        <v>3184</v>
      </c>
      <c r="Q1136">
        <f t="shared" si="306"/>
        <v>4</v>
      </c>
      <c r="R1136">
        <f t="shared" si="307"/>
        <v>4</v>
      </c>
      <c r="S1136">
        <f t="shared" si="308"/>
        <v>4</v>
      </c>
      <c r="T1136">
        <f t="shared" si="309"/>
        <v>2</v>
      </c>
      <c r="U1136">
        <v>20</v>
      </c>
      <c r="V1136">
        <f t="shared" si="310"/>
        <v>0</v>
      </c>
      <c r="W1136">
        <f t="shared" si="311"/>
        <v>0</v>
      </c>
      <c r="X1136">
        <f t="shared" si="312"/>
        <v>0</v>
      </c>
      <c r="Y1136">
        <f t="shared" si="313"/>
        <v>1</v>
      </c>
      <c r="Z1136">
        <f t="shared" si="314"/>
        <v>0</v>
      </c>
      <c r="AA1136">
        <f t="shared" si="315"/>
        <v>0</v>
      </c>
      <c r="AB1136">
        <f t="shared" si="316"/>
        <v>1</v>
      </c>
      <c r="AC1136">
        <f t="shared" si="317"/>
        <v>0</v>
      </c>
      <c r="AD1136">
        <f t="shared" si="318"/>
        <v>0</v>
      </c>
      <c r="AE1136">
        <f t="shared" si="319"/>
        <v>0</v>
      </c>
      <c r="AF1136">
        <f t="shared" si="320"/>
        <v>0</v>
      </c>
      <c r="AG1136">
        <f t="shared" si="321"/>
        <v>1</v>
      </c>
      <c r="AH1136">
        <f t="shared" si="322"/>
        <v>0</v>
      </c>
      <c r="AI1136">
        <f t="shared" si="323"/>
        <v>0</v>
      </c>
    </row>
    <row r="1137" spans="1:35" x14ac:dyDescent="0.2">
      <c r="A1137">
        <v>353</v>
      </c>
      <c r="B1137" t="s">
        <v>749</v>
      </c>
      <c r="C1137">
        <v>9</v>
      </c>
      <c r="D1137" t="s">
        <v>3185</v>
      </c>
      <c r="E1137" t="s">
        <v>18</v>
      </c>
      <c r="F1137" t="s">
        <v>18</v>
      </c>
      <c r="G1137" t="s">
        <v>19</v>
      </c>
      <c r="H1137" t="s">
        <v>19</v>
      </c>
      <c r="I1137">
        <v>5</v>
      </c>
      <c r="J1137">
        <v>6</v>
      </c>
      <c r="K1137" s="1">
        <v>1500</v>
      </c>
      <c r="L1137" t="s">
        <v>41</v>
      </c>
      <c r="M1137" t="s">
        <v>42</v>
      </c>
      <c r="N1137" t="s">
        <v>36</v>
      </c>
      <c r="O1137" t="s">
        <v>3186</v>
      </c>
      <c r="P1137" t="s">
        <v>3187</v>
      </c>
      <c r="Q1137">
        <f t="shared" si="306"/>
        <v>4</v>
      </c>
      <c r="R1137">
        <f t="shared" si="307"/>
        <v>4</v>
      </c>
      <c r="S1137">
        <f t="shared" si="308"/>
        <v>3</v>
      </c>
      <c r="T1137">
        <f t="shared" si="309"/>
        <v>3</v>
      </c>
      <c r="U1137">
        <v>1500</v>
      </c>
      <c r="V1137">
        <f t="shared" si="310"/>
        <v>0</v>
      </c>
      <c r="W1137">
        <f t="shared" si="311"/>
        <v>0</v>
      </c>
      <c r="X1137">
        <f t="shared" si="312"/>
        <v>0</v>
      </c>
      <c r="Y1137">
        <f t="shared" si="313"/>
        <v>0</v>
      </c>
      <c r="Z1137">
        <f t="shared" si="314"/>
        <v>1</v>
      </c>
      <c r="AA1137">
        <f t="shared" si="315"/>
        <v>0</v>
      </c>
      <c r="AB1137">
        <f t="shared" si="316"/>
        <v>1</v>
      </c>
      <c r="AC1137">
        <f t="shared" si="317"/>
        <v>0</v>
      </c>
      <c r="AD1137">
        <f t="shared" si="318"/>
        <v>0</v>
      </c>
      <c r="AE1137">
        <f t="shared" si="319"/>
        <v>0</v>
      </c>
      <c r="AF1137">
        <f t="shared" si="320"/>
        <v>0</v>
      </c>
      <c r="AG1137">
        <f t="shared" si="321"/>
        <v>0</v>
      </c>
      <c r="AH1137">
        <f t="shared" si="322"/>
        <v>0</v>
      </c>
      <c r="AI1137">
        <f t="shared" si="323"/>
        <v>1</v>
      </c>
    </row>
    <row r="1138" spans="1:35" x14ac:dyDescent="0.2">
      <c r="A1138">
        <v>354</v>
      </c>
      <c r="B1138" t="s">
        <v>749</v>
      </c>
      <c r="C1138">
        <v>6</v>
      </c>
      <c r="D1138" t="s">
        <v>3188</v>
      </c>
      <c r="E1138" t="s">
        <v>20</v>
      </c>
      <c r="F1138" t="s">
        <v>18</v>
      </c>
      <c r="G1138" t="s">
        <v>18</v>
      </c>
      <c r="H1138" t="s">
        <v>20</v>
      </c>
      <c r="I1138">
        <v>3</v>
      </c>
      <c r="J1138">
        <v>2</v>
      </c>
      <c r="K1138">
        <v>200</v>
      </c>
      <c r="L1138" t="s">
        <v>70</v>
      </c>
      <c r="M1138" t="s">
        <v>154</v>
      </c>
      <c r="N1138" t="s">
        <v>36</v>
      </c>
      <c r="O1138" t="s">
        <v>67</v>
      </c>
      <c r="P1138" t="s">
        <v>3189</v>
      </c>
      <c r="Q1138">
        <f t="shared" si="306"/>
        <v>2</v>
      </c>
      <c r="R1138">
        <f t="shared" si="307"/>
        <v>4</v>
      </c>
      <c r="S1138">
        <f t="shared" si="308"/>
        <v>4</v>
      </c>
      <c r="T1138">
        <f t="shared" si="309"/>
        <v>2</v>
      </c>
      <c r="U1138">
        <v>200</v>
      </c>
      <c r="V1138">
        <f t="shared" si="310"/>
        <v>0</v>
      </c>
      <c r="W1138">
        <f t="shared" si="311"/>
        <v>0</v>
      </c>
      <c r="X1138">
        <f t="shared" si="312"/>
        <v>0</v>
      </c>
      <c r="Y1138">
        <f t="shared" si="313"/>
        <v>1</v>
      </c>
      <c r="Z1138">
        <f t="shared" si="314"/>
        <v>0</v>
      </c>
      <c r="AA1138">
        <f t="shared" si="315"/>
        <v>1</v>
      </c>
      <c r="AB1138">
        <f t="shared" si="316"/>
        <v>0</v>
      </c>
      <c r="AC1138">
        <f t="shared" si="317"/>
        <v>1</v>
      </c>
      <c r="AD1138">
        <f t="shared" si="318"/>
        <v>0</v>
      </c>
      <c r="AE1138">
        <f t="shared" si="319"/>
        <v>0</v>
      </c>
      <c r="AF1138">
        <f t="shared" si="320"/>
        <v>0</v>
      </c>
      <c r="AG1138">
        <f t="shared" si="321"/>
        <v>0</v>
      </c>
      <c r="AH1138">
        <f t="shared" si="322"/>
        <v>0</v>
      </c>
      <c r="AI1138">
        <f t="shared" si="323"/>
        <v>1</v>
      </c>
    </row>
    <row r="1139" spans="1:35" x14ac:dyDescent="0.2">
      <c r="A1139">
        <v>355</v>
      </c>
      <c r="B1139" t="s">
        <v>749</v>
      </c>
      <c r="C1139">
        <v>10</v>
      </c>
      <c r="D1139" t="s">
        <v>3190</v>
      </c>
      <c r="E1139" t="s">
        <v>21</v>
      </c>
      <c r="F1139" t="s">
        <v>39</v>
      </c>
      <c r="G1139" t="s">
        <v>19</v>
      </c>
      <c r="H1139" t="s">
        <v>20</v>
      </c>
      <c r="I1139">
        <v>2</v>
      </c>
      <c r="J1139">
        <v>5</v>
      </c>
      <c r="K1139">
        <v>200</v>
      </c>
      <c r="L1139" t="s">
        <v>41</v>
      </c>
      <c r="M1139" t="s">
        <v>280</v>
      </c>
      <c r="N1139" t="s">
        <v>43</v>
      </c>
      <c r="O1139" t="s">
        <v>943</v>
      </c>
      <c r="P1139" t="s">
        <v>3191</v>
      </c>
      <c r="Q1139">
        <f t="shared" si="306"/>
        <v>1</v>
      </c>
      <c r="R1139">
        <f t="shared" si="307"/>
        <v>5</v>
      </c>
      <c r="S1139">
        <f t="shared" si="308"/>
        <v>3</v>
      </c>
      <c r="T1139">
        <f t="shared" si="309"/>
        <v>2</v>
      </c>
      <c r="U1139">
        <v>200</v>
      </c>
      <c r="V1139">
        <f t="shared" si="310"/>
        <v>0</v>
      </c>
      <c r="W1139">
        <f t="shared" si="311"/>
        <v>0</v>
      </c>
      <c r="X1139">
        <f t="shared" si="312"/>
        <v>0</v>
      </c>
      <c r="Y1139">
        <f t="shared" si="313"/>
        <v>0</v>
      </c>
      <c r="Z1139">
        <f t="shared" si="314"/>
        <v>1</v>
      </c>
      <c r="AA1139">
        <f t="shared" si="315"/>
        <v>0</v>
      </c>
      <c r="AB1139">
        <f t="shared" si="316"/>
        <v>1</v>
      </c>
      <c r="AC1139">
        <f t="shared" si="317"/>
        <v>1</v>
      </c>
      <c r="AD1139">
        <f t="shared" si="318"/>
        <v>1</v>
      </c>
      <c r="AE1139">
        <f t="shared" si="319"/>
        <v>0</v>
      </c>
      <c r="AF1139">
        <f t="shared" si="320"/>
        <v>1</v>
      </c>
      <c r="AG1139">
        <f t="shared" si="321"/>
        <v>1</v>
      </c>
      <c r="AH1139">
        <f t="shared" si="322"/>
        <v>0</v>
      </c>
      <c r="AI1139">
        <f t="shared" si="323"/>
        <v>0</v>
      </c>
    </row>
    <row r="1140" spans="1:35" x14ac:dyDescent="0.2">
      <c r="A1140">
        <v>356</v>
      </c>
      <c r="B1140" t="s">
        <v>749</v>
      </c>
      <c r="C1140">
        <v>8</v>
      </c>
      <c r="D1140" t="s">
        <v>452</v>
      </c>
      <c r="E1140" t="s">
        <v>20</v>
      </c>
      <c r="F1140" t="s">
        <v>18</v>
      </c>
      <c r="G1140" t="s">
        <v>21</v>
      </c>
      <c r="H1140" t="s">
        <v>18</v>
      </c>
      <c r="I1140">
        <v>2</v>
      </c>
      <c r="J1140">
        <v>2</v>
      </c>
      <c r="K1140">
        <v>2</v>
      </c>
      <c r="L1140" t="s">
        <v>41</v>
      </c>
      <c r="M1140" t="s">
        <v>135</v>
      </c>
      <c r="N1140" t="s">
        <v>36</v>
      </c>
      <c r="O1140" t="s">
        <v>2926</v>
      </c>
      <c r="P1140" t="s">
        <v>3192</v>
      </c>
      <c r="Q1140">
        <f t="shared" si="306"/>
        <v>2</v>
      </c>
      <c r="R1140">
        <f t="shared" si="307"/>
        <v>4</v>
      </c>
      <c r="S1140">
        <f t="shared" si="308"/>
        <v>1</v>
      </c>
      <c r="T1140">
        <f t="shared" si="309"/>
        <v>4</v>
      </c>
      <c r="U1140">
        <v>2</v>
      </c>
      <c r="V1140">
        <f t="shared" si="310"/>
        <v>0</v>
      </c>
      <c r="W1140">
        <f t="shared" si="311"/>
        <v>0</v>
      </c>
      <c r="X1140">
        <f t="shared" si="312"/>
        <v>0</v>
      </c>
      <c r="Y1140">
        <f t="shared" si="313"/>
        <v>0</v>
      </c>
      <c r="Z1140">
        <f t="shared" si="314"/>
        <v>1</v>
      </c>
      <c r="AA1140">
        <f t="shared" si="315"/>
        <v>1</v>
      </c>
      <c r="AB1140">
        <f t="shared" si="316"/>
        <v>1</v>
      </c>
      <c r="AC1140">
        <f t="shared" si="317"/>
        <v>0</v>
      </c>
      <c r="AD1140">
        <f t="shared" si="318"/>
        <v>0</v>
      </c>
      <c r="AE1140">
        <f t="shared" si="319"/>
        <v>0</v>
      </c>
      <c r="AF1140">
        <f t="shared" si="320"/>
        <v>0</v>
      </c>
      <c r="AG1140">
        <f t="shared" si="321"/>
        <v>0</v>
      </c>
      <c r="AH1140">
        <f t="shared" si="322"/>
        <v>0</v>
      </c>
      <c r="AI1140">
        <f t="shared" si="323"/>
        <v>1</v>
      </c>
    </row>
    <row r="1141" spans="1:35" x14ac:dyDescent="0.2">
      <c r="A1141">
        <v>357</v>
      </c>
      <c r="B1141" t="s">
        <v>749</v>
      </c>
      <c r="C1141">
        <v>7</v>
      </c>
      <c r="D1141" t="s">
        <v>3193</v>
      </c>
      <c r="E1141" t="s">
        <v>18</v>
      </c>
      <c r="F1141" t="s">
        <v>19</v>
      </c>
      <c r="G1141" t="s">
        <v>18</v>
      </c>
      <c r="H1141" t="s">
        <v>20</v>
      </c>
      <c r="I1141">
        <v>4</v>
      </c>
      <c r="J1141">
        <v>3</v>
      </c>
      <c r="K1141" t="s">
        <v>1923</v>
      </c>
      <c r="L1141" t="s">
        <v>1477</v>
      </c>
      <c r="M1141" t="s">
        <v>48</v>
      </c>
      <c r="N1141" t="s">
        <v>147</v>
      </c>
      <c r="O1141" t="s">
        <v>3194</v>
      </c>
      <c r="P1141" t="s">
        <v>3195</v>
      </c>
      <c r="Q1141">
        <f t="shared" si="306"/>
        <v>4</v>
      </c>
      <c r="R1141">
        <f t="shared" si="307"/>
        <v>3</v>
      </c>
      <c r="S1141">
        <f t="shared" si="308"/>
        <v>4</v>
      </c>
      <c r="T1141">
        <f t="shared" si="309"/>
        <v>2</v>
      </c>
      <c r="U1141">
        <v>50</v>
      </c>
      <c r="V1141">
        <f t="shared" si="310"/>
        <v>1</v>
      </c>
      <c r="W1141">
        <f t="shared" si="311"/>
        <v>0</v>
      </c>
      <c r="X1141">
        <f t="shared" si="312"/>
        <v>1</v>
      </c>
      <c r="Y1141">
        <f t="shared" si="313"/>
        <v>1</v>
      </c>
      <c r="Z1141">
        <f t="shared" si="314"/>
        <v>1</v>
      </c>
      <c r="AA1141">
        <f t="shared" si="315"/>
        <v>1</v>
      </c>
      <c r="AB1141">
        <f t="shared" si="316"/>
        <v>1</v>
      </c>
      <c r="AC1141">
        <f t="shared" si="317"/>
        <v>1</v>
      </c>
      <c r="AD1141">
        <f t="shared" si="318"/>
        <v>0</v>
      </c>
      <c r="AE1141">
        <f t="shared" si="319"/>
        <v>0</v>
      </c>
      <c r="AF1141">
        <f t="shared" si="320"/>
        <v>0</v>
      </c>
      <c r="AG1141">
        <f t="shared" si="321"/>
        <v>0</v>
      </c>
      <c r="AH1141">
        <f t="shared" si="322"/>
        <v>1</v>
      </c>
      <c r="AI1141">
        <f t="shared" si="323"/>
        <v>1</v>
      </c>
    </row>
    <row r="1142" spans="1:35" x14ac:dyDescent="0.2">
      <c r="A1142">
        <v>358</v>
      </c>
      <c r="B1142" t="s">
        <v>749</v>
      </c>
      <c r="C1142">
        <v>2</v>
      </c>
      <c r="D1142" t="s">
        <v>3196</v>
      </c>
      <c r="E1142" t="s">
        <v>20</v>
      </c>
      <c r="F1142" t="s">
        <v>19</v>
      </c>
      <c r="G1142" t="s">
        <v>18</v>
      </c>
      <c r="H1142" t="s">
        <v>20</v>
      </c>
      <c r="I1142">
        <v>3</v>
      </c>
      <c r="J1142">
        <v>2</v>
      </c>
      <c r="K1142" t="s">
        <v>3197</v>
      </c>
      <c r="L1142" t="s">
        <v>70</v>
      </c>
      <c r="M1142" t="s">
        <v>219</v>
      </c>
      <c r="N1142" t="s">
        <v>36</v>
      </c>
      <c r="O1142" t="s">
        <v>3085</v>
      </c>
      <c r="P1142" t="s">
        <v>3198</v>
      </c>
      <c r="Q1142">
        <f t="shared" si="306"/>
        <v>2</v>
      </c>
      <c r="R1142">
        <f t="shared" si="307"/>
        <v>3</v>
      </c>
      <c r="S1142">
        <f t="shared" si="308"/>
        <v>4</v>
      </c>
      <c r="T1142">
        <f t="shared" si="309"/>
        <v>2</v>
      </c>
      <c r="U1142">
        <v>80</v>
      </c>
      <c r="V1142">
        <f t="shared" si="310"/>
        <v>0</v>
      </c>
      <c r="W1142">
        <f t="shared" si="311"/>
        <v>0</v>
      </c>
      <c r="X1142">
        <f t="shared" si="312"/>
        <v>0</v>
      </c>
      <c r="Y1142">
        <f t="shared" si="313"/>
        <v>1</v>
      </c>
      <c r="Z1142">
        <f t="shared" si="314"/>
        <v>0</v>
      </c>
      <c r="AA1142">
        <f t="shared" si="315"/>
        <v>0</v>
      </c>
      <c r="AB1142">
        <f t="shared" si="316"/>
        <v>0</v>
      </c>
      <c r="AC1142">
        <f t="shared" si="317"/>
        <v>0</v>
      </c>
      <c r="AD1142">
        <f t="shared" si="318"/>
        <v>0</v>
      </c>
      <c r="AE1142">
        <f t="shared" si="319"/>
        <v>1</v>
      </c>
      <c r="AF1142">
        <f t="shared" si="320"/>
        <v>0</v>
      </c>
      <c r="AG1142">
        <f t="shared" si="321"/>
        <v>0</v>
      </c>
      <c r="AH1142">
        <f t="shared" si="322"/>
        <v>0</v>
      </c>
      <c r="AI1142">
        <f t="shared" si="323"/>
        <v>1</v>
      </c>
    </row>
    <row r="1143" spans="1:35" x14ac:dyDescent="0.2">
      <c r="A1143">
        <v>359</v>
      </c>
      <c r="B1143" t="s">
        <v>749</v>
      </c>
      <c r="C1143">
        <v>7</v>
      </c>
      <c r="D1143" t="s">
        <v>3199</v>
      </c>
      <c r="E1143" t="s">
        <v>19</v>
      </c>
      <c r="F1143" t="s">
        <v>18</v>
      </c>
      <c r="G1143" t="s">
        <v>39</v>
      </c>
      <c r="H1143" t="s">
        <v>21</v>
      </c>
      <c r="I1143">
        <v>3</v>
      </c>
      <c r="J1143">
        <v>3</v>
      </c>
      <c r="K1143">
        <v>20</v>
      </c>
      <c r="L1143" t="s">
        <v>79</v>
      </c>
      <c r="M1143" t="s">
        <v>135</v>
      </c>
      <c r="N1143" t="s">
        <v>215</v>
      </c>
      <c r="O1143" t="s">
        <v>817</v>
      </c>
      <c r="P1143" t="s">
        <v>3200</v>
      </c>
      <c r="Q1143">
        <f t="shared" si="306"/>
        <v>3</v>
      </c>
      <c r="R1143">
        <f t="shared" si="307"/>
        <v>4</v>
      </c>
      <c r="S1143">
        <f t="shared" si="308"/>
        <v>5</v>
      </c>
      <c r="T1143">
        <f t="shared" si="309"/>
        <v>1</v>
      </c>
      <c r="U1143">
        <v>20</v>
      </c>
      <c r="V1143">
        <f t="shared" si="310"/>
        <v>0</v>
      </c>
      <c r="W1143">
        <f t="shared" si="311"/>
        <v>1</v>
      </c>
      <c r="X1143">
        <f t="shared" si="312"/>
        <v>0</v>
      </c>
      <c r="Y1143">
        <f t="shared" si="313"/>
        <v>0</v>
      </c>
      <c r="Z1143">
        <f t="shared" si="314"/>
        <v>1</v>
      </c>
      <c r="AA1143">
        <f t="shared" si="315"/>
        <v>1</v>
      </c>
      <c r="AB1143">
        <f t="shared" si="316"/>
        <v>1</v>
      </c>
      <c r="AC1143">
        <f t="shared" si="317"/>
        <v>0</v>
      </c>
      <c r="AD1143">
        <f t="shared" si="318"/>
        <v>0</v>
      </c>
      <c r="AE1143">
        <f t="shared" si="319"/>
        <v>0</v>
      </c>
      <c r="AF1143">
        <f t="shared" si="320"/>
        <v>1</v>
      </c>
      <c r="AG1143">
        <f t="shared" si="321"/>
        <v>0</v>
      </c>
      <c r="AH1143">
        <f t="shared" si="322"/>
        <v>0</v>
      </c>
      <c r="AI1143">
        <f t="shared" si="323"/>
        <v>0</v>
      </c>
    </row>
    <row r="1144" spans="1:35" x14ac:dyDescent="0.2">
      <c r="A1144">
        <v>360</v>
      </c>
      <c r="B1144" t="s">
        <v>749</v>
      </c>
      <c r="C1144">
        <v>7</v>
      </c>
      <c r="D1144" t="s">
        <v>3201</v>
      </c>
      <c r="E1144" t="s">
        <v>20</v>
      </c>
      <c r="F1144" t="s">
        <v>39</v>
      </c>
      <c r="G1144" t="s">
        <v>39</v>
      </c>
      <c r="H1144" t="s">
        <v>21</v>
      </c>
      <c r="I1144">
        <v>3</v>
      </c>
      <c r="J1144">
        <v>3</v>
      </c>
      <c r="K1144">
        <v>500</v>
      </c>
      <c r="L1144" t="s">
        <v>41</v>
      </c>
      <c r="M1144" t="s">
        <v>123</v>
      </c>
      <c r="N1144" t="s">
        <v>36</v>
      </c>
      <c r="O1144" t="s">
        <v>792</v>
      </c>
      <c r="P1144" t="s">
        <v>3202</v>
      </c>
      <c r="Q1144">
        <f t="shared" si="306"/>
        <v>2</v>
      </c>
      <c r="R1144">
        <f t="shared" si="307"/>
        <v>5</v>
      </c>
      <c r="S1144">
        <f t="shared" si="308"/>
        <v>5</v>
      </c>
      <c r="T1144">
        <f t="shared" si="309"/>
        <v>1</v>
      </c>
      <c r="U1144">
        <v>500</v>
      </c>
      <c r="V1144">
        <f t="shared" si="310"/>
        <v>0</v>
      </c>
      <c r="W1144">
        <f t="shared" si="311"/>
        <v>0</v>
      </c>
      <c r="X1144">
        <f t="shared" si="312"/>
        <v>0</v>
      </c>
      <c r="Y1144">
        <f t="shared" si="313"/>
        <v>0</v>
      </c>
      <c r="Z1144">
        <f t="shared" si="314"/>
        <v>1</v>
      </c>
      <c r="AA1144">
        <f t="shared" si="315"/>
        <v>0</v>
      </c>
      <c r="AB1144">
        <f t="shared" si="316"/>
        <v>1</v>
      </c>
      <c r="AC1144">
        <f t="shared" si="317"/>
        <v>1</v>
      </c>
      <c r="AD1144">
        <f t="shared" si="318"/>
        <v>0</v>
      </c>
      <c r="AE1144">
        <f t="shared" si="319"/>
        <v>0</v>
      </c>
      <c r="AF1144">
        <f t="shared" si="320"/>
        <v>0</v>
      </c>
      <c r="AG1144">
        <f t="shared" si="321"/>
        <v>0</v>
      </c>
      <c r="AH1144">
        <f t="shared" si="322"/>
        <v>0</v>
      </c>
      <c r="AI1144">
        <f t="shared" si="323"/>
        <v>1</v>
      </c>
    </row>
    <row r="1145" spans="1:35" x14ac:dyDescent="0.2">
      <c r="A1145">
        <v>361</v>
      </c>
      <c r="B1145" t="s">
        <v>749</v>
      </c>
      <c r="C1145">
        <v>7</v>
      </c>
      <c r="D1145" t="s">
        <v>3203</v>
      </c>
      <c r="E1145" t="s">
        <v>18</v>
      </c>
      <c r="F1145" t="s">
        <v>20</v>
      </c>
      <c r="G1145" t="s">
        <v>20</v>
      </c>
      <c r="H1145" t="s">
        <v>19</v>
      </c>
      <c r="I1145">
        <v>5</v>
      </c>
      <c r="J1145">
        <v>4</v>
      </c>
      <c r="K1145">
        <v>30</v>
      </c>
      <c r="L1145" t="s">
        <v>435</v>
      </c>
      <c r="M1145" t="s">
        <v>123</v>
      </c>
      <c r="N1145" t="s">
        <v>36</v>
      </c>
      <c r="O1145" t="s">
        <v>590</v>
      </c>
      <c r="P1145" t="s">
        <v>3204</v>
      </c>
      <c r="Q1145">
        <f t="shared" si="306"/>
        <v>4</v>
      </c>
      <c r="R1145">
        <f t="shared" si="307"/>
        <v>2</v>
      </c>
      <c r="S1145">
        <f t="shared" si="308"/>
        <v>2</v>
      </c>
      <c r="T1145">
        <f t="shared" si="309"/>
        <v>3</v>
      </c>
      <c r="U1145">
        <v>30</v>
      </c>
      <c r="V1145">
        <f t="shared" si="310"/>
        <v>1</v>
      </c>
      <c r="W1145">
        <f t="shared" si="311"/>
        <v>0</v>
      </c>
      <c r="X1145">
        <f t="shared" si="312"/>
        <v>0</v>
      </c>
      <c r="Y1145">
        <f t="shared" si="313"/>
        <v>0</v>
      </c>
      <c r="Z1145">
        <f t="shared" si="314"/>
        <v>1</v>
      </c>
      <c r="AA1145">
        <f t="shared" si="315"/>
        <v>0</v>
      </c>
      <c r="AB1145">
        <f t="shared" si="316"/>
        <v>1</v>
      </c>
      <c r="AC1145">
        <f t="shared" si="317"/>
        <v>1</v>
      </c>
      <c r="AD1145">
        <f t="shared" si="318"/>
        <v>0</v>
      </c>
      <c r="AE1145">
        <f t="shared" si="319"/>
        <v>0</v>
      </c>
      <c r="AF1145">
        <f t="shared" si="320"/>
        <v>0</v>
      </c>
      <c r="AG1145">
        <f t="shared" si="321"/>
        <v>0</v>
      </c>
      <c r="AH1145">
        <f t="shared" si="322"/>
        <v>0</v>
      </c>
      <c r="AI1145">
        <f t="shared" si="323"/>
        <v>1</v>
      </c>
    </row>
    <row r="1146" spans="1:35" x14ac:dyDescent="0.2">
      <c r="A1146">
        <v>362</v>
      </c>
      <c r="B1146" t="s">
        <v>749</v>
      </c>
      <c r="C1146">
        <v>5</v>
      </c>
      <c r="D1146" t="s">
        <v>3205</v>
      </c>
      <c r="E1146" t="s">
        <v>19</v>
      </c>
      <c r="F1146" t="s">
        <v>18</v>
      </c>
      <c r="G1146" t="s">
        <v>19</v>
      </c>
      <c r="H1146" t="s">
        <v>39</v>
      </c>
      <c r="I1146">
        <v>3</v>
      </c>
      <c r="J1146">
        <v>2</v>
      </c>
      <c r="K1146">
        <v>400</v>
      </c>
      <c r="L1146" t="s">
        <v>70</v>
      </c>
      <c r="M1146" t="s">
        <v>48</v>
      </c>
      <c r="N1146" t="s">
        <v>847</v>
      </c>
      <c r="O1146" t="s">
        <v>3206</v>
      </c>
      <c r="P1146" t="s">
        <v>3207</v>
      </c>
      <c r="Q1146">
        <f t="shared" si="306"/>
        <v>3</v>
      </c>
      <c r="R1146">
        <f t="shared" si="307"/>
        <v>4</v>
      </c>
      <c r="S1146">
        <f t="shared" si="308"/>
        <v>3</v>
      </c>
      <c r="T1146">
        <f t="shared" si="309"/>
        <v>5</v>
      </c>
      <c r="U1146">
        <v>400</v>
      </c>
      <c r="V1146">
        <f t="shared" si="310"/>
        <v>0</v>
      </c>
      <c r="W1146">
        <f t="shared" si="311"/>
        <v>0</v>
      </c>
      <c r="X1146">
        <f t="shared" si="312"/>
        <v>0</v>
      </c>
      <c r="Y1146">
        <f t="shared" si="313"/>
        <v>1</v>
      </c>
      <c r="Z1146">
        <f t="shared" si="314"/>
        <v>0</v>
      </c>
      <c r="AA1146">
        <f t="shared" si="315"/>
        <v>1</v>
      </c>
      <c r="AB1146">
        <f t="shared" si="316"/>
        <v>1</v>
      </c>
      <c r="AC1146">
        <f t="shared" si="317"/>
        <v>1</v>
      </c>
      <c r="AD1146">
        <f t="shared" si="318"/>
        <v>0</v>
      </c>
      <c r="AE1146">
        <f t="shared" si="319"/>
        <v>0</v>
      </c>
      <c r="AF1146">
        <f t="shared" si="320"/>
        <v>1</v>
      </c>
      <c r="AG1146">
        <f t="shared" si="321"/>
        <v>0</v>
      </c>
      <c r="AH1146">
        <f t="shared" si="322"/>
        <v>0</v>
      </c>
      <c r="AI1146">
        <f t="shared" si="323"/>
        <v>1</v>
      </c>
    </row>
    <row r="1147" spans="1:35" x14ac:dyDescent="0.2">
      <c r="A1147">
        <v>363</v>
      </c>
      <c r="B1147" t="s">
        <v>749</v>
      </c>
      <c r="C1147">
        <v>8</v>
      </c>
      <c r="D1147" t="s">
        <v>3208</v>
      </c>
      <c r="E1147" t="s">
        <v>19</v>
      </c>
      <c r="F1147" t="s">
        <v>18</v>
      </c>
      <c r="G1147" t="s">
        <v>18</v>
      </c>
      <c r="H1147" t="s">
        <v>20</v>
      </c>
      <c r="I1147">
        <v>5</v>
      </c>
      <c r="J1147">
        <v>3</v>
      </c>
      <c r="K1147">
        <v>1000</v>
      </c>
      <c r="L1147" t="s">
        <v>41</v>
      </c>
      <c r="M1147" t="s">
        <v>23</v>
      </c>
      <c r="N1147" t="s">
        <v>215</v>
      </c>
      <c r="O1147" t="s">
        <v>3209</v>
      </c>
      <c r="P1147" t="s">
        <v>3210</v>
      </c>
      <c r="Q1147">
        <f t="shared" si="306"/>
        <v>3</v>
      </c>
      <c r="R1147">
        <f t="shared" si="307"/>
        <v>4</v>
      </c>
      <c r="S1147">
        <f t="shared" si="308"/>
        <v>4</v>
      </c>
      <c r="T1147">
        <f t="shared" si="309"/>
        <v>2</v>
      </c>
      <c r="U1147">
        <v>1000</v>
      </c>
      <c r="V1147">
        <f t="shared" si="310"/>
        <v>0</v>
      </c>
      <c r="W1147">
        <f t="shared" si="311"/>
        <v>0</v>
      </c>
      <c r="X1147">
        <f t="shared" si="312"/>
        <v>0</v>
      </c>
      <c r="Y1147">
        <f t="shared" si="313"/>
        <v>0</v>
      </c>
      <c r="Z1147">
        <f t="shared" si="314"/>
        <v>1</v>
      </c>
      <c r="AA1147">
        <f t="shared" si="315"/>
        <v>1</v>
      </c>
      <c r="AB1147">
        <f t="shared" si="316"/>
        <v>0</v>
      </c>
      <c r="AC1147">
        <f t="shared" si="317"/>
        <v>0</v>
      </c>
      <c r="AD1147">
        <f t="shared" si="318"/>
        <v>0</v>
      </c>
      <c r="AE1147">
        <f t="shared" si="319"/>
        <v>0</v>
      </c>
      <c r="AF1147">
        <f t="shared" si="320"/>
        <v>1</v>
      </c>
      <c r="AG1147">
        <f t="shared" si="321"/>
        <v>0</v>
      </c>
      <c r="AH1147">
        <f t="shared" si="322"/>
        <v>0</v>
      </c>
      <c r="AI1147">
        <f t="shared" si="323"/>
        <v>0</v>
      </c>
    </row>
    <row r="1148" spans="1:35" x14ac:dyDescent="0.2">
      <c r="A1148">
        <v>364</v>
      </c>
      <c r="B1148" t="s">
        <v>749</v>
      </c>
      <c r="C1148">
        <v>8</v>
      </c>
      <c r="D1148" t="s">
        <v>3211</v>
      </c>
      <c r="E1148" t="s">
        <v>18</v>
      </c>
      <c r="F1148" t="s">
        <v>18</v>
      </c>
      <c r="G1148" t="s">
        <v>18</v>
      </c>
      <c r="H1148" t="s">
        <v>20</v>
      </c>
      <c r="I1148">
        <v>2</v>
      </c>
      <c r="J1148">
        <v>2</v>
      </c>
      <c r="K1148" s="1">
        <v>600</v>
      </c>
      <c r="L1148" t="s">
        <v>70</v>
      </c>
      <c r="M1148" t="s">
        <v>154</v>
      </c>
      <c r="N1148" t="s">
        <v>84</v>
      </c>
      <c r="O1148" t="s">
        <v>3212</v>
      </c>
      <c r="P1148" t="s">
        <v>3213</v>
      </c>
      <c r="Q1148">
        <f t="shared" si="306"/>
        <v>4</v>
      </c>
      <c r="R1148">
        <f t="shared" si="307"/>
        <v>4</v>
      </c>
      <c r="S1148">
        <f t="shared" si="308"/>
        <v>4</v>
      </c>
      <c r="T1148">
        <f t="shared" si="309"/>
        <v>2</v>
      </c>
      <c r="U1148">
        <v>600</v>
      </c>
      <c r="V1148">
        <f t="shared" si="310"/>
        <v>0</v>
      </c>
      <c r="W1148">
        <f t="shared" si="311"/>
        <v>0</v>
      </c>
      <c r="X1148">
        <f t="shared" si="312"/>
        <v>0</v>
      </c>
      <c r="Y1148">
        <f t="shared" si="313"/>
        <v>1</v>
      </c>
      <c r="Z1148">
        <f t="shared" si="314"/>
        <v>0</v>
      </c>
      <c r="AA1148">
        <f t="shared" si="315"/>
        <v>1</v>
      </c>
      <c r="AB1148">
        <f t="shared" si="316"/>
        <v>0</v>
      </c>
      <c r="AC1148">
        <f t="shared" si="317"/>
        <v>1</v>
      </c>
      <c r="AD1148">
        <f t="shared" si="318"/>
        <v>0</v>
      </c>
      <c r="AE1148">
        <f t="shared" si="319"/>
        <v>0</v>
      </c>
      <c r="AF1148">
        <f t="shared" si="320"/>
        <v>0</v>
      </c>
      <c r="AG1148">
        <f t="shared" si="321"/>
        <v>1</v>
      </c>
      <c r="AH1148">
        <f t="shared" si="322"/>
        <v>0</v>
      </c>
      <c r="AI1148">
        <f t="shared" si="323"/>
        <v>0</v>
      </c>
    </row>
    <row r="1149" spans="1:35" ht="85" x14ac:dyDescent="0.2">
      <c r="A1149">
        <v>365</v>
      </c>
      <c r="B1149" t="s">
        <v>749</v>
      </c>
      <c r="C1149">
        <v>7</v>
      </c>
      <c r="D1149" s="3" t="s">
        <v>3214</v>
      </c>
      <c r="E1149" t="s">
        <v>18</v>
      </c>
      <c r="F1149" t="s">
        <v>19</v>
      </c>
      <c r="G1149" t="s">
        <v>18</v>
      </c>
      <c r="H1149" t="s">
        <v>18</v>
      </c>
      <c r="I1149">
        <v>5</v>
      </c>
      <c r="J1149">
        <v>5</v>
      </c>
      <c r="K1149">
        <v>500</v>
      </c>
      <c r="L1149" t="s">
        <v>194</v>
      </c>
      <c r="M1149" t="s">
        <v>23</v>
      </c>
      <c r="N1149" t="s">
        <v>84</v>
      </c>
      <c r="O1149" t="s">
        <v>2475</v>
      </c>
      <c r="P1149" t="s">
        <v>3215</v>
      </c>
      <c r="Q1149">
        <f t="shared" si="306"/>
        <v>4</v>
      </c>
      <c r="R1149">
        <f t="shared" si="307"/>
        <v>3</v>
      </c>
      <c r="S1149">
        <f t="shared" si="308"/>
        <v>4</v>
      </c>
      <c r="T1149">
        <f t="shared" si="309"/>
        <v>4</v>
      </c>
      <c r="U1149">
        <v>500</v>
      </c>
      <c r="V1149">
        <f t="shared" si="310"/>
        <v>0</v>
      </c>
      <c r="W1149">
        <f t="shared" si="311"/>
        <v>0</v>
      </c>
      <c r="X1149">
        <f t="shared" si="312"/>
        <v>0</v>
      </c>
      <c r="Y1149">
        <f t="shared" si="313"/>
        <v>1</v>
      </c>
      <c r="Z1149">
        <f t="shared" si="314"/>
        <v>1</v>
      </c>
      <c r="AA1149">
        <f t="shared" si="315"/>
        <v>1</v>
      </c>
      <c r="AB1149">
        <f t="shared" si="316"/>
        <v>0</v>
      </c>
      <c r="AC1149">
        <f t="shared" si="317"/>
        <v>0</v>
      </c>
      <c r="AD1149">
        <f t="shared" si="318"/>
        <v>0</v>
      </c>
      <c r="AE1149">
        <f t="shared" si="319"/>
        <v>0</v>
      </c>
      <c r="AF1149">
        <f t="shared" si="320"/>
        <v>0</v>
      </c>
      <c r="AG1149">
        <f t="shared" si="321"/>
        <v>1</v>
      </c>
      <c r="AH1149">
        <f t="shared" si="322"/>
        <v>0</v>
      </c>
      <c r="AI1149">
        <f t="shared" si="323"/>
        <v>0</v>
      </c>
    </row>
    <row r="1150" spans="1:35" x14ac:dyDescent="0.2">
      <c r="A1150">
        <v>366</v>
      </c>
      <c r="B1150" t="s">
        <v>749</v>
      </c>
      <c r="C1150">
        <v>10</v>
      </c>
      <c r="D1150" t="s">
        <v>3216</v>
      </c>
      <c r="E1150" t="s">
        <v>18</v>
      </c>
      <c r="F1150" t="s">
        <v>20</v>
      </c>
      <c r="G1150" t="s">
        <v>39</v>
      </c>
      <c r="H1150" t="s">
        <v>20</v>
      </c>
      <c r="I1150">
        <v>2</v>
      </c>
      <c r="J1150">
        <v>3</v>
      </c>
      <c r="K1150">
        <v>20</v>
      </c>
      <c r="L1150" t="s">
        <v>79</v>
      </c>
      <c r="M1150" t="s">
        <v>468</v>
      </c>
      <c r="N1150" t="s">
        <v>622</v>
      </c>
      <c r="O1150" t="s">
        <v>378</v>
      </c>
      <c r="P1150" t="s">
        <v>3217</v>
      </c>
      <c r="Q1150">
        <f t="shared" si="306"/>
        <v>4</v>
      </c>
      <c r="R1150">
        <f t="shared" si="307"/>
        <v>2</v>
      </c>
      <c r="S1150">
        <f t="shared" si="308"/>
        <v>5</v>
      </c>
      <c r="T1150">
        <f t="shared" si="309"/>
        <v>2</v>
      </c>
      <c r="U1150">
        <v>20</v>
      </c>
      <c r="V1150">
        <f t="shared" si="310"/>
        <v>0</v>
      </c>
      <c r="W1150">
        <f t="shared" si="311"/>
        <v>1</v>
      </c>
      <c r="X1150">
        <f t="shared" si="312"/>
        <v>0</v>
      </c>
      <c r="Y1150">
        <f t="shared" si="313"/>
        <v>0</v>
      </c>
      <c r="Z1150">
        <f t="shared" si="314"/>
        <v>1</v>
      </c>
      <c r="AA1150">
        <f t="shared" si="315"/>
        <v>1</v>
      </c>
      <c r="AB1150">
        <f t="shared" si="316"/>
        <v>1</v>
      </c>
      <c r="AC1150">
        <f t="shared" si="317"/>
        <v>1</v>
      </c>
      <c r="AD1150">
        <f t="shared" si="318"/>
        <v>1</v>
      </c>
      <c r="AE1150">
        <f t="shared" si="319"/>
        <v>1</v>
      </c>
      <c r="AF1150">
        <f t="shared" si="320"/>
        <v>0</v>
      </c>
      <c r="AG1150">
        <f t="shared" si="321"/>
        <v>1</v>
      </c>
      <c r="AH1150">
        <f t="shared" si="322"/>
        <v>0</v>
      </c>
      <c r="AI1150">
        <f t="shared" si="323"/>
        <v>1</v>
      </c>
    </row>
    <row r="1151" spans="1:35" x14ac:dyDescent="0.2">
      <c r="A1151">
        <v>367</v>
      </c>
      <c r="B1151" t="s">
        <v>749</v>
      </c>
      <c r="C1151">
        <v>1</v>
      </c>
      <c r="D1151" t="s">
        <v>3218</v>
      </c>
      <c r="E1151" t="s">
        <v>20</v>
      </c>
      <c r="F1151" t="s">
        <v>18</v>
      </c>
      <c r="G1151" t="s">
        <v>39</v>
      </c>
      <c r="H1151" t="s">
        <v>21</v>
      </c>
      <c r="I1151">
        <v>3</v>
      </c>
      <c r="J1151">
        <v>4</v>
      </c>
      <c r="K1151">
        <v>1000000</v>
      </c>
      <c r="L1151" t="s">
        <v>494</v>
      </c>
      <c r="M1151" t="s">
        <v>161</v>
      </c>
      <c r="N1151" t="s">
        <v>36</v>
      </c>
      <c r="O1151" t="s">
        <v>3219</v>
      </c>
      <c r="P1151" t="s">
        <v>3220</v>
      </c>
      <c r="Q1151">
        <f t="shared" si="306"/>
        <v>2</v>
      </c>
      <c r="R1151">
        <f t="shared" si="307"/>
        <v>4</v>
      </c>
      <c r="S1151">
        <f t="shared" si="308"/>
        <v>5</v>
      </c>
      <c r="T1151">
        <f t="shared" si="309"/>
        <v>1</v>
      </c>
      <c r="U1151">
        <v>1000000</v>
      </c>
      <c r="V1151">
        <f t="shared" si="310"/>
        <v>0</v>
      </c>
      <c r="W1151">
        <f t="shared" si="311"/>
        <v>1</v>
      </c>
      <c r="X1151">
        <f t="shared" si="312"/>
        <v>1</v>
      </c>
      <c r="Y1151">
        <f t="shared" si="313"/>
        <v>1</v>
      </c>
      <c r="Z1151">
        <f t="shared" si="314"/>
        <v>1</v>
      </c>
      <c r="AA1151">
        <f t="shared" si="315"/>
        <v>1</v>
      </c>
      <c r="AB1151">
        <f t="shared" si="316"/>
        <v>1</v>
      </c>
      <c r="AC1151">
        <f t="shared" si="317"/>
        <v>1</v>
      </c>
      <c r="AD1151">
        <f t="shared" si="318"/>
        <v>1</v>
      </c>
      <c r="AE1151">
        <f t="shared" si="319"/>
        <v>0</v>
      </c>
      <c r="AF1151">
        <f t="shared" si="320"/>
        <v>0</v>
      </c>
      <c r="AG1151">
        <f t="shared" si="321"/>
        <v>0</v>
      </c>
      <c r="AH1151">
        <f t="shared" si="322"/>
        <v>0</v>
      </c>
      <c r="AI1151">
        <f t="shared" si="323"/>
        <v>1</v>
      </c>
    </row>
    <row r="1152" spans="1:35" x14ac:dyDescent="0.2">
      <c r="A1152">
        <v>368</v>
      </c>
      <c r="B1152" t="s">
        <v>749</v>
      </c>
      <c r="C1152">
        <v>7</v>
      </c>
      <c r="D1152" t="s">
        <v>3221</v>
      </c>
      <c r="E1152" t="s">
        <v>21</v>
      </c>
      <c r="F1152" t="s">
        <v>18</v>
      </c>
      <c r="G1152" t="s">
        <v>39</v>
      </c>
      <c r="H1152" t="s">
        <v>21</v>
      </c>
      <c r="I1152">
        <v>2</v>
      </c>
      <c r="J1152">
        <v>1</v>
      </c>
      <c r="K1152" s="1">
        <v>400</v>
      </c>
      <c r="L1152" t="s">
        <v>714</v>
      </c>
      <c r="M1152" t="s">
        <v>436</v>
      </c>
      <c r="N1152" t="s">
        <v>84</v>
      </c>
      <c r="O1152" t="s">
        <v>1146</v>
      </c>
      <c r="P1152" t="s">
        <v>3222</v>
      </c>
      <c r="Q1152">
        <f t="shared" si="306"/>
        <v>1</v>
      </c>
      <c r="R1152">
        <f t="shared" si="307"/>
        <v>4</v>
      </c>
      <c r="S1152">
        <f t="shared" si="308"/>
        <v>5</v>
      </c>
      <c r="T1152">
        <f t="shared" si="309"/>
        <v>1</v>
      </c>
      <c r="U1152">
        <v>400</v>
      </c>
      <c r="V1152">
        <f t="shared" si="310"/>
        <v>0</v>
      </c>
      <c r="W1152">
        <f t="shared" si="311"/>
        <v>0</v>
      </c>
      <c r="X1152">
        <f t="shared" si="312"/>
        <v>1</v>
      </c>
      <c r="Y1152">
        <f t="shared" si="313"/>
        <v>1</v>
      </c>
      <c r="Z1152">
        <f t="shared" si="314"/>
        <v>1</v>
      </c>
      <c r="AA1152">
        <f t="shared" si="315"/>
        <v>1</v>
      </c>
      <c r="AB1152">
        <f t="shared" si="316"/>
        <v>0</v>
      </c>
      <c r="AC1152">
        <f t="shared" si="317"/>
        <v>0</v>
      </c>
      <c r="AD1152">
        <f t="shared" si="318"/>
        <v>1</v>
      </c>
      <c r="AE1152">
        <f t="shared" si="319"/>
        <v>1</v>
      </c>
      <c r="AF1152">
        <f t="shared" si="320"/>
        <v>0</v>
      </c>
      <c r="AG1152">
        <f t="shared" si="321"/>
        <v>1</v>
      </c>
      <c r="AH1152">
        <f t="shared" si="322"/>
        <v>0</v>
      </c>
      <c r="AI1152">
        <f t="shared" si="323"/>
        <v>0</v>
      </c>
    </row>
    <row r="1153" spans="1:35" x14ac:dyDescent="0.2">
      <c r="A1153">
        <v>369</v>
      </c>
      <c r="B1153" t="s">
        <v>749</v>
      </c>
      <c r="C1153">
        <v>3</v>
      </c>
      <c r="D1153" t="s">
        <v>3223</v>
      </c>
      <c r="E1153" t="s">
        <v>39</v>
      </c>
      <c r="F1153" t="s">
        <v>18</v>
      </c>
      <c r="G1153" t="s">
        <v>39</v>
      </c>
      <c r="H1153" t="s">
        <v>21</v>
      </c>
      <c r="I1153">
        <v>3</v>
      </c>
      <c r="J1153">
        <v>2</v>
      </c>
      <c r="K1153" s="1">
        <v>50</v>
      </c>
      <c r="L1153" t="s">
        <v>443</v>
      </c>
      <c r="M1153" t="s">
        <v>161</v>
      </c>
      <c r="N1153" t="s">
        <v>36</v>
      </c>
      <c r="O1153" t="s">
        <v>590</v>
      </c>
      <c r="P1153" t="s">
        <v>3224</v>
      </c>
      <c r="Q1153">
        <f t="shared" si="306"/>
        <v>5</v>
      </c>
      <c r="R1153">
        <f t="shared" si="307"/>
        <v>4</v>
      </c>
      <c r="S1153">
        <f t="shared" si="308"/>
        <v>5</v>
      </c>
      <c r="T1153">
        <f t="shared" si="309"/>
        <v>1</v>
      </c>
      <c r="U1153">
        <v>50</v>
      </c>
      <c r="V1153">
        <f t="shared" si="310"/>
        <v>1</v>
      </c>
      <c r="W1153">
        <f t="shared" si="311"/>
        <v>0</v>
      </c>
      <c r="X1153">
        <f t="shared" si="312"/>
        <v>0</v>
      </c>
      <c r="Y1153">
        <f t="shared" si="313"/>
        <v>1</v>
      </c>
      <c r="Z1153">
        <f t="shared" si="314"/>
        <v>1</v>
      </c>
      <c r="AA1153">
        <f t="shared" si="315"/>
        <v>1</v>
      </c>
      <c r="AB1153">
        <f t="shared" si="316"/>
        <v>1</v>
      </c>
      <c r="AC1153">
        <f t="shared" si="317"/>
        <v>1</v>
      </c>
      <c r="AD1153">
        <f t="shared" si="318"/>
        <v>1</v>
      </c>
      <c r="AE1153">
        <f t="shared" si="319"/>
        <v>0</v>
      </c>
      <c r="AF1153">
        <f t="shared" si="320"/>
        <v>0</v>
      </c>
      <c r="AG1153">
        <f t="shared" si="321"/>
        <v>0</v>
      </c>
      <c r="AH1153">
        <f t="shared" si="322"/>
        <v>0</v>
      </c>
      <c r="AI1153">
        <f t="shared" si="323"/>
        <v>1</v>
      </c>
    </row>
    <row r="1154" spans="1:35" x14ac:dyDescent="0.2">
      <c r="A1154">
        <v>370</v>
      </c>
      <c r="B1154" t="s">
        <v>749</v>
      </c>
      <c r="C1154">
        <v>2</v>
      </c>
      <c r="D1154" t="s">
        <v>1431</v>
      </c>
      <c r="E1154" t="s">
        <v>20</v>
      </c>
      <c r="F1154" t="s">
        <v>19</v>
      </c>
      <c r="G1154" t="s">
        <v>18</v>
      </c>
      <c r="H1154" t="s">
        <v>21</v>
      </c>
      <c r="I1154">
        <v>4</v>
      </c>
      <c r="J1154">
        <v>4</v>
      </c>
      <c r="K1154">
        <v>50</v>
      </c>
      <c r="L1154" t="s">
        <v>946</v>
      </c>
      <c r="M1154" t="s">
        <v>123</v>
      </c>
      <c r="N1154" t="s">
        <v>43</v>
      </c>
      <c r="O1154" t="s">
        <v>1146</v>
      </c>
      <c r="P1154" t="s">
        <v>3225</v>
      </c>
      <c r="Q1154">
        <f t="shared" si="306"/>
        <v>2</v>
      </c>
      <c r="R1154">
        <f t="shared" si="307"/>
        <v>3</v>
      </c>
      <c r="S1154">
        <f t="shared" si="308"/>
        <v>4</v>
      </c>
      <c r="T1154">
        <f t="shared" si="309"/>
        <v>1</v>
      </c>
      <c r="U1154">
        <v>50</v>
      </c>
      <c r="V1154">
        <f t="shared" si="310"/>
        <v>0</v>
      </c>
      <c r="W1154">
        <f t="shared" si="311"/>
        <v>1</v>
      </c>
      <c r="X1154">
        <f t="shared" si="312"/>
        <v>1</v>
      </c>
      <c r="Y1154">
        <f t="shared" si="313"/>
        <v>1</v>
      </c>
      <c r="Z1154">
        <f t="shared" si="314"/>
        <v>0</v>
      </c>
      <c r="AA1154">
        <f t="shared" si="315"/>
        <v>0</v>
      </c>
      <c r="AB1154">
        <f t="shared" si="316"/>
        <v>1</v>
      </c>
      <c r="AC1154">
        <f t="shared" si="317"/>
        <v>1</v>
      </c>
      <c r="AD1154">
        <f t="shared" si="318"/>
        <v>0</v>
      </c>
      <c r="AE1154">
        <f t="shared" si="319"/>
        <v>0</v>
      </c>
      <c r="AF1154">
        <f t="shared" si="320"/>
        <v>1</v>
      </c>
      <c r="AG1154">
        <f t="shared" si="321"/>
        <v>1</v>
      </c>
      <c r="AH1154">
        <f t="shared" si="322"/>
        <v>0</v>
      </c>
      <c r="AI1154">
        <f t="shared" si="323"/>
        <v>0</v>
      </c>
    </row>
    <row r="1155" spans="1:35" x14ac:dyDescent="0.2">
      <c r="A1155">
        <v>371</v>
      </c>
      <c r="B1155" t="s">
        <v>749</v>
      </c>
      <c r="C1155">
        <v>8</v>
      </c>
      <c r="D1155" t="s">
        <v>3226</v>
      </c>
      <c r="E1155" t="s">
        <v>19</v>
      </c>
      <c r="F1155" t="s">
        <v>18</v>
      </c>
      <c r="G1155" t="s">
        <v>18</v>
      </c>
      <c r="H1155" t="s">
        <v>19</v>
      </c>
      <c r="I1155">
        <v>4</v>
      </c>
      <c r="J1155">
        <v>5</v>
      </c>
      <c r="K1155">
        <v>1000</v>
      </c>
      <c r="L1155" t="s">
        <v>494</v>
      </c>
      <c r="M1155" t="s">
        <v>781</v>
      </c>
      <c r="N1155" t="s">
        <v>84</v>
      </c>
      <c r="O1155" t="s">
        <v>590</v>
      </c>
      <c r="P1155" t="s">
        <v>3227</v>
      </c>
      <c r="Q1155">
        <f t="shared" ref="Q1155:Q1218" si="324">IF(E1155="", "", LEFT(E1155, 1) * 1)</f>
        <v>3</v>
      </c>
      <c r="R1155">
        <f t="shared" ref="R1155:R1218" si="325">IF(F1155="","",VALUE(LEFT(F1155,FIND(" ",F1155)-1)))</f>
        <v>4</v>
      </c>
      <c r="S1155">
        <f t="shared" ref="S1155:S1218" si="326">IF(G1155="","",VALUE(LEFT(G1155,FIND(" ",G1155)-1)))</f>
        <v>4</v>
      </c>
      <c r="T1155">
        <f t="shared" ref="T1155:T1218" si="327">IF(H1155="","",VALUE(LEFT(H1155,FIND(" ",H1155)-1)))</f>
        <v>3</v>
      </c>
      <c r="U1155">
        <v>1000</v>
      </c>
      <c r="V1155">
        <f t="shared" ref="V1155:V1218" si="328">IF(L1155="",0,IF(ISNUMBER(SEARCH("Bathroom",L1155)),1,0))</f>
        <v>0</v>
      </c>
      <c r="W1155">
        <f t="shared" ref="W1155:W1218" si="329">IF(L1155="",0,IF(ISNUMBER(SEARCH("Dining room",L1155)),1,0))</f>
        <v>1</v>
      </c>
      <c r="X1155">
        <f t="shared" ref="X1155:X1218" si="330">IF(L1155="",0,IF(ISNUMBER(SEARCH("Office",L1155)),1,0))</f>
        <v>1</v>
      </c>
      <c r="Y1155">
        <f t="shared" ref="Y1155:Y1218" si="331">IF(L1155="",0,IF(ISNUMBER(SEARCH("Bedroom",L1155)),1,0))</f>
        <v>1</v>
      </c>
      <c r="Z1155">
        <f t="shared" ref="Z1155:Z1218" si="332">IF(L1155="",0,IF(ISNUMBER(SEARCH("Living room",L1155)),1,0))</f>
        <v>1</v>
      </c>
      <c r="AA1155">
        <f t="shared" ref="AA1155:AA1218" si="333">IF(M1155="",0, IF(ISNUMBER(SEARCH("By yourself",M1155)), 1, 0))</f>
        <v>0</v>
      </c>
      <c r="AB1155">
        <f t="shared" ref="AB1155:AB1218" si="334">IF(M1155="", 0, IF(ISNUMBER(SEARCH("Friends", M1155)), 1, 0))</f>
        <v>1</v>
      </c>
      <c r="AC1155">
        <f t="shared" ref="AC1155:AC1218" si="335">IF(M1155="",0,IF(ISNUMBER(SEARCH("Family members", M1155)), 1, 0))</f>
        <v>1</v>
      </c>
      <c r="AD1155">
        <f t="shared" ref="AD1155:AD1218" si="336">IF(M1155="", 0, IF(ISNUMBER(SEARCH("Coworkers/Classmates", M1155)), 1, 0))</f>
        <v>1</v>
      </c>
      <c r="AE1155">
        <f t="shared" ref="AE1155:AE1218" si="337">IF(M1155="", 0, IF(ISNUMBER(SEARCH("Strangers", M1155)), 1, 0))</f>
        <v>1</v>
      </c>
      <c r="AF1155">
        <f t="shared" ref="AF1155:AF1218" si="338">IF(N1155="", 0, IF(ISNUMBER(SEARCH("Spring", N1155)), 1, 0))</f>
        <v>0</v>
      </c>
      <c r="AG1155">
        <f t="shared" ref="AG1155:AG1218" si="339">IF(N1155="", 0, IF(ISNUMBER(SEARCH("Summer", N1155)), 1, 0))</f>
        <v>1</v>
      </c>
      <c r="AH1155">
        <f t="shared" ref="AH1155:AH1218" si="340">IF(N1155="", 0, IF(ISNUMBER(SEARCH("Fall", N1155)), 1, 0))</f>
        <v>0</v>
      </c>
      <c r="AI1155">
        <f t="shared" ref="AI1155:AI1218" si="341">IF(N1155="", 0, IF(ISNUMBER(SEARCH("Winter", N1155)), 1, 0))</f>
        <v>0</v>
      </c>
    </row>
    <row r="1156" spans="1:35" x14ac:dyDescent="0.2">
      <c r="A1156">
        <v>372</v>
      </c>
      <c r="B1156" t="s">
        <v>749</v>
      </c>
      <c r="C1156">
        <v>6</v>
      </c>
      <c r="D1156" t="s">
        <v>1130</v>
      </c>
      <c r="E1156" t="s">
        <v>19</v>
      </c>
      <c r="F1156" t="s">
        <v>19</v>
      </c>
      <c r="G1156" t="s">
        <v>18</v>
      </c>
      <c r="H1156" t="s">
        <v>19</v>
      </c>
      <c r="I1156">
        <v>4</v>
      </c>
      <c r="J1156">
        <v>3</v>
      </c>
      <c r="K1156">
        <v>10</v>
      </c>
      <c r="L1156" t="s">
        <v>562</v>
      </c>
      <c r="M1156" t="s">
        <v>35</v>
      </c>
      <c r="N1156" t="s">
        <v>215</v>
      </c>
      <c r="O1156" t="s">
        <v>3228</v>
      </c>
      <c r="P1156" t="s">
        <v>3229</v>
      </c>
      <c r="Q1156">
        <f t="shared" si="324"/>
        <v>3</v>
      </c>
      <c r="R1156">
        <f t="shared" si="325"/>
        <v>3</v>
      </c>
      <c r="S1156">
        <f t="shared" si="326"/>
        <v>4</v>
      </c>
      <c r="T1156">
        <f t="shared" si="327"/>
        <v>3</v>
      </c>
      <c r="U1156">
        <v>10</v>
      </c>
      <c r="V1156">
        <f t="shared" si="328"/>
        <v>0</v>
      </c>
      <c r="W1156">
        <f t="shared" si="329"/>
        <v>1</v>
      </c>
      <c r="X1156">
        <f t="shared" si="330"/>
        <v>1</v>
      </c>
      <c r="Y1156">
        <f t="shared" si="331"/>
        <v>0</v>
      </c>
      <c r="Z1156">
        <f t="shared" si="332"/>
        <v>1</v>
      </c>
      <c r="AA1156">
        <f t="shared" si="333"/>
        <v>0</v>
      </c>
      <c r="AB1156">
        <f t="shared" si="334"/>
        <v>0</v>
      </c>
      <c r="AC1156">
        <f t="shared" si="335"/>
        <v>0</v>
      </c>
      <c r="AD1156">
        <f t="shared" si="336"/>
        <v>1</v>
      </c>
      <c r="AE1156">
        <f t="shared" si="337"/>
        <v>0</v>
      </c>
      <c r="AF1156">
        <f t="shared" si="338"/>
        <v>1</v>
      </c>
      <c r="AG1156">
        <f t="shared" si="339"/>
        <v>0</v>
      </c>
      <c r="AH1156">
        <f t="shared" si="340"/>
        <v>0</v>
      </c>
      <c r="AI1156">
        <f t="shared" si="341"/>
        <v>0</v>
      </c>
    </row>
    <row r="1157" spans="1:35" x14ac:dyDescent="0.2">
      <c r="A1157">
        <v>373</v>
      </c>
      <c r="B1157" t="s">
        <v>749</v>
      </c>
      <c r="C1157">
        <v>8</v>
      </c>
      <c r="D1157" t="s">
        <v>3230</v>
      </c>
      <c r="E1157" t="s">
        <v>18</v>
      </c>
      <c r="F1157" t="s">
        <v>19</v>
      </c>
      <c r="G1157" t="s">
        <v>18</v>
      </c>
      <c r="H1157" t="s">
        <v>20</v>
      </c>
      <c r="I1157">
        <v>6</v>
      </c>
      <c r="J1157">
        <v>3</v>
      </c>
      <c r="K1157">
        <v>40</v>
      </c>
      <c r="L1157" t="s">
        <v>98</v>
      </c>
      <c r="M1157" t="s">
        <v>23</v>
      </c>
      <c r="N1157" t="s">
        <v>36</v>
      </c>
      <c r="O1157" t="s">
        <v>593</v>
      </c>
      <c r="P1157" t="s">
        <v>3231</v>
      </c>
      <c r="Q1157">
        <f t="shared" si="324"/>
        <v>4</v>
      </c>
      <c r="R1157">
        <f t="shared" si="325"/>
        <v>3</v>
      </c>
      <c r="S1157">
        <f t="shared" si="326"/>
        <v>4</v>
      </c>
      <c r="T1157">
        <f t="shared" si="327"/>
        <v>2</v>
      </c>
      <c r="U1157">
        <v>40</v>
      </c>
      <c r="V1157">
        <f t="shared" si="328"/>
        <v>0</v>
      </c>
      <c r="W1157">
        <f t="shared" si="329"/>
        <v>1</v>
      </c>
      <c r="X1157">
        <f t="shared" si="330"/>
        <v>0</v>
      </c>
      <c r="Y1157">
        <f t="shared" si="331"/>
        <v>0</v>
      </c>
      <c r="Z1157">
        <f t="shared" si="332"/>
        <v>0</v>
      </c>
      <c r="AA1157">
        <f t="shared" si="333"/>
        <v>1</v>
      </c>
      <c r="AB1157">
        <f t="shared" si="334"/>
        <v>0</v>
      </c>
      <c r="AC1157">
        <f t="shared" si="335"/>
        <v>0</v>
      </c>
      <c r="AD1157">
        <f t="shared" si="336"/>
        <v>0</v>
      </c>
      <c r="AE1157">
        <f t="shared" si="337"/>
        <v>0</v>
      </c>
      <c r="AF1157">
        <f t="shared" si="338"/>
        <v>0</v>
      </c>
      <c r="AG1157">
        <f t="shared" si="339"/>
        <v>0</v>
      </c>
      <c r="AH1157">
        <f t="shared" si="340"/>
        <v>0</v>
      </c>
      <c r="AI1157">
        <f t="shared" si="341"/>
        <v>1</v>
      </c>
    </row>
    <row r="1158" spans="1:35" x14ac:dyDescent="0.2">
      <c r="A1158">
        <v>374</v>
      </c>
      <c r="B1158" t="s">
        <v>749</v>
      </c>
      <c r="C1158">
        <v>5</v>
      </c>
      <c r="D1158" t="s">
        <v>3232</v>
      </c>
      <c r="E1158" t="s">
        <v>20</v>
      </c>
      <c r="F1158" t="s">
        <v>18</v>
      </c>
      <c r="G1158" t="s">
        <v>18</v>
      </c>
      <c r="H1158" t="s">
        <v>20</v>
      </c>
      <c r="I1158">
        <v>2</v>
      </c>
      <c r="J1158">
        <v>2</v>
      </c>
      <c r="K1158" s="1">
        <v>50</v>
      </c>
      <c r="L1158" t="s">
        <v>41</v>
      </c>
      <c r="M1158" t="s">
        <v>23</v>
      </c>
      <c r="N1158" t="s">
        <v>36</v>
      </c>
      <c r="O1158" t="s">
        <v>3051</v>
      </c>
      <c r="P1158" t="s">
        <v>3233</v>
      </c>
      <c r="Q1158">
        <f t="shared" si="324"/>
        <v>2</v>
      </c>
      <c r="R1158">
        <f t="shared" si="325"/>
        <v>4</v>
      </c>
      <c r="S1158">
        <f t="shared" si="326"/>
        <v>4</v>
      </c>
      <c r="T1158">
        <f t="shared" si="327"/>
        <v>2</v>
      </c>
      <c r="U1158">
        <v>50</v>
      </c>
      <c r="V1158">
        <f t="shared" si="328"/>
        <v>0</v>
      </c>
      <c r="W1158">
        <f t="shared" si="329"/>
        <v>0</v>
      </c>
      <c r="X1158">
        <f t="shared" si="330"/>
        <v>0</v>
      </c>
      <c r="Y1158">
        <f t="shared" si="331"/>
        <v>0</v>
      </c>
      <c r="Z1158">
        <f t="shared" si="332"/>
        <v>1</v>
      </c>
      <c r="AA1158">
        <f t="shared" si="333"/>
        <v>1</v>
      </c>
      <c r="AB1158">
        <f t="shared" si="334"/>
        <v>0</v>
      </c>
      <c r="AC1158">
        <f t="shared" si="335"/>
        <v>0</v>
      </c>
      <c r="AD1158">
        <f t="shared" si="336"/>
        <v>0</v>
      </c>
      <c r="AE1158">
        <f t="shared" si="337"/>
        <v>0</v>
      </c>
      <c r="AF1158">
        <f t="shared" si="338"/>
        <v>0</v>
      </c>
      <c r="AG1158">
        <f t="shared" si="339"/>
        <v>0</v>
      </c>
      <c r="AH1158">
        <f t="shared" si="340"/>
        <v>0</v>
      </c>
      <c r="AI1158">
        <f t="shared" si="341"/>
        <v>1</v>
      </c>
    </row>
    <row r="1159" spans="1:35" x14ac:dyDescent="0.2">
      <c r="A1159">
        <v>375</v>
      </c>
      <c r="B1159" t="s">
        <v>749</v>
      </c>
      <c r="C1159">
        <v>7</v>
      </c>
      <c r="D1159" t="s">
        <v>3234</v>
      </c>
      <c r="E1159" t="s">
        <v>20</v>
      </c>
      <c r="F1159" t="s">
        <v>19</v>
      </c>
      <c r="G1159" t="s">
        <v>18</v>
      </c>
      <c r="H1159" t="s">
        <v>19</v>
      </c>
      <c r="I1159">
        <v>4</v>
      </c>
      <c r="J1159">
        <v>2</v>
      </c>
      <c r="K1159" s="1">
        <v>150</v>
      </c>
      <c r="L1159" t="s">
        <v>714</v>
      </c>
      <c r="M1159" t="s">
        <v>280</v>
      </c>
      <c r="N1159" t="s">
        <v>36</v>
      </c>
      <c r="O1159" t="s">
        <v>3051</v>
      </c>
      <c r="P1159" t="s">
        <v>3235</v>
      </c>
      <c r="Q1159">
        <f t="shared" si="324"/>
        <v>2</v>
      </c>
      <c r="R1159">
        <f t="shared" si="325"/>
        <v>3</v>
      </c>
      <c r="S1159">
        <f t="shared" si="326"/>
        <v>4</v>
      </c>
      <c r="T1159">
        <f t="shared" si="327"/>
        <v>3</v>
      </c>
      <c r="U1159">
        <v>150</v>
      </c>
      <c r="V1159">
        <f t="shared" si="328"/>
        <v>0</v>
      </c>
      <c r="W1159">
        <f t="shared" si="329"/>
        <v>0</v>
      </c>
      <c r="X1159">
        <f t="shared" si="330"/>
        <v>1</v>
      </c>
      <c r="Y1159">
        <f t="shared" si="331"/>
        <v>1</v>
      </c>
      <c r="Z1159">
        <f t="shared" si="332"/>
        <v>1</v>
      </c>
      <c r="AA1159">
        <f t="shared" si="333"/>
        <v>0</v>
      </c>
      <c r="AB1159">
        <f t="shared" si="334"/>
        <v>1</v>
      </c>
      <c r="AC1159">
        <f t="shared" si="335"/>
        <v>1</v>
      </c>
      <c r="AD1159">
        <f t="shared" si="336"/>
        <v>1</v>
      </c>
      <c r="AE1159">
        <f t="shared" si="337"/>
        <v>0</v>
      </c>
      <c r="AF1159">
        <f t="shared" si="338"/>
        <v>0</v>
      </c>
      <c r="AG1159">
        <f t="shared" si="339"/>
        <v>0</v>
      </c>
      <c r="AH1159">
        <f t="shared" si="340"/>
        <v>0</v>
      </c>
      <c r="AI1159">
        <f t="shared" si="341"/>
        <v>1</v>
      </c>
    </row>
    <row r="1160" spans="1:35" ht="51" x14ac:dyDescent="0.2">
      <c r="A1160">
        <v>376</v>
      </c>
      <c r="B1160" t="s">
        <v>749</v>
      </c>
      <c r="C1160">
        <v>7</v>
      </c>
      <c r="D1160" s="3" t="s">
        <v>3236</v>
      </c>
      <c r="E1160" t="s">
        <v>19</v>
      </c>
      <c r="F1160" t="s">
        <v>18</v>
      </c>
      <c r="G1160" t="s">
        <v>39</v>
      </c>
      <c r="H1160" t="s">
        <v>19</v>
      </c>
      <c r="I1160">
        <v>43</v>
      </c>
      <c r="J1160">
        <v>43</v>
      </c>
      <c r="K1160" s="1">
        <v>150</v>
      </c>
      <c r="L1160" t="s">
        <v>22</v>
      </c>
      <c r="M1160" t="s">
        <v>35</v>
      </c>
      <c r="N1160" t="s">
        <v>24</v>
      </c>
      <c r="O1160" t="s">
        <v>3237</v>
      </c>
      <c r="P1160" t="s">
        <v>3238</v>
      </c>
      <c r="Q1160">
        <f t="shared" si="324"/>
        <v>3</v>
      </c>
      <c r="R1160">
        <f t="shared" si="325"/>
        <v>4</v>
      </c>
      <c r="S1160">
        <f t="shared" si="326"/>
        <v>5</v>
      </c>
      <c r="T1160">
        <f t="shared" si="327"/>
        <v>3</v>
      </c>
      <c r="U1160">
        <v>150</v>
      </c>
      <c r="V1160">
        <f t="shared" si="328"/>
        <v>1</v>
      </c>
      <c r="W1160">
        <f t="shared" si="329"/>
        <v>0</v>
      </c>
      <c r="X1160">
        <f t="shared" si="330"/>
        <v>0</v>
      </c>
      <c r="Y1160">
        <f t="shared" si="331"/>
        <v>0</v>
      </c>
      <c r="Z1160">
        <f t="shared" si="332"/>
        <v>0</v>
      </c>
      <c r="AA1160">
        <f t="shared" si="333"/>
        <v>0</v>
      </c>
      <c r="AB1160">
        <f t="shared" si="334"/>
        <v>0</v>
      </c>
      <c r="AC1160">
        <f t="shared" si="335"/>
        <v>0</v>
      </c>
      <c r="AD1160">
        <f t="shared" si="336"/>
        <v>1</v>
      </c>
      <c r="AE1160">
        <f t="shared" si="337"/>
        <v>0</v>
      </c>
      <c r="AF1160">
        <f t="shared" si="338"/>
        <v>0</v>
      </c>
      <c r="AG1160">
        <f t="shared" si="339"/>
        <v>0</v>
      </c>
      <c r="AH1160">
        <f t="shared" si="340"/>
        <v>1</v>
      </c>
      <c r="AI1160">
        <f t="shared" si="341"/>
        <v>0</v>
      </c>
    </row>
    <row r="1161" spans="1:35" x14ac:dyDescent="0.2">
      <c r="A1161">
        <v>377</v>
      </c>
      <c r="B1161" t="s">
        <v>749</v>
      </c>
      <c r="C1161">
        <v>9</v>
      </c>
      <c r="D1161" t="s">
        <v>3239</v>
      </c>
      <c r="E1161" t="s">
        <v>20</v>
      </c>
      <c r="F1161" t="s">
        <v>18</v>
      </c>
      <c r="G1161" t="s">
        <v>39</v>
      </c>
      <c r="H1161" t="s">
        <v>20</v>
      </c>
      <c r="I1161">
        <v>3</v>
      </c>
      <c r="J1161">
        <v>1</v>
      </c>
      <c r="K1161" s="1">
        <v>100</v>
      </c>
      <c r="L1161" t="s">
        <v>98</v>
      </c>
      <c r="M1161" t="s">
        <v>468</v>
      </c>
      <c r="N1161" t="s">
        <v>147</v>
      </c>
      <c r="O1161" t="s">
        <v>3240</v>
      </c>
      <c r="P1161" t="s">
        <v>3241</v>
      </c>
      <c r="Q1161">
        <f t="shared" si="324"/>
        <v>2</v>
      </c>
      <c r="R1161">
        <f t="shared" si="325"/>
        <v>4</v>
      </c>
      <c r="S1161">
        <f t="shared" si="326"/>
        <v>5</v>
      </c>
      <c r="T1161">
        <f t="shared" si="327"/>
        <v>2</v>
      </c>
      <c r="U1161">
        <v>100</v>
      </c>
      <c r="V1161">
        <f t="shared" si="328"/>
        <v>0</v>
      </c>
      <c r="W1161">
        <f t="shared" si="329"/>
        <v>1</v>
      </c>
      <c r="X1161">
        <f t="shared" si="330"/>
        <v>0</v>
      </c>
      <c r="Y1161">
        <f t="shared" si="331"/>
        <v>0</v>
      </c>
      <c r="Z1161">
        <f t="shared" si="332"/>
        <v>0</v>
      </c>
      <c r="AA1161">
        <f t="shared" si="333"/>
        <v>1</v>
      </c>
      <c r="AB1161">
        <f t="shared" si="334"/>
        <v>1</v>
      </c>
      <c r="AC1161">
        <f t="shared" si="335"/>
        <v>1</v>
      </c>
      <c r="AD1161">
        <f t="shared" si="336"/>
        <v>1</v>
      </c>
      <c r="AE1161">
        <f t="shared" si="337"/>
        <v>1</v>
      </c>
      <c r="AF1161">
        <f t="shared" si="338"/>
        <v>0</v>
      </c>
      <c r="AG1161">
        <f t="shared" si="339"/>
        <v>0</v>
      </c>
      <c r="AH1161">
        <f t="shared" si="340"/>
        <v>1</v>
      </c>
      <c r="AI1161">
        <f t="shared" si="341"/>
        <v>1</v>
      </c>
    </row>
    <row r="1162" spans="1:35" x14ac:dyDescent="0.2">
      <c r="A1162">
        <v>378</v>
      </c>
      <c r="B1162" t="s">
        <v>749</v>
      </c>
      <c r="C1162">
        <v>8</v>
      </c>
      <c r="D1162" t="s">
        <v>3242</v>
      </c>
      <c r="E1162" t="s">
        <v>20</v>
      </c>
      <c r="F1162" t="s">
        <v>18</v>
      </c>
      <c r="G1162" t="s">
        <v>19</v>
      </c>
      <c r="H1162" t="s">
        <v>21</v>
      </c>
      <c r="I1162">
        <v>3</v>
      </c>
      <c r="J1162">
        <v>4</v>
      </c>
      <c r="K1162" t="s">
        <v>3243</v>
      </c>
      <c r="L1162" t="s">
        <v>194</v>
      </c>
      <c r="M1162" t="s">
        <v>99</v>
      </c>
      <c r="N1162" t="s">
        <v>36</v>
      </c>
      <c r="O1162" t="s">
        <v>3244</v>
      </c>
      <c r="P1162" t="s">
        <v>3245</v>
      </c>
      <c r="Q1162">
        <f t="shared" si="324"/>
        <v>2</v>
      </c>
      <c r="R1162">
        <f t="shared" si="325"/>
        <v>4</v>
      </c>
      <c r="S1162">
        <f t="shared" si="326"/>
        <v>3</v>
      </c>
      <c r="T1162">
        <f t="shared" si="327"/>
        <v>1</v>
      </c>
      <c r="U1162">
        <v>2000</v>
      </c>
      <c r="V1162">
        <f t="shared" si="328"/>
        <v>0</v>
      </c>
      <c r="W1162">
        <f t="shared" si="329"/>
        <v>0</v>
      </c>
      <c r="X1162">
        <f t="shared" si="330"/>
        <v>0</v>
      </c>
      <c r="Y1162">
        <f t="shared" si="331"/>
        <v>1</v>
      </c>
      <c r="Z1162">
        <f t="shared" si="332"/>
        <v>1</v>
      </c>
      <c r="AA1162">
        <f t="shared" si="333"/>
        <v>1</v>
      </c>
      <c r="AB1162">
        <f t="shared" si="334"/>
        <v>0</v>
      </c>
      <c r="AC1162">
        <f t="shared" si="335"/>
        <v>0</v>
      </c>
      <c r="AD1162">
        <f t="shared" si="336"/>
        <v>0</v>
      </c>
      <c r="AE1162">
        <f t="shared" si="337"/>
        <v>1</v>
      </c>
      <c r="AF1162">
        <f t="shared" si="338"/>
        <v>0</v>
      </c>
      <c r="AG1162">
        <f t="shared" si="339"/>
        <v>0</v>
      </c>
      <c r="AH1162">
        <f t="shared" si="340"/>
        <v>0</v>
      </c>
      <c r="AI1162">
        <f t="shared" si="341"/>
        <v>1</v>
      </c>
    </row>
    <row r="1163" spans="1:35" x14ac:dyDescent="0.2">
      <c r="A1163">
        <v>379</v>
      </c>
      <c r="B1163" t="s">
        <v>749</v>
      </c>
      <c r="C1163">
        <v>6</v>
      </c>
      <c r="D1163" t="s">
        <v>3246</v>
      </c>
      <c r="E1163" t="s">
        <v>20</v>
      </c>
      <c r="F1163" t="s">
        <v>18</v>
      </c>
      <c r="G1163" t="s">
        <v>19</v>
      </c>
      <c r="H1163" t="s">
        <v>20</v>
      </c>
      <c r="I1163">
        <v>10</v>
      </c>
      <c r="J1163">
        <v>7</v>
      </c>
      <c r="K1163" s="1">
        <v>70</v>
      </c>
      <c r="L1163" t="s">
        <v>41</v>
      </c>
      <c r="M1163" t="s">
        <v>468</v>
      </c>
      <c r="N1163" t="s">
        <v>84</v>
      </c>
      <c r="O1163" t="s">
        <v>3247</v>
      </c>
      <c r="P1163" t="s">
        <v>3248</v>
      </c>
      <c r="Q1163">
        <f t="shared" si="324"/>
        <v>2</v>
      </c>
      <c r="R1163">
        <f t="shared" si="325"/>
        <v>4</v>
      </c>
      <c r="S1163">
        <f t="shared" si="326"/>
        <v>3</v>
      </c>
      <c r="T1163">
        <f t="shared" si="327"/>
        <v>2</v>
      </c>
      <c r="U1163">
        <v>70</v>
      </c>
      <c r="V1163">
        <f t="shared" si="328"/>
        <v>0</v>
      </c>
      <c r="W1163">
        <f t="shared" si="329"/>
        <v>0</v>
      </c>
      <c r="X1163">
        <f t="shared" si="330"/>
        <v>0</v>
      </c>
      <c r="Y1163">
        <f t="shared" si="331"/>
        <v>0</v>
      </c>
      <c r="Z1163">
        <f t="shared" si="332"/>
        <v>1</v>
      </c>
      <c r="AA1163">
        <f t="shared" si="333"/>
        <v>1</v>
      </c>
      <c r="AB1163">
        <f t="shared" si="334"/>
        <v>1</v>
      </c>
      <c r="AC1163">
        <f t="shared" si="335"/>
        <v>1</v>
      </c>
      <c r="AD1163">
        <f t="shared" si="336"/>
        <v>1</v>
      </c>
      <c r="AE1163">
        <f t="shared" si="337"/>
        <v>1</v>
      </c>
      <c r="AF1163">
        <f t="shared" si="338"/>
        <v>0</v>
      </c>
      <c r="AG1163">
        <f t="shared" si="339"/>
        <v>1</v>
      </c>
      <c r="AH1163">
        <f t="shared" si="340"/>
        <v>0</v>
      </c>
      <c r="AI1163">
        <f t="shared" si="341"/>
        <v>0</v>
      </c>
    </row>
    <row r="1164" spans="1:35" x14ac:dyDescent="0.2">
      <c r="A1164">
        <v>380</v>
      </c>
      <c r="B1164" t="s">
        <v>749</v>
      </c>
      <c r="C1164">
        <v>7</v>
      </c>
      <c r="D1164" t="s">
        <v>3249</v>
      </c>
      <c r="E1164" t="s">
        <v>20</v>
      </c>
      <c r="F1164" t="s">
        <v>20</v>
      </c>
      <c r="G1164" t="s">
        <v>18</v>
      </c>
      <c r="H1164" t="s">
        <v>18</v>
      </c>
      <c r="I1164">
        <v>4</v>
      </c>
      <c r="J1164">
        <v>3</v>
      </c>
      <c r="K1164" t="s">
        <v>3250</v>
      </c>
      <c r="L1164" t="s">
        <v>70</v>
      </c>
      <c r="M1164" t="s">
        <v>123</v>
      </c>
      <c r="N1164" t="s">
        <v>36</v>
      </c>
      <c r="O1164" t="s">
        <v>3251</v>
      </c>
      <c r="P1164" t="s">
        <v>3252</v>
      </c>
      <c r="Q1164">
        <f t="shared" si="324"/>
        <v>2</v>
      </c>
      <c r="R1164">
        <f t="shared" si="325"/>
        <v>2</v>
      </c>
      <c r="S1164">
        <f t="shared" si="326"/>
        <v>4</v>
      </c>
      <c r="T1164">
        <f t="shared" si="327"/>
        <v>4</v>
      </c>
      <c r="U1164">
        <v>5000000</v>
      </c>
      <c r="V1164">
        <f t="shared" si="328"/>
        <v>0</v>
      </c>
      <c r="W1164">
        <f t="shared" si="329"/>
        <v>0</v>
      </c>
      <c r="X1164">
        <f t="shared" si="330"/>
        <v>0</v>
      </c>
      <c r="Y1164">
        <f t="shared" si="331"/>
        <v>1</v>
      </c>
      <c r="Z1164">
        <f t="shared" si="332"/>
        <v>0</v>
      </c>
      <c r="AA1164">
        <f t="shared" si="333"/>
        <v>0</v>
      </c>
      <c r="AB1164">
        <f t="shared" si="334"/>
        <v>1</v>
      </c>
      <c r="AC1164">
        <f t="shared" si="335"/>
        <v>1</v>
      </c>
      <c r="AD1164">
        <f t="shared" si="336"/>
        <v>0</v>
      </c>
      <c r="AE1164">
        <f t="shared" si="337"/>
        <v>0</v>
      </c>
      <c r="AF1164">
        <f t="shared" si="338"/>
        <v>0</v>
      </c>
      <c r="AG1164">
        <f t="shared" si="339"/>
        <v>0</v>
      </c>
      <c r="AH1164">
        <f t="shared" si="340"/>
        <v>0</v>
      </c>
      <c r="AI1164">
        <f t="shared" si="341"/>
        <v>1</v>
      </c>
    </row>
    <row r="1165" spans="1:35" x14ac:dyDescent="0.2">
      <c r="A1165">
        <v>381</v>
      </c>
      <c r="B1165" t="s">
        <v>749</v>
      </c>
      <c r="C1165">
        <v>5</v>
      </c>
      <c r="D1165" t="s">
        <v>3253</v>
      </c>
      <c r="E1165" t="s">
        <v>21</v>
      </c>
      <c r="F1165" t="s">
        <v>19</v>
      </c>
      <c r="G1165" t="s">
        <v>39</v>
      </c>
      <c r="H1165" t="s">
        <v>20</v>
      </c>
      <c r="I1165">
        <v>4</v>
      </c>
      <c r="J1165">
        <v>5</v>
      </c>
      <c r="K1165">
        <v>150</v>
      </c>
      <c r="L1165" t="s">
        <v>1609</v>
      </c>
      <c r="M1165" t="s">
        <v>280</v>
      </c>
      <c r="N1165" t="s">
        <v>36</v>
      </c>
      <c r="O1165" t="s">
        <v>3254</v>
      </c>
      <c r="P1165" t="s">
        <v>3255</v>
      </c>
      <c r="Q1165">
        <f t="shared" si="324"/>
        <v>1</v>
      </c>
      <c r="R1165">
        <f t="shared" si="325"/>
        <v>3</v>
      </c>
      <c r="S1165">
        <f t="shared" si="326"/>
        <v>5</v>
      </c>
      <c r="T1165">
        <f t="shared" si="327"/>
        <v>2</v>
      </c>
      <c r="U1165">
        <v>150</v>
      </c>
      <c r="V1165">
        <f t="shared" si="328"/>
        <v>1</v>
      </c>
      <c r="W1165">
        <f t="shared" si="329"/>
        <v>1</v>
      </c>
      <c r="X1165">
        <f t="shared" si="330"/>
        <v>0</v>
      </c>
      <c r="Y1165">
        <f t="shared" si="331"/>
        <v>1</v>
      </c>
      <c r="Z1165">
        <f t="shared" si="332"/>
        <v>0</v>
      </c>
      <c r="AA1165">
        <f t="shared" si="333"/>
        <v>0</v>
      </c>
      <c r="AB1165">
        <f t="shared" si="334"/>
        <v>1</v>
      </c>
      <c r="AC1165">
        <f t="shared" si="335"/>
        <v>1</v>
      </c>
      <c r="AD1165">
        <f t="shared" si="336"/>
        <v>1</v>
      </c>
      <c r="AE1165">
        <f t="shared" si="337"/>
        <v>0</v>
      </c>
      <c r="AF1165">
        <f t="shared" si="338"/>
        <v>0</v>
      </c>
      <c r="AG1165">
        <f t="shared" si="339"/>
        <v>0</v>
      </c>
      <c r="AH1165">
        <f t="shared" si="340"/>
        <v>0</v>
      </c>
      <c r="AI1165">
        <f t="shared" si="341"/>
        <v>1</v>
      </c>
    </row>
    <row r="1166" spans="1:35" x14ac:dyDescent="0.2">
      <c r="A1166">
        <v>382</v>
      </c>
      <c r="B1166" t="s">
        <v>749</v>
      </c>
      <c r="C1166">
        <v>7</v>
      </c>
      <c r="D1166" t="s">
        <v>3256</v>
      </c>
      <c r="E1166" t="s">
        <v>18</v>
      </c>
      <c r="F1166" t="s">
        <v>20</v>
      </c>
      <c r="G1166" t="s">
        <v>18</v>
      </c>
      <c r="H1166" t="s">
        <v>39</v>
      </c>
      <c r="I1166">
        <v>3</v>
      </c>
      <c r="J1166">
        <v>4</v>
      </c>
      <c r="K1166">
        <v>400</v>
      </c>
      <c r="L1166" t="s">
        <v>435</v>
      </c>
      <c r="M1166" t="s">
        <v>436</v>
      </c>
      <c r="N1166" t="s">
        <v>36</v>
      </c>
      <c r="O1166" t="s">
        <v>3257</v>
      </c>
      <c r="P1166" t="s">
        <v>3258</v>
      </c>
      <c r="Q1166">
        <f t="shared" si="324"/>
        <v>4</v>
      </c>
      <c r="R1166">
        <f t="shared" si="325"/>
        <v>2</v>
      </c>
      <c r="S1166">
        <f t="shared" si="326"/>
        <v>4</v>
      </c>
      <c r="T1166">
        <f t="shared" si="327"/>
        <v>5</v>
      </c>
      <c r="U1166">
        <v>400</v>
      </c>
      <c r="V1166">
        <f t="shared" si="328"/>
        <v>1</v>
      </c>
      <c r="W1166">
        <f t="shared" si="329"/>
        <v>0</v>
      </c>
      <c r="X1166">
        <f t="shared" si="330"/>
        <v>0</v>
      </c>
      <c r="Y1166">
        <f t="shared" si="331"/>
        <v>0</v>
      </c>
      <c r="Z1166">
        <f t="shared" si="332"/>
        <v>1</v>
      </c>
      <c r="AA1166">
        <f t="shared" si="333"/>
        <v>1</v>
      </c>
      <c r="AB1166">
        <f t="shared" si="334"/>
        <v>0</v>
      </c>
      <c r="AC1166">
        <f t="shared" si="335"/>
        <v>0</v>
      </c>
      <c r="AD1166">
        <f t="shared" si="336"/>
        <v>1</v>
      </c>
      <c r="AE1166">
        <f t="shared" si="337"/>
        <v>1</v>
      </c>
      <c r="AF1166">
        <f t="shared" si="338"/>
        <v>0</v>
      </c>
      <c r="AG1166">
        <f t="shared" si="339"/>
        <v>0</v>
      </c>
      <c r="AH1166">
        <f t="shared" si="340"/>
        <v>0</v>
      </c>
      <c r="AI1166">
        <f t="shared" si="341"/>
        <v>1</v>
      </c>
    </row>
    <row r="1167" spans="1:35" x14ac:dyDescent="0.2">
      <c r="A1167">
        <v>383</v>
      </c>
      <c r="B1167" t="s">
        <v>749</v>
      </c>
      <c r="C1167">
        <v>5</v>
      </c>
      <c r="D1167" t="s">
        <v>3259</v>
      </c>
      <c r="E1167" t="s">
        <v>20</v>
      </c>
      <c r="F1167" t="s">
        <v>18</v>
      </c>
      <c r="G1167" t="s">
        <v>18</v>
      </c>
      <c r="H1167" t="s">
        <v>20</v>
      </c>
      <c r="I1167">
        <v>3</v>
      </c>
      <c r="J1167">
        <v>2</v>
      </c>
      <c r="K1167">
        <v>20</v>
      </c>
      <c r="L1167" t="s">
        <v>41</v>
      </c>
      <c r="M1167" t="s">
        <v>23</v>
      </c>
      <c r="N1167" t="s">
        <v>24</v>
      </c>
      <c r="O1167" t="s">
        <v>3260</v>
      </c>
      <c r="Q1167">
        <f t="shared" si="324"/>
        <v>2</v>
      </c>
      <c r="R1167">
        <f t="shared" si="325"/>
        <v>4</v>
      </c>
      <c r="S1167">
        <f t="shared" si="326"/>
        <v>4</v>
      </c>
      <c r="T1167">
        <f t="shared" si="327"/>
        <v>2</v>
      </c>
      <c r="U1167">
        <v>20</v>
      </c>
      <c r="V1167">
        <f t="shared" si="328"/>
        <v>0</v>
      </c>
      <c r="W1167">
        <f t="shared" si="329"/>
        <v>0</v>
      </c>
      <c r="X1167">
        <f t="shared" si="330"/>
        <v>0</v>
      </c>
      <c r="Y1167">
        <f t="shared" si="331"/>
        <v>0</v>
      </c>
      <c r="Z1167">
        <f t="shared" si="332"/>
        <v>1</v>
      </c>
      <c r="AA1167">
        <f t="shared" si="333"/>
        <v>1</v>
      </c>
      <c r="AB1167">
        <f t="shared" si="334"/>
        <v>0</v>
      </c>
      <c r="AC1167">
        <f t="shared" si="335"/>
        <v>0</v>
      </c>
      <c r="AD1167">
        <f t="shared" si="336"/>
        <v>0</v>
      </c>
      <c r="AE1167">
        <f t="shared" si="337"/>
        <v>0</v>
      </c>
      <c r="AF1167">
        <f t="shared" si="338"/>
        <v>0</v>
      </c>
      <c r="AG1167">
        <f t="shared" si="339"/>
        <v>0</v>
      </c>
      <c r="AH1167">
        <f t="shared" si="340"/>
        <v>1</v>
      </c>
      <c r="AI1167">
        <f t="shared" si="341"/>
        <v>0</v>
      </c>
    </row>
    <row r="1168" spans="1:35" x14ac:dyDescent="0.2">
      <c r="A1168">
        <v>384</v>
      </c>
      <c r="B1168" t="s">
        <v>749</v>
      </c>
      <c r="C1168">
        <v>1</v>
      </c>
      <c r="D1168" t="s">
        <v>3261</v>
      </c>
      <c r="E1168" t="s">
        <v>19</v>
      </c>
      <c r="F1168" t="s">
        <v>19</v>
      </c>
      <c r="G1168" t="s">
        <v>18</v>
      </c>
      <c r="H1168" t="s">
        <v>20</v>
      </c>
      <c r="I1168">
        <v>3</v>
      </c>
      <c r="J1168">
        <v>3</v>
      </c>
      <c r="K1168">
        <v>100</v>
      </c>
      <c r="L1168" t="s">
        <v>98</v>
      </c>
      <c r="M1168" t="s">
        <v>123</v>
      </c>
      <c r="N1168" t="s">
        <v>24</v>
      </c>
      <c r="O1168" t="s">
        <v>3262</v>
      </c>
      <c r="P1168" t="s">
        <v>3263</v>
      </c>
      <c r="Q1168">
        <f t="shared" si="324"/>
        <v>3</v>
      </c>
      <c r="R1168">
        <f t="shared" si="325"/>
        <v>3</v>
      </c>
      <c r="S1168">
        <f t="shared" si="326"/>
        <v>4</v>
      </c>
      <c r="T1168">
        <f t="shared" si="327"/>
        <v>2</v>
      </c>
      <c r="U1168">
        <v>100</v>
      </c>
      <c r="V1168">
        <f t="shared" si="328"/>
        <v>0</v>
      </c>
      <c r="W1168">
        <f t="shared" si="329"/>
        <v>1</v>
      </c>
      <c r="X1168">
        <f t="shared" si="330"/>
        <v>0</v>
      </c>
      <c r="Y1168">
        <f t="shared" si="331"/>
        <v>0</v>
      </c>
      <c r="Z1168">
        <f t="shared" si="332"/>
        <v>0</v>
      </c>
      <c r="AA1168">
        <f t="shared" si="333"/>
        <v>0</v>
      </c>
      <c r="AB1168">
        <f t="shared" si="334"/>
        <v>1</v>
      </c>
      <c r="AC1168">
        <f t="shared" si="335"/>
        <v>1</v>
      </c>
      <c r="AD1168">
        <f t="shared" si="336"/>
        <v>0</v>
      </c>
      <c r="AE1168">
        <f t="shared" si="337"/>
        <v>0</v>
      </c>
      <c r="AF1168">
        <f t="shared" si="338"/>
        <v>0</v>
      </c>
      <c r="AG1168">
        <f t="shared" si="339"/>
        <v>0</v>
      </c>
      <c r="AH1168">
        <f t="shared" si="340"/>
        <v>1</v>
      </c>
      <c r="AI1168">
        <f t="shared" si="341"/>
        <v>0</v>
      </c>
    </row>
    <row r="1169" spans="1:35" x14ac:dyDescent="0.2">
      <c r="A1169">
        <v>385</v>
      </c>
      <c r="B1169" t="s">
        <v>749</v>
      </c>
      <c r="C1169">
        <v>10</v>
      </c>
      <c r="D1169" t="s">
        <v>3264</v>
      </c>
      <c r="E1169" t="s">
        <v>20</v>
      </c>
      <c r="F1169" t="s">
        <v>39</v>
      </c>
      <c r="G1169" t="s">
        <v>39</v>
      </c>
      <c r="H1169" t="s">
        <v>18</v>
      </c>
      <c r="I1169">
        <v>3</v>
      </c>
      <c r="J1169">
        <v>3</v>
      </c>
      <c r="K1169" s="2">
        <v>100000</v>
      </c>
      <c r="L1169" t="s">
        <v>494</v>
      </c>
      <c r="M1169" t="s">
        <v>468</v>
      </c>
      <c r="N1169" t="s">
        <v>43</v>
      </c>
      <c r="O1169" t="s">
        <v>322</v>
      </c>
      <c r="P1169" t="s">
        <v>3265</v>
      </c>
      <c r="Q1169">
        <f t="shared" si="324"/>
        <v>2</v>
      </c>
      <c r="R1169">
        <f t="shared" si="325"/>
        <v>5</v>
      </c>
      <c r="S1169">
        <f t="shared" si="326"/>
        <v>5</v>
      </c>
      <c r="T1169">
        <f t="shared" si="327"/>
        <v>4</v>
      </c>
      <c r="U1169">
        <v>100000</v>
      </c>
      <c r="V1169">
        <f t="shared" si="328"/>
        <v>0</v>
      </c>
      <c r="W1169">
        <f t="shared" si="329"/>
        <v>1</v>
      </c>
      <c r="X1169">
        <f t="shared" si="330"/>
        <v>1</v>
      </c>
      <c r="Y1169">
        <f t="shared" si="331"/>
        <v>1</v>
      </c>
      <c r="Z1169">
        <f t="shared" si="332"/>
        <v>1</v>
      </c>
      <c r="AA1169">
        <f t="shared" si="333"/>
        <v>1</v>
      </c>
      <c r="AB1169">
        <f t="shared" si="334"/>
        <v>1</v>
      </c>
      <c r="AC1169">
        <f t="shared" si="335"/>
        <v>1</v>
      </c>
      <c r="AD1169">
        <f t="shared" si="336"/>
        <v>1</v>
      </c>
      <c r="AE1169">
        <f t="shared" si="337"/>
        <v>1</v>
      </c>
      <c r="AF1169">
        <f t="shared" si="338"/>
        <v>1</v>
      </c>
      <c r="AG1169">
        <f t="shared" si="339"/>
        <v>1</v>
      </c>
      <c r="AH1169">
        <f t="shared" si="340"/>
        <v>0</v>
      </c>
      <c r="AI1169">
        <f t="shared" si="341"/>
        <v>0</v>
      </c>
    </row>
    <row r="1170" spans="1:35" x14ac:dyDescent="0.2">
      <c r="A1170">
        <v>386</v>
      </c>
      <c r="B1170" t="s">
        <v>749</v>
      </c>
      <c r="C1170">
        <v>7</v>
      </c>
      <c r="D1170" t="s">
        <v>3266</v>
      </c>
      <c r="E1170" t="s">
        <v>19</v>
      </c>
      <c r="F1170" t="s">
        <v>19</v>
      </c>
      <c r="G1170" t="s">
        <v>18</v>
      </c>
      <c r="H1170" t="s">
        <v>19</v>
      </c>
      <c r="I1170">
        <v>1</v>
      </c>
      <c r="J1170">
        <v>3</v>
      </c>
      <c r="K1170" s="1">
        <v>1000000</v>
      </c>
      <c r="L1170" t="s">
        <v>79</v>
      </c>
      <c r="M1170" t="s">
        <v>135</v>
      </c>
      <c r="N1170" t="s">
        <v>84</v>
      </c>
      <c r="O1170" t="s">
        <v>250</v>
      </c>
      <c r="P1170" t="s">
        <v>3267</v>
      </c>
      <c r="Q1170">
        <f t="shared" si="324"/>
        <v>3</v>
      </c>
      <c r="R1170">
        <f t="shared" si="325"/>
        <v>3</v>
      </c>
      <c r="S1170">
        <f t="shared" si="326"/>
        <v>4</v>
      </c>
      <c r="T1170">
        <f t="shared" si="327"/>
        <v>3</v>
      </c>
      <c r="U1170">
        <v>1000000</v>
      </c>
      <c r="V1170">
        <f t="shared" si="328"/>
        <v>0</v>
      </c>
      <c r="W1170">
        <f t="shared" si="329"/>
        <v>1</v>
      </c>
      <c r="X1170">
        <f t="shared" si="330"/>
        <v>0</v>
      </c>
      <c r="Y1170">
        <f t="shared" si="331"/>
        <v>0</v>
      </c>
      <c r="Z1170">
        <f t="shared" si="332"/>
        <v>1</v>
      </c>
      <c r="AA1170">
        <f t="shared" si="333"/>
        <v>1</v>
      </c>
      <c r="AB1170">
        <f t="shared" si="334"/>
        <v>1</v>
      </c>
      <c r="AC1170">
        <f t="shared" si="335"/>
        <v>0</v>
      </c>
      <c r="AD1170">
        <f t="shared" si="336"/>
        <v>0</v>
      </c>
      <c r="AE1170">
        <f t="shared" si="337"/>
        <v>0</v>
      </c>
      <c r="AF1170">
        <f t="shared" si="338"/>
        <v>0</v>
      </c>
      <c r="AG1170">
        <f t="shared" si="339"/>
        <v>1</v>
      </c>
      <c r="AH1170">
        <f t="shared" si="340"/>
        <v>0</v>
      </c>
      <c r="AI1170">
        <f t="shared" si="341"/>
        <v>0</v>
      </c>
    </row>
    <row r="1171" spans="1:35" x14ac:dyDescent="0.2">
      <c r="A1171">
        <v>387</v>
      </c>
      <c r="B1171" t="s">
        <v>749</v>
      </c>
      <c r="C1171">
        <v>7</v>
      </c>
      <c r="D1171" t="s">
        <v>3268</v>
      </c>
      <c r="E1171" t="s">
        <v>18</v>
      </c>
      <c r="F1171" t="s">
        <v>21</v>
      </c>
      <c r="G1171" t="s">
        <v>18</v>
      </c>
      <c r="H1171" t="s">
        <v>19</v>
      </c>
      <c r="I1171">
        <v>3</v>
      </c>
      <c r="J1171">
        <v>3</v>
      </c>
      <c r="K1171" s="1">
        <v>100</v>
      </c>
      <c r="L1171" t="s">
        <v>1477</v>
      </c>
      <c r="M1171" t="s">
        <v>48</v>
      </c>
      <c r="N1171" t="s">
        <v>147</v>
      </c>
      <c r="O1171" t="s">
        <v>3269</v>
      </c>
      <c r="P1171" t="s">
        <v>3270</v>
      </c>
      <c r="Q1171">
        <f t="shared" si="324"/>
        <v>4</v>
      </c>
      <c r="R1171">
        <f t="shared" si="325"/>
        <v>1</v>
      </c>
      <c r="S1171">
        <f t="shared" si="326"/>
        <v>4</v>
      </c>
      <c r="T1171">
        <f t="shared" si="327"/>
        <v>3</v>
      </c>
      <c r="U1171">
        <v>100</v>
      </c>
      <c r="V1171">
        <f t="shared" si="328"/>
        <v>1</v>
      </c>
      <c r="W1171">
        <f t="shared" si="329"/>
        <v>0</v>
      </c>
      <c r="X1171">
        <f t="shared" si="330"/>
        <v>1</v>
      </c>
      <c r="Y1171">
        <f t="shared" si="331"/>
        <v>1</v>
      </c>
      <c r="Z1171">
        <f t="shared" si="332"/>
        <v>1</v>
      </c>
      <c r="AA1171">
        <f t="shared" si="333"/>
        <v>1</v>
      </c>
      <c r="AB1171">
        <f t="shared" si="334"/>
        <v>1</v>
      </c>
      <c r="AC1171">
        <f t="shared" si="335"/>
        <v>1</v>
      </c>
      <c r="AD1171">
        <f t="shared" si="336"/>
        <v>0</v>
      </c>
      <c r="AE1171">
        <f t="shared" si="337"/>
        <v>0</v>
      </c>
      <c r="AF1171">
        <f t="shared" si="338"/>
        <v>0</v>
      </c>
      <c r="AG1171">
        <f t="shared" si="339"/>
        <v>0</v>
      </c>
      <c r="AH1171">
        <f t="shared" si="340"/>
        <v>1</v>
      </c>
      <c r="AI1171">
        <f t="shared" si="341"/>
        <v>1</v>
      </c>
    </row>
    <row r="1172" spans="1:35" x14ac:dyDescent="0.2">
      <c r="A1172">
        <v>388</v>
      </c>
      <c r="B1172" t="s">
        <v>749</v>
      </c>
      <c r="C1172">
        <v>8</v>
      </c>
      <c r="D1172" t="s">
        <v>3271</v>
      </c>
      <c r="E1172" t="s">
        <v>39</v>
      </c>
      <c r="F1172" t="s">
        <v>18</v>
      </c>
      <c r="G1172" t="s">
        <v>20</v>
      </c>
      <c r="H1172" t="s">
        <v>20</v>
      </c>
      <c r="I1172">
        <v>3</v>
      </c>
      <c r="J1172">
        <v>4</v>
      </c>
      <c r="K1172">
        <v>75</v>
      </c>
      <c r="L1172" t="s">
        <v>443</v>
      </c>
      <c r="M1172" t="s">
        <v>48</v>
      </c>
      <c r="N1172" t="s">
        <v>24</v>
      </c>
      <c r="O1172" t="s">
        <v>760</v>
      </c>
      <c r="P1172" t="s">
        <v>3272</v>
      </c>
      <c r="Q1172">
        <f t="shared" si="324"/>
        <v>5</v>
      </c>
      <c r="R1172">
        <f t="shared" si="325"/>
        <v>4</v>
      </c>
      <c r="S1172">
        <f t="shared" si="326"/>
        <v>2</v>
      </c>
      <c r="T1172">
        <f t="shared" si="327"/>
        <v>2</v>
      </c>
      <c r="U1172">
        <v>75</v>
      </c>
      <c r="V1172">
        <f t="shared" si="328"/>
        <v>1</v>
      </c>
      <c r="W1172">
        <f t="shared" si="329"/>
        <v>0</v>
      </c>
      <c r="X1172">
        <f t="shared" si="330"/>
        <v>0</v>
      </c>
      <c r="Y1172">
        <f t="shared" si="331"/>
        <v>1</v>
      </c>
      <c r="Z1172">
        <f t="shared" si="332"/>
        <v>1</v>
      </c>
      <c r="AA1172">
        <f t="shared" si="333"/>
        <v>1</v>
      </c>
      <c r="AB1172">
        <f t="shared" si="334"/>
        <v>1</v>
      </c>
      <c r="AC1172">
        <f t="shared" si="335"/>
        <v>1</v>
      </c>
      <c r="AD1172">
        <f t="shared" si="336"/>
        <v>0</v>
      </c>
      <c r="AE1172">
        <f t="shared" si="337"/>
        <v>0</v>
      </c>
      <c r="AF1172">
        <f t="shared" si="338"/>
        <v>0</v>
      </c>
      <c r="AG1172">
        <f t="shared" si="339"/>
        <v>0</v>
      </c>
      <c r="AH1172">
        <f t="shared" si="340"/>
        <v>1</v>
      </c>
      <c r="AI1172">
        <f t="shared" si="341"/>
        <v>0</v>
      </c>
    </row>
    <row r="1173" spans="1:35" x14ac:dyDescent="0.2">
      <c r="A1173">
        <v>389</v>
      </c>
      <c r="B1173" t="s">
        <v>749</v>
      </c>
      <c r="C1173">
        <v>8</v>
      </c>
      <c r="D1173" t="s">
        <v>3273</v>
      </c>
      <c r="E1173" t="s">
        <v>18</v>
      </c>
      <c r="F1173" t="s">
        <v>18</v>
      </c>
      <c r="G1173" t="s">
        <v>19</v>
      </c>
      <c r="H1173" t="s">
        <v>18</v>
      </c>
      <c r="I1173">
        <v>3</v>
      </c>
      <c r="J1173">
        <v>13</v>
      </c>
      <c r="K1173">
        <v>200</v>
      </c>
      <c r="L1173" t="s">
        <v>41</v>
      </c>
      <c r="M1173" t="s">
        <v>135</v>
      </c>
      <c r="N1173" t="s">
        <v>36</v>
      </c>
      <c r="O1173" t="s">
        <v>1146</v>
      </c>
      <c r="P1173" t="s">
        <v>3274</v>
      </c>
      <c r="Q1173">
        <f t="shared" si="324"/>
        <v>4</v>
      </c>
      <c r="R1173">
        <f t="shared" si="325"/>
        <v>4</v>
      </c>
      <c r="S1173">
        <f t="shared" si="326"/>
        <v>3</v>
      </c>
      <c r="T1173">
        <f t="shared" si="327"/>
        <v>4</v>
      </c>
      <c r="U1173">
        <v>200</v>
      </c>
      <c r="V1173">
        <f t="shared" si="328"/>
        <v>0</v>
      </c>
      <c r="W1173">
        <f t="shared" si="329"/>
        <v>0</v>
      </c>
      <c r="X1173">
        <f t="shared" si="330"/>
        <v>0</v>
      </c>
      <c r="Y1173">
        <f t="shared" si="331"/>
        <v>0</v>
      </c>
      <c r="Z1173">
        <f t="shared" si="332"/>
        <v>1</v>
      </c>
      <c r="AA1173">
        <f t="shared" si="333"/>
        <v>1</v>
      </c>
      <c r="AB1173">
        <f t="shared" si="334"/>
        <v>1</v>
      </c>
      <c r="AC1173">
        <f t="shared" si="335"/>
        <v>0</v>
      </c>
      <c r="AD1173">
        <f t="shared" si="336"/>
        <v>0</v>
      </c>
      <c r="AE1173">
        <f t="shared" si="337"/>
        <v>0</v>
      </c>
      <c r="AF1173">
        <f t="shared" si="338"/>
        <v>0</v>
      </c>
      <c r="AG1173">
        <f t="shared" si="339"/>
        <v>0</v>
      </c>
      <c r="AH1173">
        <f t="shared" si="340"/>
        <v>0</v>
      </c>
      <c r="AI1173">
        <f t="shared" si="341"/>
        <v>1</v>
      </c>
    </row>
    <row r="1174" spans="1:35" x14ac:dyDescent="0.2">
      <c r="A1174">
        <v>390</v>
      </c>
      <c r="B1174" t="s">
        <v>749</v>
      </c>
      <c r="C1174">
        <v>8</v>
      </c>
      <c r="D1174" t="s">
        <v>3275</v>
      </c>
      <c r="E1174" t="s">
        <v>19</v>
      </c>
      <c r="F1174" t="s">
        <v>18</v>
      </c>
      <c r="G1174" t="s">
        <v>18</v>
      </c>
      <c r="H1174" t="s">
        <v>19</v>
      </c>
      <c r="I1174">
        <v>3</v>
      </c>
      <c r="J1174">
        <v>6</v>
      </c>
      <c r="K1174">
        <v>500</v>
      </c>
      <c r="L1174" t="s">
        <v>122</v>
      </c>
      <c r="M1174" t="s">
        <v>161</v>
      </c>
      <c r="N1174" t="s">
        <v>215</v>
      </c>
      <c r="O1174" t="s">
        <v>3276</v>
      </c>
      <c r="P1174" t="s">
        <v>3277</v>
      </c>
      <c r="Q1174">
        <f t="shared" si="324"/>
        <v>3</v>
      </c>
      <c r="R1174">
        <f t="shared" si="325"/>
        <v>4</v>
      </c>
      <c r="S1174">
        <f t="shared" si="326"/>
        <v>4</v>
      </c>
      <c r="T1174">
        <f t="shared" si="327"/>
        <v>3</v>
      </c>
      <c r="U1174">
        <v>500</v>
      </c>
      <c r="V1174">
        <f t="shared" si="328"/>
        <v>1</v>
      </c>
      <c r="W1174">
        <f t="shared" si="329"/>
        <v>0</v>
      </c>
      <c r="X1174">
        <f t="shared" si="330"/>
        <v>1</v>
      </c>
      <c r="Y1174">
        <f t="shared" si="331"/>
        <v>0</v>
      </c>
      <c r="Z1174">
        <f t="shared" si="332"/>
        <v>1</v>
      </c>
      <c r="AA1174">
        <f t="shared" si="333"/>
        <v>1</v>
      </c>
      <c r="AB1174">
        <f t="shared" si="334"/>
        <v>1</v>
      </c>
      <c r="AC1174">
        <f t="shared" si="335"/>
        <v>1</v>
      </c>
      <c r="AD1174">
        <f t="shared" si="336"/>
        <v>1</v>
      </c>
      <c r="AE1174">
        <f t="shared" si="337"/>
        <v>0</v>
      </c>
      <c r="AF1174">
        <f t="shared" si="338"/>
        <v>1</v>
      </c>
      <c r="AG1174">
        <f t="shared" si="339"/>
        <v>0</v>
      </c>
      <c r="AH1174">
        <f t="shared" si="340"/>
        <v>0</v>
      </c>
      <c r="AI1174">
        <f t="shared" si="341"/>
        <v>0</v>
      </c>
    </row>
    <row r="1175" spans="1:35" x14ac:dyDescent="0.2">
      <c r="A1175">
        <v>391</v>
      </c>
      <c r="B1175" t="s">
        <v>749</v>
      </c>
      <c r="C1175">
        <v>1</v>
      </c>
      <c r="D1175" t="s">
        <v>3278</v>
      </c>
      <c r="E1175" t="s">
        <v>19</v>
      </c>
      <c r="F1175" t="s">
        <v>19</v>
      </c>
      <c r="G1175" t="s">
        <v>18</v>
      </c>
      <c r="H1175" t="s">
        <v>20</v>
      </c>
      <c r="I1175">
        <v>2</v>
      </c>
      <c r="J1175">
        <v>3</v>
      </c>
      <c r="K1175">
        <v>10</v>
      </c>
      <c r="L1175" t="s">
        <v>494</v>
      </c>
      <c r="M1175" t="s">
        <v>291</v>
      </c>
      <c r="N1175" t="s">
        <v>36</v>
      </c>
      <c r="O1175" t="s">
        <v>148</v>
      </c>
      <c r="P1175" t="s">
        <v>3279</v>
      </c>
      <c r="Q1175">
        <f t="shared" si="324"/>
        <v>3</v>
      </c>
      <c r="R1175">
        <f t="shared" si="325"/>
        <v>3</v>
      </c>
      <c r="S1175">
        <f t="shared" si="326"/>
        <v>4</v>
      </c>
      <c r="T1175">
        <f t="shared" si="327"/>
        <v>2</v>
      </c>
      <c r="U1175">
        <v>10</v>
      </c>
      <c r="V1175">
        <f t="shared" si="328"/>
        <v>0</v>
      </c>
      <c r="W1175">
        <f t="shared" si="329"/>
        <v>1</v>
      </c>
      <c r="X1175">
        <f t="shared" si="330"/>
        <v>1</v>
      </c>
      <c r="Y1175">
        <f t="shared" si="331"/>
        <v>1</v>
      </c>
      <c r="Z1175">
        <f t="shared" si="332"/>
        <v>1</v>
      </c>
      <c r="AA1175">
        <f t="shared" si="333"/>
        <v>0</v>
      </c>
      <c r="AB1175">
        <f t="shared" si="334"/>
        <v>1</v>
      </c>
      <c r="AC1175">
        <f t="shared" si="335"/>
        <v>0</v>
      </c>
      <c r="AD1175">
        <f t="shared" si="336"/>
        <v>1</v>
      </c>
      <c r="AE1175">
        <f t="shared" si="337"/>
        <v>0</v>
      </c>
      <c r="AF1175">
        <f t="shared" si="338"/>
        <v>0</v>
      </c>
      <c r="AG1175">
        <f t="shared" si="339"/>
        <v>0</v>
      </c>
      <c r="AH1175">
        <f t="shared" si="340"/>
        <v>0</v>
      </c>
      <c r="AI1175">
        <f t="shared" si="341"/>
        <v>1</v>
      </c>
    </row>
    <row r="1176" spans="1:35" x14ac:dyDescent="0.2">
      <c r="A1176">
        <v>392</v>
      </c>
      <c r="B1176" t="s">
        <v>749</v>
      </c>
      <c r="C1176">
        <v>10</v>
      </c>
      <c r="D1176" t="s">
        <v>3280</v>
      </c>
      <c r="E1176" t="s">
        <v>21</v>
      </c>
      <c r="F1176" t="s">
        <v>18</v>
      </c>
      <c r="G1176" t="s">
        <v>18</v>
      </c>
      <c r="H1176" t="s">
        <v>20</v>
      </c>
      <c r="I1176">
        <v>4</v>
      </c>
      <c r="J1176">
        <v>14</v>
      </c>
      <c r="K1176" s="2">
        <v>100000000</v>
      </c>
      <c r="L1176" t="s">
        <v>562</v>
      </c>
      <c r="M1176" t="s">
        <v>468</v>
      </c>
      <c r="N1176" t="s">
        <v>84</v>
      </c>
      <c r="O1176" t="s">
        <v>778</v>
      </c>
      <c r="P1176" t="s">
        <v>3281</v>
      </c>
      <c r="Q1176">
        <f t="shared" si="324"/>
        <v>1</v>
      </c>
      <c r="R1176">
        <f t="shared" si="325"/>
        <v>4</v>
      </c>
      <c r="S1176">
        <f t="shared" si="326"/>
        <v>4</v>
      </c>
      <c r="T1176">
        <f t="shared" si="327"/>
        <v>2</v>
      </c>
      <c r="U1176">
        <v>100000000</v>
      </c>
      <c r="V1176">
        <f t="shared" si="328"/>
        <v>0</v>
      </c>
      <c r="W1176">
        <f t="shared" si="329"/>
        <v>1</v>
      </c>
      <c r="X1176">
        <f t="shared" si="330"/>
        <v>1</v>
      </c>
      <c r="Y1176">
        <f t="shared" si="331"/>
        <v>0</v>
      </c>
      <c r="Z1176">
        <f t="shared" si="332"/>
        <v>1</v>
      </c>
      <c r="AA1176">
        <f t="shared" si="333"/>
        <v>1</v>
      </c>
      <c r="AB1176">
        <f t="shared" si="334"/>
        <v>1</v>
      </c>
      <c r="AC1176">
        <f t="shared" si="335"/>
        <v>1</v>
      </c>
      <c r="AD1176">
        <f t="shared" si="336"/>
        <v>1</v>
      </c>
      <c r="AE1176">
        <f t="shared" si="337"/>
        <v>1</v>
      </c>
      <c r="AF1176">
        <f t="shared" si="338"/>
        <v>0</v>
      </c>
      <c r="AG1176">
        <f t="shared" si="339"/>
        <v>1</v>
      </c>
      <c r="AH1176">
        <f t="shared" si="340"/>
        <v>0</v>
      </c>
      <c r="AI1176">
        <f t="shared" si="341"/>
        <v>0</v>
      </c>
    </row>
    <row r="1177" spans="1:35" x14ac:dyDescent="0.2">
      <c r="A1177">
        <v>393</v>
      </c>
      <c r="B1177" t="s">
        <v>749</v>
      </c>
      <c r="C1177">
        <v>8</v>
      </c>
      <c r="D1177" t="s">
        <v>3282</v>
      </c>
      <c r="E1177" t="s">
        <v>18</v>
      </c>
      <c r="F1177" t="s">
        <v>39</v>
      </c>
      <c r="G1177" t="s">
        <v>18</v>
      </c>
      <c r="H1177" t="s">
        <v>21</v>
      </c>
      <c r="I1177">
        <v>5</v>
      </c>
      <c r="J1177">
        <v>4</v>
      </c>
      <c r="K1177">
        <v>100</v>
      </c>
      <c r="L1177" t="s">
        <v>601</v>
      </c>
      <c r="M1177" t="s">
        <v>23</v>
      </c>
      <c r="N1177" t="s">
        <v>24</v>
      </c>
      <c r="O1177" t="s">
        <v>3283</v>
      </c>
      <c r="P1177" t="s">
        <v>3284</v>
      </c>
      <c r="Q1177">
        <f t="shared" si="324"/>
        <v>4</v>
      </c>
      <c r="R1177">
        <f t="shared" si="325"/>
        <v>5</v>
      </c>
      <c r="S1177">
        <f t="shared" si="326"/>
        <v>4</v>
      </c>
      <c r="T1177">
        <f t="shared" si="327"/>
        <v>1</v>
      </c>
      <c r="U1177">
        <v>100</v>
      </c>
      <c r="V1177">
        <f t="shared" si="328"/>
        <v>0</v>
      </c>
      <c r="W1177">
        <f t="shared" si="329"/>
        <v>1</v>
      </c>
      <c r="X1177">
        <f t="shared" si="330"/>
        <v>0</v>
      </c>
      <c r="Y1177">
        <f t="shared" si="331"/>
        <v>1</v>
      </c>
      <c r="Z1177">
        <f t="shared" si="332"/>
        <v>1</v>
      </c>
      <c r="AA1177">
        <f t="shared" si="333"/>
        <v>1</v>
      </c>
      <c r="AB1177">
        <f t="shared" si="334"/>
        <v>0</v>
      </c>
      <c r="AC1177">
        <f t="shared" si="335"/>
        <v>0</v>
      </c>
      <c r="AD1177">
        <f t="shared" si="336"/>
        <v>0</v>
      </c>
      <c r="AE1177">
        <f t="shared" si="337"/>
        <v>0</v>
      </c>
      <c r="AF1177">
        <f t="shared" si="338"/>
        <v>0</v>
      </c>
      <c r="AG1177">
        <f t="shared" si="339"/>
        <v>0</v>
      </c>
      <c r="AH1177">
        <f t="shared" si="340"/>
        <v>1</v>
      </c>
      <c r="AI1177">
        <f t="shared" si="341"/>
        <v>0</v>
      </c>
    </row>
    <row r="1178" spans="1:35" x14ac:dyDescent="0.2">
      <c r="A1178">
        <v>394</v>
      </c>
      <c r="B1178" t="s">
        <v>749</v>
      </c>
      <c r="C1178">
        <v>7</v>
      </c>
      <c r="D1178" t="s">
        <v>3285</v>
      </c>
      <c r="E1178" t="s">
        <v>19</v>
      </c>
      <c r="F1178" t="s">
        <v>18</v>
      </c>
      <c r="G1178" t="s">
        <v>18</v>
      </c>
      <c r="H1178" t="s">
        <v>20</v>
      </c>
      <c r="I1178">
        <v>5</v>
      </c>
      <c r="J1178">
        <v>2</v>
      </c>
      <c r="K1178" s="1">
        <v>1000</v>
      </c>
      <c r="L1178" t="s">
        <v>70</v>
      </c>
      <c r="M1178" t="s">
        <v>42</v>
      </c>
      <c r="N1178" t="s">
        <v>622</v>
      </c>
      <c r="O1178" t="s">
        <v>3286</v>
      </c>
      <c r="P1178" t="s">
        <v>3287</v>
      </c>
      <c r="Q1178">
        <f t="shared" si="324"/>
        <v>3</v>
      </c>
      <c r="R1178">
        <f t="shared" si="325"/>
        <v>4</v>
      </c>
      <c r="S1178">
        <f t="shared" si="326"/>
        <v>4</v>
      </c>
      <c r="T1178">
        <f t="shared" si="327"/>
        <v>2</v>
      </c>
      <c r="U1178">
        <v>1000</v>
      </c>
      <c r="V1178">
        <f t="shared" si="328"/>
        <v>0</v>
      </c>
      <c r="W1178">
        <f t="shared" si="329"/>
        <v>0</v>
      </c>
      <c r="X1178">
        <f t="shared" si="330"/>
        <v>0</v>
      </c>
      <c r="Y1178">
        <f t="shared" si="331"/>
        <v>1</v>
      </c>
      <c r="Z1178">
        <f t="shared" si="332"/>
        <v>0</v>
      </c>
      <c r="AA1178">
        <f t="shared" si="333"/>
        <v>0</v>
      </c>
      <c r="AB1178">
        <f t="shared" si="334"/>
        <v>1</v>
      </c>
      <c r="AC1178">
        <f t="shared" si="335"/>
        <v>0</v>
      </c>
      <c r="AD1178">
        <f t="shared" si="336"/>
        <v>0</v>
      </c>
      <c r="AE1178">
        <f t="shared" si="337"/>
        <v>0</v>
      </c>
      <c r="AF1178">
        <f t="shared" si="338"/>
        <v>0</v>
      </c>
      <c r="AG1178">
        <f t="shared" si="339"/>
        <v>1</v>
      </c>
      <c r="AH1178">
        <f t="shared" si="340"/>
        <v>0</v>
      </c>
      <c r="AI1178">
        <f t="shared" si="341"/>
        <v>1</v>
      </c>
    </row>
    <row r="1179" spans="1:35" x14ac:dyDescent="0.2">
      <c r="A1179">
        <v>395</v>
      </c>
      <c r="B1179" t="s">
        <v>749</v>
      </c>
      <c r="C1179">
        <v>7</v>
      </c>
      <c r="D1179" t="s">
        <v>3288</v>
      </c>
      <c r="E1179" t="s">
        <v>18</v>
      </c>
      <c r="F1179" t="s">
        <v>19</v>
      </c>
      <c r="G1179" t="s">
        <v>18</v>
      </c>
      <c r="H1179" t="s">
        <v>20</v>
      </c>
      <c r="I1179">
        <v>3</v>
      </c>
      <c r="J1179">
        <v>3</v>
      </c>
      <c r="K1179">
        <v>80</v>
      </c>
      <c r="L1179" t="s">
        <v>1477</v>
      </c>
      <c r="M1179" t="s">
        <v>48</v>
      </c>
      <c r="N1179" t="s">
        <v>36</v>
      </c>
      <c r="O1179" t="s">
        <v>2442</v>
      </c>
      <c r="P1179" t="s">
        <v>3289</v>
      </c>
      <c r="Q1179">
        <f t="shared" si="324"/>
        <v>4</v>
      </c>
      <c r="R1179">
        <f t="shared" si="325"/>
        <v>3</v>
      </c>
      <c r="S1179">
        <f t="shared" si="326"/>
        <v>4</v>
      </c>
      <c r="T1179">
        <f t="shared" si="327"/>
        <v>2</v>
      </c>
      <c r="U1179">
        <v>80</v>
      </c>
      <c r="V1179">
        <f t="shared" si="328"/>
        <v>1</v>
      </c>
      <c r="W1179">
        <f t="shared" si="329"/>
        <v>0</v>
      </c>
      <c r="X1179">
        <f t="shared" si="330"/>
        <v>1</v>
      </c>
      <c r="Y1179">
        <f t="shared" si="331"/>
        <v>1</v>
      </c>
      <c r="Z1179">
        <f t="shared" si="332"/>
        <v>1</v>
      </c>
      <c r="AA1179">
        <f t="shared" si="333"/>
        <v>1</v>
      </c>
      <c r="AB1179">
        <f t="shared" si="334"/>
        <v>1</v>
      </c>
      <c r="AC1179">
        <f t="shared" si="335"/>
        <v>1</v>
      </c>
      <c r="AD1179">
        <f t="shared" si="336"/>
        <v>0</v>
      </c>
      <c r="AE1179">
        <f t="shared" si="337"/>
        <v>0</v>
      </c>
      <c r="AF1179">
        <f t="shared" si="338"/>
        <v>0</v>
      </c>
      <c r="AG1179">
        <f t="shared" si="339"/>
        <v>0</v>
      </c>
      <c r="AH1179">
        <f t="shared" si="340"/>
        <v>0</v>
      </c>
      <c r="AI1179">
        <f t="shared" si="341"/>
        <v>1</v>
      </c>
    </row>
    <row r="1180" spans="1:35" x14ac:dyDescent="0.2">
      <c r="A1180">
        <v>396</v>
      </c>
      <c r="B1180" t="s">
        <v>749</v>
      </c>
      <c r="C1180">
        <v>1</v>
      </c>
      <c r="D1180" t="s">
        <v>3290</v>
      </c>
      <c r="E1180" t="s">
        <v>19</v>
      </c>
      <c r="F1180" t="s">
        <v>19</v>
      </c>
      <c r="G1180" t="s">
        <v>19</v>
      </c>
      <c r="H1180" t="s">
        <v>19</v>
      </c>
      <c r="I1180">
        <v>3</v>
      </c>
      <c r="J1180">
        <v>100</v>
      </c>
      <c r="K1180" s="5">
        <v>0</v>
      </c>
      <c r="L1180" t="s">
        <v>53</v>
      </c>
      <c r="M1180" t="s">
        <v>219</v>
      </c>
      <c r="N1180" t="s">
        <v>36</v>
      </c>
      <c r="O1180" t="s">
        <v>368</v>
      </c>
      <c r="P1180" t="s">
        <v>3291</v>
      </c>
      <c r="Q1180">
        <f t="shared" si="324"/>
        <v>3</v>
      </c>
      <c r="R1180">
        <f t="shared" si="325"/>
        <v>3</v>
      </c>
      <c r="S1180">
        <f t="shared" si="326"/>
        <v>3</v>
      </c>
      <c r="T1180">
        <f t="shared" si="327"/>
        <v>3</v>
      </c>
      <c r="U1180">
        <v>0</v>
      </c>
      <c r="V1180">
        <f t="shared" si="328"/>
        <v>0</v>
      </c>
      <c r="W1180">
        <f t="shared" si="329"/>
        <v>0</v>
      </c>
      <c r="X1180">
        <f t="shared" si="330"/>
        <v>1</v>
      </c>
      <c r="Y1180">
        <f t="shared" si="331"/>
        <v>0</v>
      </c>
      <c r="Z1180">
        <f t="shared" si="332"/>
        <v>0</v>
      </c>
      <c r="AA1180">
        <f t="shared" si="333"/>
        <v>0</v>
      </c>
      <c r="AB1180">
        <f t="shared" si="334"/>
        <v>0</v>
      </c>
      <c r="AC1180">
        <f t="shared" si="335"/>
        <v>0</v>
      </c>
      <c r="AD1180">
        <f t="shared" si="336"/>
        <v>0</v>
      </c>
      <c r="AE1180">
        <f t="shared" si="337"/>
        <v>1</v>
      </c>
      <c r="AF1180">
        <f t="shared" si="338"/>
        <v>0</v>
      </c>
      <c r="AG1180">
        <f t="shared" si="339"/>
        <v>0</v>
      </c>
      <c r="AH1180">
        <f t="shared" si="340"/>
        <v>0</v>
      </c>
      <c r="AI1180">
        <f t="shared" si="341"/>
        <v>1</v>
      </c>
    </row>
    <row r="1181" spans="1:35" x14ac:dyDescent="0.2">
      <c r="A1181">
        <v>397</v>
      </c>
      <c r="B1181" t="s">
        <v>749</v>
      </c>
      <c r="C1181">
        <v>2</v>
      </c>
      <c r="D1181" t="s">
        <v>3292</v>
      </c>
      <c r="E1181" t="s">
        <v>20</v>
      </c>
      <c r="F1181" t="s">
        <v>19</v>
      </c>
      <c r="G1181" t="s">
        <v>18</v>
      </c>
      <c r="H1181" t="s">
        <v>19</v>
      </c>
      <c r="I1181">
        <v>4</v>
      </c>
      <c r="J1181">
        <v>4</v>
      </c>
      <c r="K1181">
        <v>200</v>
      </c>
      <c r="L1181" t="s">
        <v>443</v>
      </c>
      <c r="M1181" t="s">
        <v>48</v>
      </c>
      <c r="N1181" t="s">
        <v>84</v>
      </c>
      <c r="O1181" t="s">
        <v>185</v>
      </c>
      <c r="P1181" t="s">
        <v>3293</v>
      </c>
      <c r="Q1181">
        <f t="shared" si="324"/>
        <v>2</v>
      </c>
      <c r="R1181">
        <f t="shared" si="325"/>
        <v>3</v>
      </c>
      <c r="S1181">
        <f t="shared" si="326"/>
        <v>4</v>
      </c>
      <c r="T1181">
        <f t="shared" si="327"/>
        <v>3</v>
      </c>
      <c r="U1181">
        <v>200</v>
      </c>
      <c r="V1181">
        <f t="shared" si="328"/>
        <v>1</v>
      </c>
      <c r="W1181">
        <f t="shared" si="329"/>
        <v>0</v>
      </c>
      <c r="X1181">
        <f t="shared" si="330"/>
        <v>0</v>
      </c>
      <c r="Y1181">
        <f t="shared" si="331"/>
        <v>1</v>
      </c>
      <c r="Z1181">
        <f t="shared" si="332"/>
        <v>1</v>
      </c>
      <c r="AA1181">
        <f t="shared" si="333"/>
        <v>1</v>
      </c>
      <c r="AB1181">
        <f t="shared" si="334"/>
        <v>1</v>
      </c>
      <c r="AC1181">
        <f t="shared" si="335"/>
        <v>1</v>
      </c>
      <c r="AD1181">
        <f t="shared" si="336"/>
        <v>0</v>
      </c>
      <c r="AE1181">
        <f t="shared" si="337"/>
        <v>0</v>
      </c>
      <c r="AF1181">
        <f t="shared" si="338"/>
        <v>0</v>
      </c>
      <c r="AG1181">
        <f t="shared" si="339"/>
        <v>1</v>
      </c>
      <c r="AH1181">
        <f t="shared" si="340"/>
        <v>0</v>
      </c>
      <c r="AI1181">
        <f t="shared" si="341"/>
        <v>0</v>
      </c>
    </row>
    <row r="1182" spans="1:35" x14ac:dyDescent="0.2">
      <c r="A1182">
        <v>398</v>
      </c>
      <c r="B1182" t="s">
        <v>749</v>
      </c>
      <c r="C1182">
        <v>8</v>
      </c>
      <c r="D1182" t="s">
        <v>3294</v>
      </c>
      <c r="E1182" t="s">
        <v>20</v>
      </c>
      <c r="F1182" t="s">
        <v>18</v>
      </c>
      <c r="G1182" t="s">
        <v>18</v>
      </c>
      <c r="H1182" t="s">
        <v>19</v>
      </c>
      <c r="I1182">
        <v>3</v>
      </c>
      <c r="J1182">
        <v>8</v>
      </c>
      <c r="K1182">
        <v>300</v>
      </c>
      <c r="L1182" t="s">
        <v>276</v>
      </c>
      <c r="M1182" t="s">
        <v>468</v>
      </c>
      <c r="N1182" t="s">
        <v>942</v>
      </c>
      <c r="O1182" t="s">
        <v>590</v>
      </c>
      <c r="P1182" t="s">
        <v>3295</v>
      </c>
      <c r="Q1182">
        <f t="shared" si="324"/>
        <v>2</v>
      </c>
      <c r="R1182">
        <f t="shared" si="325"/>
        <v>4</v>
      </c>
      <c r="S1182">
        <f t="shared" si="326"/>
        <v>4</v>
      </c>
      <c r="T1182">
        <f t="shared" si="327"/>
        <v>3</v>
      </c>
      <c r="U1182">
        <v>300</v>
      </c>
      <c r="V1182">
        <f t="shared" si="328"/>
        <v>1</v>
      </c>
      <c r="W1182">
        <f t="shared" si="329"/>
        <v>1</v>
      </c>
      <c r="X1182">
        <f t="shared" si="330"/>
        <v>0</v>
      </c>
      <c r="Y1182">
        <f t="shared" si="331"/>
        <v>1</v>
      </c>
      <c r="Z1182">
        <f t="shared" si="332"/>
        <v>1</v>
      </c>
      <c r="AA1182">
        <f t="shared" si="333"/>
        <v>1</v>
      </c>
      <c r="AB1182">
        <f t="shared" si="334"/>
        <v>1</v>
      </c>
      <c r="AC1182">
        <f t="shared" si="335"/>
        <v>1</v>
      </c>
      <c r="AD1182">
        <f t="shared" si="336"/>
        <v>1</v>
      </c>
      <c r="AE1182">
        <f t="shared" si="337"/>
        <v>1</v>
      </c>
      <c r="AF1182">
        <f t="shared" si="338"/>
        <v>1</v>
      </c>
      <c r="AG1182">
        <f t="shared" si="339"/>
        <v>1</v>
      </c>
      <c r="AH1182">
        <f t="shared" si="340"/>
        <v>0</v>
      </c>
      <c r="AI1182">
        <f t="shared" si="341"/>
        <v>1</v>
      </c>
    </row>
    <row r="1183" spans="1:35" x14ac:dyDescent="0.2">
      <c r="A1183">
        <v>399</v>
      </c>
      <c r="B1183" t="s">
        <v>749</v>
      </c>
      <c r="C1183">
        <v>7</v>
      </c>
      <c r="D1183" t="s">
        <v>3296</v>
      </c>
      <c r="E1183" t="s">
        <v>18</v>
      </c>
      <c r="F1183" t="s">
        <v>19</v>
      </c>
      <c r="G1183" t="s">
        <v>21</v>
      </c>
      <c r="H1183" t="s">
        <v>20</v>
      </c>
      <c r="I1183">
        <v>3</v>
      </c>
      <c r="J1183">
        <v>4</v>
      </c>
      <c r="K1183">
        <v>200000</v>
      </c>
      <c r="L1183" t="s">
        <v>714</v>
      </c>
      <c r="M1183" t="s">
        <v>161</v>
      </c>
      <c r="N1183" t="s">
        <v>84</v>
      </c>
      <c r="O1183" t="s">
        <v>3297</v>
      </c>
      <c r="P1183" t="s">
        <v>3298</v>
      </c>
      <c r="Q1183">
        <f t="shared" si="324"/>
        <v>4</v>
      </c>
      <c r="R1183">
        <f t="shared" si="325"/>
        <v>3</v>
      </c>
      <c r="S1183">
        <f t="shared" si="326"/>
        <v>1</v>
      </c>
      <c r="T1183">
        <f t="shared" si="327"/>
        <v>2</v>
      </c>
      <c r="U1183">
        <v>200000</v>
      </c>
      <c r="V1183">
        <f t="shared" si="328"/>
        <v>0</v>
      </c>
      <c r="W1183">
        <f t="shared" si="329"/>
        <v>0</v>
      </c>
      <c r="X1183">
        <f t="shared" si="330"/>
        <v>1</v>
      </c>
      <c r="Y1183">
        <f t="shared" si="331"/>
        <v>1</v>
      </c>
      <c r="Z1183">
        <f t="shared" si="332"/>
        <v>1</v>
      </c>
      <c r="AA1183">
        <f t="shared" si="333"/>
        <v>1</v>
      </c>
      <c r="AB1183">
        <f t="shared" si="334"/>
        <v>1</v>
      </c>
      <c r="AC1183">
        <f t="shared" si="335"/>
        <v>1</v>
      </c>
      <c r="AD1183">
        <f t="shared" si="336"/>
        <v>1</v>
      </c>
      <c r="AE1183">
        <f t="shared" si="337"/>
        <v>0</v>
      </c>
      <c r="AF1183">
        <f t="shared" si="338"/>
        <v>0</v>
      </c>
      <c r="AG1183">
        <f t="shared" si="339"/>
        <v>1</v>
      </c>
      <c r="AH1183">
        <f t="shared" si="340"/>
        <v>0</v>
      </c>
      <c r="AI1183">
        <f t="shared" si="341"/>
        <v>0</v>
      </c>
    </row>
    <row r="1184" spans="1:35" x14ac:dyDescent="0.2">
      <c r="A1184">
        <v>400</v>
      </c>
      <c r="B1184" t="s">
        <v>749</v>
      </c>
      <c r="C1184">
        <v>10</v>
      </c>
      <c r="D1184" t="s">
        <v>3299</v>
      </c>
      <c r="E1184" t="s">
        <v>21</v>
      </c>
      <c r="F1184" t="s">
        <v>39</v>
      </c>
      <c r="G1184" t="s">
        <v>39</v>
      </c>
      <c r="H1184" t="s">
        <v>20</v>
      </c>
      <c r="I1184">
        <v>4</v>
      </c>
      <c r="J1184">
        <v>4</v>
      </c>
      <c r="K1184" s="6" t="s">
        <v>3300</v>
      </c>
      <c r="L1184" t="s">
        <v>230</v>
      </c>
      <c r="M1184" t="s">
        <v>468</v>
      </c>
      <c r="N1184" t="s">
        <v>847</v>
      </c>
      <c r="O1184" t="s">
        <v>3301</v>
      </c>
      <c r="P1184" t="s">
        <v>3302</v>
      </c>
      <c r="Q1184">
        <f t="shared" si="324"/>
        <v>1</v>
      </c>
      <c r="R1184">
        <f t="shared" si="325"/>
        <v>5</v>
      </c>
      <c r="S1184">
        <f t="shared" si="326"/>
        <v>5</v>
      </c>
      <c r="T1184">
        <f t="shared" si="327"/>
        <v>2</v>
      </c>
      <c r="U1184">
        <v>1E+30</v>
      </c>
      <c r="V1184">
        <f t="shared" si="328"/>
        <v>1</v>
      </c>
      <c r="W1184">
        <f t="shared" si="329"/>
        <v>1</v>
      </c>
      <c r="X1184">
        <f t="shared" si="330"/>
        <v>1</v>
      </c>
      <c r="Y1184">
        <f t="shared" si="331"/>
        <v>1</v>
      </c>
      <c r="Z1184">
        <f t="shared" si="332"/>
        <v>1</v>
      </c>
      <c r="AA1184">
        <f t="shared" si="333"/>
        <v>1</v>
      </c>
      <c r="AB1184">
        <f t="shared" si="334"/>
        <v>1</v>
      </c>
      <c r="AC1184">
        <f t="shared" si="335"/>
        <v>1</v>
      </c>
      <c r="AD1184">
        <f t="shared" si="336"/>
        <v>1</v>
      </c>
      <c r="AE1184">
        <f t="shared" si="337"/>
        <v>1</v>
      </c>
      <c r="AF1184">
        <f t="shared" si="338"/>
        <v>1</v>
      </c>
      <c r="AG1184">
        <f t="shared" si="339"/>
        <v>0</v>
      </c>
      <c r="AH1184">
        <f t="shared" si="340"/>
        <v>0</v>
      </c>
      <c r="AI1184">
        <f t="shared" si="341"/>
        <v>1</v>
      </c>
    </row>
    <row r="1185" spans="1:35" x14ac:dyDescent="0.2">
      <c r="A1185">
        <v>401</v>
      </c>
      <c r="B1185" t="s">
        <v>749</v>
      </c>
      <c r="C1185">
        <v>6</v>
      </c>
      <c r="D1185" t="s">
        <v>3303</v>
      </c>
      <c r="E1185" t="s">
        <v>19</v>
      </c>
      <c r="F1185" t="s">
        <v>18</v>
      </c>
      <c r="G1185" t="s">
        <v>18</v>
      </c>
      <c r="H1185" t="s">
        <v>19</v>
      </c>
      <c r="I1185">
        <v>3</v>
      </c>
      <c r="J1185">
        <v>1</v>
      </c>
      <c r="K1185" s="1">
        <v>1000</v>
      </c>
      <c r="L1185" t="s">
        <v>435</v>
      </c>
      <c r="M1185" t="s">
        <v>704</v>
      </c>
      <c r="N1185" t="s">
        <v>847</v>
      </c>
      <c r="O1185" t="s">
        <v>504</v>
      </c>
      <c r="P1185" t="s">
        <v>3304</v>
      </c>
      <c r="Q1185">
        <f t="shared" si="324"/>
        <v>3</v>
      </c>
      <c r="R1185">
        <f t="shared" si="325"/>
        <v>4</v>
      </c>
      <c r="S1185">
        <f t="shared" si="326"/>
        <v>4</v>
      </c>
      <c r="T1185">
        <f t="shared" si="327"/>
        <v>3</v>
      </c>
      <c r="U1185">
        <v>1000</v>
      </c>
      <c r="V1185">
        <f t="shared" si="328"/>
        <v>1</v>
      </c>
      <c r="W1185">
        <f t="shared" si="329"/>
        <v>0</v>
      </c>
      <c r="X1185">
        <f t="shared" si="330"/>
        <v>0</v>
      </c>
      <c r="Y1185">
        <f t="shared" si="331"/>
        <v>0</v>
      </c>
      <c r="Z1185">
        <f t="shared" si="332"/>
        <v>1</v>
      </c>
      <c r="AA1185">
        <f t="shared" si="333"/>
        <v>0</v>
      </c>
      <c r="AB1185">
        <f t="shared" si="334"/>
        <v>0</v>
      </c>
      <c r="AC1185">
        <f t="shared" si="335"/>
        <v>1</v>
      </c>
      <c r="AD1185">
        <f t="shared" si="336"/>
        <v>1</v>
      </c>
      <c r="AE1185">
        <f t="shared" si="337"/>
        <v>0</v>
      </c>
      <c r="AF1185">
        <f t="shared" si="338"/>
        <v>1</v>
      </c>
      <c r="AG1185">
        <f t="shared" si="339"/>
        <v>0</v>
      </c>
      <c r="AH1185">
        <f t="shared" si="340"/>
        <v>0</v>
      </c>
      <c r="AI1185">
        <f t="shared" si="341"/>
        <v>1</v>
      </c>
    </row>
    <row r="1186" spans="1:35" x14ac:dyDescent="0.2">
      <c r="A1186">
        <v>402</v>
      </c>
      <c r="B1186" t="s">
        <v>749</v>
      </c>
      <c r="C1186">
        <v>9</v>
      </c>
      <c r="D1186" t="s">
        <v>1412</v>
      </c>
      <c r="E1186" t="s">
        <v>39</v>
      </c>
      <c r="F1186" t="s">
        <v>39</v>
      </c>
      <c r="G1186" t="s">
        <v>39</v>
      </c>
      <c r="H1186" t="s">
        <v>20</v>
      </c>
      <c r="I1186">
        <v>3</v>
      </c>
      <c r="J1186">
        <v>2</v>
      </c>
      <c r="K1186">
        <v>500</v>
      </c>
      <c r="L1186" t="s">
        <v>70</v>
      </c>
      <c r="M1186" t="s">
        <v>781</v>
      </c>
      <c r="N1186" t="s">
        <v>822</v>
      </c>
      <c r="O1186" t="s">
        <v>1077</v>
      </c>
      <c r="P1186" t="s">
        <v>3305</v>
      </c>
      <c r="Q1186">
        <f t="shared" si="324"/>
        <v>5</v>
      </c>
      <c r="R1186">
        <f t="shared" si="325"/>
        <v>5</v>
      </c>
      <c r="S1186">
        <f t="shared" si="326"/>
        <v>5</v>
      </c>
      <c r="T1186">
        <f t="shared" si="327"/>
        <v>2</v>
      </c>
      <c r="U1186">
        <v>500</v>
      </c>
      <c r="V1186">
        <f t="shared" si="328"/>
        <v>0</v>
      </c>
      <c r="W1186">
        <f t="shared" si="329"/>
        <v>0</v>
      </c>
      <c r="X1186">
        <f t="shared" si="330"/>
        <v>0</v>
      </c>
      <c r="Y1186">
        <f t="shared" si="331"/>
        <v>1</v>
      </c>
      <c r="Z1186">
        <f t="shared" si="332"/>
        <v>0</v>
      </c>
      <c r="AA1186">
        <f t="shared" si="333"/>
        <v>0</v>
      </c>
      <c r="AB1186">
        <f t="shared" si="334"/>
        <v>1</v>
      </c>
      <c r="AC1186">
        <f t="shared" si="335"/>
        <v>1</v>
      </c>
      <c r="AD1186">
        <f t="shared" si="336"/>
        <v>1</v>
      </c>
      <c r="AE1186">
        <f t="shared" si="337"/>
        <v>1</v>
      </c>
      <c r="AF1186">
        <f t="shared" si="338"/>
        <v>1</v>
      </c>
      <c r="AG1186">
        <f t="shared" si="339"/>
        <v>1</v>
      </c>
      <c r="AH1186">
        <f t="shared" si="340"/>
        <v>1</v>
      </c>
      <c r="AI1186">
        <f t="shared" si="341"/>
        <v>0</v>
      </c>
    </row>
    <row r="1187" spans="1:35" x14ac:dyDescent="0.2">
      <c r="A1187">
        <v>403</v>
      </c>
      <c r="B1187" t="s">
        <v>749</v>
      </c>
      <c r="C1187">
        <v>8</v>
      </c>
      <c r="D1187" t="s">
        <v>3306</v>
      </c>
      <c r="E1187" t="s">
        <v>18</v>
      </c>
      <c r="F1187" t="s">
        <v>19</v>
      </c>
      <c r="G1187" t="s">
        <v>18</v>
      </c>
      <c r="H1187" t="s">
        <v>19</v>
      </c>
      <c r="I1187">
        <v>3</v>
      </c>
      <c r="J1187">
        <v>2</v>
      </c>
      <c r="K1187" s="1">
        <v>2000</v>
      </c>
      <c r="L1187" t="s">
        <v>194</v>
      </c>
      <c r="M1187" t="s">
        <v>161</v>
      </c>
      <c r="N1187" t="s">
        <v>36</v>
      </c>
      <c r="O1187" t="s">
        <v>3307</v>
      </c>
      <c r="P1187" t="s">
        <v>3308</v>
      </c>
      <c r="Q1187">
        <f t="shared" si="324"/>
        <v>4</v>
      </c>
      <c r="R1187">
        <f t="shared" si="325"/>
        <v>3</v>
      </c>
      <c r="S1187">
        <f t="shared" si="326"/>
        <v>4</v>
      </c>
      <c r="T1187">
        <f t="shared" si="327"/>
        <v>3</v>
      </c>
      <c r="U1187">
        <v>2000</v>
      </c>
      <c r="V1187">
        <f t="shared" si="328"/>
        <v>0</v>
      </c>
      <c r="W1187">
        <f t="shared" si="329"/>
        <v>0</v>
      </c>
      <c r="X1187">
        <f t="shared" si="330"/>
        <v>0</v>
      </c>
      <c r="Y1187">
        <f t="shared" si="331"/>
        <v>1</v>
      </c>
      <c r="Z1187">
        <f t="shared" si="332"/>
        <v>1</v>
      </c>
      <c r="AA1187">
        <f t="shared" si="333"/>
        <v>1</v>
      </c>
      <c r="AB1187">
        <f t="shared" si="334"/>
        <v>1</v>
      </c>
      <c r="AC1187">
        <f t="shared" si="335"/>
        <v>1</v>
      </c>
      <c r="AD1187">
        <f t="shared" si="336"/>
        <v>1</v>
      </c>
      <c r="AE1187">
        <f t="shared" si="337"/>
        <v>0</v>
      </c>
      <c r="AF1187">
        <f t="shared" si="338"/>
        <v>0</v>
      </c>
      <c r="AG1187">
        <f t="shared" si="339"/>
        <v>0</v>
      </c>
      <c r="AH1187">
        <f t="shared" si="340"/>
        <v>0</v>
      </c>
      <c r="AI1187">
        <f t="shared" si="341"/>
        <v>1</v>
      </c>
    </row>
    <row r="1188" spans="1:35" x14ac:dyDescent="0.2">
      <c r="A1188">
        <v>404</v>
      </c>
      <c r="B1188" t="s">
        <v>749</v>
      </c>
      <c r="C1188">
        <v>7</v>
      </c>
      <c r="D1188" t="s">
        <v>3309</v>
      </c>
      <c r="E1188" t="s">
        <v>18</v>
      </c>
      <c r="F1188" t="s">
        <v>18</v>
      </c>
      <c r="G1188" t="s">
        <v>39</v>
      </c>
      <c r="H1188" t="s">
        <v>20</v>
      </c>
      <c r="I1188">
        <v>3</v>
      </c>
      <c r="J1188">
        <v>3</v>
      </c>
      <c r="K1188">
        <v>0</v>
      </c>
      <c r="L1188" t="s">
        <v>714</v>
      </c>
      <c r="M1188" t="s">
        <v>48</v>
      </c>
      <c r="N1188" t="s">
        <v>622</v>
      </c>
      <c r="O1188" t="s">
        <v>3310</v>
      </c>
      <c r="P1188" t="s">
        <v>3311</v>
      </c>
      <c r="Q1188">
        <f t="shared" si="324"/>
        <v>4</v>
      </c>
      <c r="R1188">
        <f t="shared" si="325"/>
        <v>4</v>
      </c>
      <c r="S1188">
        <f t="shared" si="326"/>
        <v>5</v>
      </c>
      <c r="T1188">
        <f t="shared" si="327"/>
        <v>2</v>
      </c>
      <c r="U1188">
        <v>0</v>
      </c>
      <c r="V1188">
        <f t="shared" si="328"/>
        <v>0</v>
      </c>
      <c r="W1188">
        <f t="shared" si="329"/>
        <v>0</v>
      </c>
      <c r="X1188">
        <f t="shared" si="330"/>
        <v>1</v>
      </c>
      <c r="Y1188">
        <f t="shared" si="331"/>
        <v>1</v>
      </c>
      <c r="Z1188">
        <f t="shared" si="332"/>
        <v>1</v>
      </c>
      <c r="AA1188">
        <f t="shared" si="333"/>
        <v>1</v>
      </c>
      <c r="AB1188">
        <f t="shared" si="334"/>
        <v>1</v>
      </c>
      <c r="AC1188">
        <f t="shared" si="335"/>
        <v>1</v>
      </c>
      <c r="AD1188">
        <f t="shared" si="336"/>
        <v>0</v>
      </c>
      <c r="AE1188">
        <f t="shared" si="337"/>
        <v>0</v>
      </c>
      <c r="AF1188">
        <f t="shared" si="338"/>
        <v>0</v>
      </c>
      <c r="AG1188">
        <f t="shared" si="339"/>
        <v>1</v>
      </c>
      <c r="AH1188">
        <f t="shared" si="340"/>
        <v>0</v>
      </c>
      <c r="AI1188">
        <f t="shared" si="341"/>
        <v>1</v>
      </c>
    </row>
    <row r="1189" spans="1:35" x14ac:dyDescent="0.2">
      <c r="A1189">
        <v>405</v>
      </c>
      <c r="B1189" t="s">
        <v>749</v>
      </c>
      <c r="C1189">
        <v>5</v>
      </c>
      <c r="D1189" t="s">
        <v>3312</v>
      </c>
      <c r="E1189" t="s">
        <v>19</v>
      </c>
      <c r="F1189" t="s">
        <v>19</v>
      </c>
      <c r="G1189" t="s">
        <v>18</v>
      </c>
      <c r="H1189" t="s">
        <v>20</v>
      </c>
      <c r="I1189">
        <v>3</v>
      </c>
      <c r="J1189">
        <v>3</v>
      </c>
      <c r="K1189">
        <v>20</v>
      </c>
      <c r="L1189" t="s">
        <v>70</v>
      </c>
      <c r="M1189" t="s">
        <v>468</v>
      </c>
      <c r="N1189" t="s">
        <v>622</v>
      </c>
      <c r="O1189" t="s">
        <v>792</v>
      </c>
      <c r="P1189" t="s">
        <v>3313</v>
      </c>
      <c r="Q1189">
        <f t="shared" si="324"/>
        <v>3</v>
      </c>
      <c r="R1189">
        <f t="shared" si="325"/>
        <v>3</v>
      </c>
      <c r="S1189">
        <f t="shared" si="326"/>
        <v>4</v>
      </c>
      <c r="T1189">
        <f t="shared" si="327"/>
        <v>2</v>
      </c>
      <c r="U1189">
        <v>20</v>
      </c>
      <c r="V1189">
        <f t="shared" si="328"/>
        <v>0</v>
      </c>
      <c r="W1189">
        <f t="shared" si="329"/>
        <v>0</v>
      </c>
      <c r="X1189">
        <f t="shared" si="330"/>
        <v>0</v>
      </c>
      <c r="Y1189">
        <f t="shared" si="331"/>
        <v>1</v>
      </c>
      <c r="Z1189">
        <f t="shared" si="332"/>
        <v>0</v>
      </c>
      <c r="AA1189">
        <f t="shared" si="333"/>
        <v>1</v>
      </c>
      <c r="AB1189">
        <f t="shared" si="334"/>
        <v>1</v>
      </c>
      <c r="AC1189">
        <f t="shared" si="335"/>
        <v>1</v>
      </c>
      <c r="AD1189">
        <f t="shared" si="336"/>
        <v>1</v>
      </c>
      <c r="AE1189">
        <f t="shared" si="337"/>
        <v>1</v>
      </c>
      <c r="AF1189">
        <f t="shared" si="338"/>
        <v>0</v>
      </c>
      <c r="AG1189">
        <f t="shared" si="339"/>
        <v>1</v>
      </c>
      <c r="AH1189">
        <f t="shared" si="340"/>
        <v>0</v>
      </c>
      <c r="AI1189">
        <f t="shared" si="341"/>
        <v>1</v>
      </c>
    </row>
    <row r="1190" spans="1:35" x14ac:dyDescent="0.2">
      <c r="A1190">
        <v>406</v>
      </c>
      <c r="B1190" t="s">
        <v>749</v>
      </c>
      <c r="C1190">
        <v>5</v>
      </c>
      <c r="D1190" t="s">
        <v>3314</v>
      </c>
      <c r="E1190" t="s">
        <v>20</v>
      </c>
      <c r="F1190" t="s">
        <v>18</v>
      </c>
      <c r="G1190" t="s">
        <v>39</v>
      </c>
      <c r="H1190" t="s">
        <v>20</v>
      </c>
      <c r="I1190">
        <v>3</v>
      </c>
      <c r="J1190">
        <v>2</v>
      </c>
      <c r="K1190">
        <v>1000000000</v>
      </c>
      <c r="L1190" t="s">
        <v>70</v>
      </c>
      <c r="M1190" t="s">
        <v>115</v>
      </c>
      <c r="N1190" t="s">
        <v>36</v>
      </c>
      <c r="O1190" t="s">
        <v>1532</v>
      </c>
      <c r="P1190" t="s">
        <v>3315</v>
      </c>
      <c r="Q1190">
        <f t="shared" si="324"/>
        <v>2</v>
      </c>
      <c r="R1190">
        <f t="shared" si="325"/>
        <v>4</v>
      </c>
      <c r="S1190">
        <f t="shared" si="326"/>
        <v>5</v>
      </c>
      <c r="T1190">
        <f t="shared" si="327"/>
        <v>2</v>
      </c>
      <c r="U1190">
        <v>1000000000</v>
      </c>
      <c r="V1190">
        <f t="shared" si="328"/>
        <v>0</v>
      </c>
      <c r="W1190">
        <f t="shared" si="329"/>
        <v>0</v>
      </c>
      <c r="X1190">
        <f t="shared" si="330"/>
        <v>0</v>
      </c>
      <c r="Y1190">
        <f t="shared" si="331"/>
        <v>1</v>
      </c>
      <c r="Z1190">
        <f t="shared" si="332"/>
        <v>0</v>
      </c>
      <c r="AA1190">
        <f t="shared" si="333"/>
        <v>0</v>
      </c>
      <c r="AB1190">
        <f t="shared" si="334"/>
        <v>0</v>
      </c>
      <c r="AC1190">
        <f t="shared" si="335"/>
        <v>1</v>
      </c>
      <c r="AD1190">
        <f t="shared" si="336"/>
        <v>0</v>
      </c>
      <c r="AE1190">
        <f t="shared" si="337"/>
        <v>0</v>
      </c>
      <c r="AF1190">
        <f t="shared" si="338"/>
        <v>0</v>
      </c>
      <c r="AG1190">
        <f t="shared" si="339"/>
        <v>0</v>
      </c>
      <c r="AH1190">
        <f t="shared" si="340"/>
        <v>0</v>
      </c>
      <c r="AI1190">
        <f t="shared" si="341"/>
        <v>1</v>
      </c>
    </row>
    <row r="1191" spans="1:35" x14ac:dyDescent="0.2">
      <c r="A1191">
        <v>407</v>
      </c>
      <c r="B1191" t="s">
        <v>749</v>
      </c>
      <c r="C1191">
        <v>5</v>
      </c>
      <c r="D1191" t="s">
        <v>3316</v>
      </c>
      <c r="E1191" t="s">
        <v>20</v>
      </c>
      <c r="F1191" t="s">
        <v>19</v>
      </c>
      <c r="G1191" t="s">
        <v>19</v>
      </c>
      <c r="H1191" t="s">
        <v>21</v>
      </c>
      <c r="I1191">
        <v>6</v>
      </c>
      <c r="J1191">
        <v>5</v>
      </c>
      <c r="K1191" s="1">
        <v>400</v>
      </c>
      <c r="L1191" t="s">
        <v>714</v>
      </c>
      <c r="M1191" t="s">
        <v>468</v>
      </c>
      <c r="N1191" t="s">
        <v>84</v>
      </c>
      <c r="O1191" t="s">
        <v>3317</v>
      </c>
      <c r="P1191" t="s">
        <v>3318</v>
      </c>
      <c r="Q1191">
        <f t="shared" si="324"/>
        <v>2</v>
      </c>
      <c r="R1191">
        <f t="shared" si="325"/>
        <v>3</v>
      </c>
      <c r="S1191">
        <f t="shared" si="326"/>
        <v>3</v>
      </c>
      <c r="T1191">
        <f t="shared" si="327"/>
        <v>1</v>
      </c>
      <c r="U1191">
        <v>400</v>
      </c>
      <c r="V1191">
        <f t="shared" si="328"/>
        <v>0</v>
      </c>
      <c r="W1191">
        <f t="shared" si="329"/>
        <v>0</v>
      </c>
      <c r="X1191">
        <f t="shared" si="330"/>
        <v>1</v>
      </c>
      <c r="Y1191">
        <f t="shared" si="331"/>
        <v>1</v>
      </c>
      <c r="Z1191">
        <f t="shared" si="332"/>
        <v>1</v>
      </c>
      <c r="AA1191">
        <f t="shared" si="333"/>
        <v>1</v>
      </c>
      <c r="AB1191">
        <f t="shared" si="334"/>
        <v>1</v>
      </c>
      <c r="AC1191">
        <f t="shared" si="335"/>
        <v>1</v>
      </c>
      <c r="AD1191">
        <f t="shared" si="336"/>
        <v>1</v>
      </c>
      <c r="AE1191">
        <f t="shared" si="337"/>
        <v>1</v>
      </c>
      <c r="AF1191">
        <f t="shared" si="338"/>
        <v>0</v>
      </c>
      <c r="AG1191">
        <f t="shared" si="339"/>
        <v>1</v>
      </c>
      <c r="AH1191">
        <f t="shared" si="340"/>
        <v>0</v>
      </c>
      <c r="AI1191">
        <f t="shared" si="341"/>
        <v>0</v>
      </c>
    </row>
    <row r="1192" spans="1:35" x14ac:dyDescent="0.2">
      <c r="A1192">
        <v>408</v>
      </c>
      <c r="B1192" t="s">
        <v>749</v>
      </c>
      <c r="C1192">
        <v>9</v>
      </c>
      <c r="D1192" t="s">
        <v>3319</v>
      </c>
      <c r="E1192" t="s">
        <v>21</v>
      </c>
      <c r="F1192" t="s">
        <v>18</v>
      </c>
      <c r="G1192" t="s">
        <v>39</v>
      </c>
      <c r="H1192" t="s">
        <v>20</v>
      </c>
      <c r="I1192">
        <v>9</v>
      </c>
      <c r="J1192">
        <v>15</v>
      </c>
      <c r="K1192" s="1">
        <v>100</v>
      </c>
      <c r="L1192" t="s">
        <v>494</v>
      </c>
      <c r="M1192" t="s">
        <v>468</v>
      </c>
      <c r="N1192" t="s">
        <v>43</v>
      </c>
      <c r="O1192" t="s">
        <v>3320</v>
      </c>
      <c r="P1192" t="s">
        <v>3321</v>
      </c>
      <c r="Q1192">
        <f t="shared" si="324"/>
        <v>1</v>
      </c>
      <c r="R1192">
        <f t="shared" si="325"/>
        <v>4</v>
      </c>
      <c r="S1192">
        <f t="shared" si="326"/>
        <v>5</v>
      </c>
      <c r="T1192">
        <f t="shared" si="327"/>
        <v>2</v>
      </c>
      <c r="U1192">
        <v>100</v>
      </c>
      <c r="V1192">
        <f t="shared" si="328"/>
        <v>0</v>
      </c>
      <c r="W1192">
        <f t="shared" si="329"/>
        <v>1</v>
      </c>
      <c r="X1192">
        <f t="shared" si="330"/>
        <v>1</v>
      </c>
      <c r="Y1192">
        <f t="shared" si="331"/>
        <v>1</v>
      </c>
      <c r="Z1192">
        <f t="shared" si="332"/>
        <v>1</v>
      </c>
      <c r="AA1192">
        <f t="shared" si="333"/>
        <v>1</v>
      </c>
      <c r="AB1192">
        <f t="shared" si="334"/>
        <v>1</v>
      </c>
      <c r="AC1192">
        <f t="shared" si="335"/>
        <v>1</v>
      </c>
      <c r="AD1192">
        <f t="shared" si="336"/>
        <v>1</v>
      </c>
      <c r="AE1192">
        <f t="shared" si="337"/>
        <v>1</v>
      </c>
      <c r="AF1192">
        <f t="shared" si="338"/>
        <v>1</v>
      </c>
      <c r="AG1192">
        <f t="shared" si="339"/>
        <v>1</v>
      </c>
      <c r="AH1192">
        <f t="shared" si="340"/>
        <v>0</v>
      </c>
      <c r="AI1192">
        <f t="shared" si="341"/>
        <v>0</v>
      </c>
    </row>
    <row r="1193" spans="1:35" x14ac:dyDescent="0.2">
      <c r="A1193">
        <v>409</v>
      </c>
      <c r="B1193" t="s">
        <v>749</v>
      </c>
      <c r="C1193">
        <v>8</v>
      </c>
      <c r="D1193" t="s">
        <v>3322</v>
      </c>
      <c r="E1193" t="s">
        <v>19</v>
      </c>
      <c r="F1193" t="s">
        <v>18</v>
      </c>
      <c r="G1193" t="s">
        <v>39</v>
      </c>
      <c r="H1193" t="s">
        <v>21</v>
      </c>
      <c r="I1193">
        <v>2</v>
      </c>
      <c r="J1193">
        <v>1</v>
      </c>
      <c r="K1193">
        <v>100000000</v>
      </c>
      <c r="L1193" t="s">
        <v>41</v>
      </c>
      <c r="M1193" t="s">
        <v>161</v>
      </c>
      <c r="N1193" t="s">
        <v>147</v>
      </c>
      <c r="O1193" t="s">
        <v>3323</v>
      </c>
      <c r="P1193" t="s">
        <v>3324</v>
      </c>
      <c r="Q1193">
        <f t="shared" si="324"/>
        <v>3</v>
      </c>
      <c r="R1193">
        <f t="shared" si="325"/>
        <v>4</v>
      </c>
      <c r="S1193">
        <f t="shared" si="326"/>
        <v>5</v>
      </c>
      <c r="T1193">
        <f t="shared" si="327"/>
        <v>1</v>
      </c>
      <c r="U1193">
        <v>100000000</v>
      </c>
      <c r="V1193">
        <f t="shared" si="328"/>
        <v>0</v>
      </c>
      <c r="W1193">
        <f t="shared" si="329"/>
        <v>0</v>
      </c>
      <c r="X1193">
        <f t="shared" si="330"/>
        <v>0</v>
      </c>
      <c r="Y1193">
        <f t="shared" si="331"/>
        <v>0</v>
      </c>
      <c r="Z1193">
        <f t="shared" si="332"/>
        <v>1</v>
      </c>
      <c r="AA1193">
        <f t="shared" si="333"/>
        <v>1</v>
      </c>
      <c r="AB1193">
        <f t="shared" si="334"/>
        <v>1</v>
      </c>
      <c r="AC1193">
        <f t="shared" si="335"/>
        <v>1</v>
      </c>
      <c r="AD1193">
        <f t="shared" si="336"/>
        <v>1</v>
      </c>
      <c r="AE1193">
        <f t="shared" si="337"/>
        <v>0</v>
      </c>
      <c r="AF1193">
        <f t="shared" si="338"/>
        <v>0</v>
      </c>
      <c r="AG1193">
        <f t="shared" si="339"/>
        <v>0</v>
      </c>
      <c r="AH1193">
        <f t="shared" si="340"/>
        <v>1</v>
      </c>
      <c r="AI1193">
        <f t="shared" si="341"/>
        <v>1</v>
      </c>
    </row>
    <row r="1194" spans="1:35" x14ac:dyDescent="0.2">
      <c r="A1194">
        <v>410</v>
      </c>
      <c r="B1194" t="s">
        <v>749</v>
      </c>
      <c r="C1194">
        <v>6</v>
      </c>
      <c r="D1194" t="s">
        <v>3325</v>
      </c>
      <c r="E1194" t="s">
        <v>19</v>
      </c>
      <c r="F1194" t="s">
        <v>18</v>
      </c>
      <c r="G1194" t="s">
        <v>18</v>
      </c>
      <c r="H1194" t="s">
        <v>21</v>
      </c>
      <c r="I1194">
        <v>2</v>
      </c>
      <c r="J1194">
        <v>7</v>
      </c>
      <c r="K1194">
        <v>500</v>
      </c>
      <c r="L1194" t="s">
        <v>75</v>
      </c>
      <c r="M1194" t="s">
        <v>123</v>
      </c>
      <c r="N1194" t="s">
        <v>84</v>
      </c>
      <c r="O1194" t="s">
        <v>3326</v>
      </c>
      <c r="P1194" t="s">
        <v>3327</v>
      </c>
      <c r="Q1194">
        <f t="shared" si="324"/>
        <v>3</v>
      </c>
      <c r="R1194">
        <f t="shared" si="325"/>
        <v>4</v>
      </c>
      <c r="S1194">
        <f t="shared" si="326"/>
        <v>4</v>
      </c>
      <c r="T1194">
        <f t="shared" si="327"/>
        <v>1</v>
      </c>
      <c r="U1194">
        <v>500</v>
      </c>
      <c r="V1194">
        <f t="shared" si="328"/>
        <v>0</v>
      </c>
      <c r="W1194">
        <f t="shared" si="329"/>
        <v>0</v>
      </c>
      <c r="X1194">
        <f t="shared" si="330"/>
        <v>1</v>
      </c>
      <c r="Y1194">
        <f t="shared" si="331"/>
        <v>1</v>
      </c>
      <c r="Z1194">
        <f t="shared" si="332"/>
        <v>0</v>
      </c>
      <c r="AA1194">
        <f t="shared" si="333"/>
        <v>0</v>
      </c>
      <c r="AB1194">
        <f t="shared" si="334"/>
        <v>1</v>
      </c>
      <c r="AC1194">
        <f t="shared" si="335"/>
        <v>1</v>
      </c>
      <c r="AD1194">
        <f t="shared" si="336"/>
        <v>0</v>
      </c>
      <c r="AE1194">
        <f t="shared" si="337"/>
        <v>0</v>
      </c>
      <c r="AF1194">
        <f t="shared" si="338"/>
        <v>0</v>
      </c>
      <c r="AG1194">
        <f t="shared" si="339"/>
        <v>1</v>
      </c>
      <c r="AH1194">
        <f t="shared" si="340"/>
        <v>0</v>
      </c>
      <c r="AI1194">
        <f t="shared" si="341"/>
        <v>0</v>
      </c>
    </row>
    <row r="1195" spans="1:35" x14ac:dyDescent="0.2">
      <c r="A1195">
        <v>411</v>
      </c>
      <c r="B1195" t="s">
        <v>749</v>
      </c>
      <c r="C1195">
        <v>10</v>
      </c>
      <c r="D1195" t="s">
        <v>3328</v>
      </c>
      <c r="E1195" t="s">
        <v>18</v>
      </c>
      <c r="F1195" t="s">
        <v>18</v>
      </c>
      <c r="G1195" t="s">
        <v>39</v>
      </c>
      <c r="H1195" t="s">
        <v>20</v>
      </c>
      <c r="I1195">
        <v>3</v>
      </c>
      <c r="J1195">
        <v>3</v>
      </c>
      <c r="K1195">
        <v>100</v>
      </c>
      <c r="L1195" t="s">
        <v>601</v>
      </c>
      <c r="M1195" t="s">
        <v>48</v>
      </c>
      <c r="N1195" t="s">
        <v>43</v>
      </c>
      <c r="O1195" t="s">
        <v>504</v>
      </c>
      <c r="P1195" t="s">
        <v>3329</v>
      </c>
      <c r="Q1195">
        <f t="shared" si="324"/>
        <v>4</v>
      </c>
      <c r="R1195">
        <f t="shared" si="325"/>
        <v>4</v>
      </c>
      <c r="S1195">
        <f t="shared" si="326"/>
        <v>5</v>
      </c>
      <c r="T1195">
        <f t="shared" si="327"/>
        <v>2</v>
      </c>
      <c r="U1195">
        <v>100</v>
      </c>
      <c r="V1195">
        <f t="shared" si="328"/>
        <v>0</v>
      </c>
      <c r="W1195">
        <f t="shared" si="329"/>
        <v>1</v>
      </c>
      <c r="X1195">
        <f t="shared" si="330"/>
        <v>0</v>
      </c>
      <c r="Y1195">
        <f t="shared" si="331"/>
        <v>1</v>
      </c>
      <c r="Z1195">
        <f t="shared" si="332"/>
        <v>1</v>
      </c>
      <c r="AA1195">
        <f t="shared" si="333"/>
        <v>1</v>
      </c>
      <c r="AB1195">
        <f t="shared" si="334"/>
        <v>1</v>
      </c>
      <c r="AC1195">
        <f t="shared" si="335"/>
        <v>1</v>
      </c>
      <c r="AD1195">
        <f t="shared" si="336"/>
        <v>0</v>
      </c>
      <c r="AE1195">
        <f t="shared" si="337"/>
        <v>0</v>
      </c>
      <c r="AF1195">
        <f t="shared" si="338"/>
        <v>1</v>
      </c>
      <c r="AG1195">
        <f t="shared" si="339"/>
        <v>1</v>
      </c>
      <c r="AH1195">
        <f t="shared" si="340"/>
        <v>0</v>
      </c>
      <c r="AI1195">
        <f t="shared" si="341"/>
        <v>0</v>
      </c>
    </row>
    <row r="1196" spans="1:35" x14ac:dyDescent="0.2">
      <c r="A1196">
        <v>412</v>
      </c>
      <c r="B1196" t="s">
        <v>749</v>
      </c>
      <c r="C1196">
        <v>5</v>
      </c>
      <c r="D1196" t="s">
        <v>3330</v>
      </c>
      <c r="E1196" t="s">
        <v>18</v>
      </c>
      <c r="F1196" t="s">
        <v>18</v>
      </c>
      <c r="G1196" t="s">
        <v>18</v>
      </c>
      <c r="H1196" t="s">
        <v>21</v>
      </c>
      <c r="I1196">
        <v>3</v>
      </c>
      <c r="J1196">
        <v>4</v>
      </c>
      <c r="K1196" t="s">
        <v>3331</v>
      </c>
      <c r="L1196" t="s">
        <v>601</v>
      </c>
      <c r="M1196" t="s">
        <v>48</v>
      </c>
      <c r="N1196" t="s">
        <v>84</v>
      </c>
      <c r="O1196" t="s">
        <v>3332</v>
      </c>
      <c r="P1196" t="s">
        <v>3333</v>
      </c>
      <c r="Q1196">
        <f t="shared" si="324"/>
        <v>4</v>
      </c>
      <c r="R1196">
        <f t="shared" si="325"/>
        <v>4</v>
      </c>
      <c r="S1196">
        <f t="shared" si="326"/>
        <v>4</v>
      </c>
      <c r="T1196">
        <f t="shared" si="327"/>
        <v>1</v>
      </c>
      <c r="U1196">
        <v>50</v>
      </c>
      <c r="V1196">
        <f t="shared" si="328"/>
        <v>0</v>
      </c>
      <c r="W1196">
        <f t="shared" si="329"/>
        <v>1</v>
      </c>
      <c r="X1196">
        <f t="shared" si="330"/>
        <v>0</v>
      </c>
      <c r="Y1196">
        <f t="shared" si="331"/>
        <v>1</v>
      </c>
      <c r="Z1196">
        <f t="shared" si="332"/>
        <v>1</v>
      </c>
      <c r="AA1196">
        <f t="shared" si="333"/>
        <v>1</v>
      </c>
      <c r="AB1196">
        <f t="shared" si="334"/>
        <v>1</v>
      </c>
      <c r="AC1196">
        <f t="shared" si="335"/>
        <v>1</v>
      </c>
      <c r="AD1196">
        <f t="shared" si="336"/>
        <v>0</v>
      </c>
      <c r="AE1196">
        <f t="shared" si="337"/>
        <v>0</v>
      </c>
      <c r="AF1196">
        <f t="shared" si="338"/>
        <v>0</v>
      </c>
      <c r="AG1196">
        <f t="shared" si="339"/>
        <v>1</v>
      </c>
      <c r="AH1196">
        <f t="shared" si="340"/>
        <v>0</v>
      </c>
      <c r="AI1196">
        <f t="shared" si="341"/>
        <v>0</v>
      </c>
    </row>
    <row r="1197" spans="1:35" x14ac:dyDescent="0.2">
      <c r="A1197">
        <v>413</v>
      </c>
      <c r="B1197" t="s">
        <v>749</v>
      </c>
      <c r="C1197">
        <v>7</v>
      </c>
      <c r="D1197" t="s">
        <v>3334</v>
      </c>
      <c r="E1197" t="s">
        <v>21</v>
      </c>
      <c r="F1197" t="s">
        <v>39</v>
      </c>
      <c r="G1197" t="s">
        <v>39</v>
      </c>
      <c r="H1197" t="s">
        <v>21</v>
      </c>
      <c r="I1197">
        <v>2</v>
      </c>
      <c r="J1197">
        <v>4</v>
      </c>
      <c r="K1197">
        <v>100</v>
      </c>
      <c r="L1197" t="s">
        <v>194</v>
      </c>
      <c r="M1197" t="s">
        <v>123</v>
      </c>
      <c r="N1197" t="s">
        <v>84</v>
      </c>
      <c r="O1197" t="s">
        <v>3335</v>
      </c>
      <c r="P1197" t="s">
        <v>3336</v>
      </c>
      <c r="Q1197">
        <f t="shared" si="324"/>
        <v>1</v>
      </c>
      <c r="R1197">
        <f t="shared" si="325"/>
        <v>5</v>
      </c>
      <c r="S1197">
        <f t="shared" si="326"/>
        <v>5</v>
      </c>
      <c r="T1197">
        <f t="shared" si="327"/>
        <v>1</v>
      </c>
      <c r="U1197">
        <v>100</v>
      </c>
      <c r="V1197">
        <f t="shared" si="328"/>
        <v>0</v>
      </c>
      <c r="W1197">
        <f t="shared" si="329"/>
        <v>0</v>
      </c>
      <c r="X1197">
        <f t="shared" si="330"/>
        <v>0</v>
      </c>
      <c r="Y1197">
        <f t="shared" si="331"/>
        <v>1</v>
      </c>
      <c r="Z1197">
        <f t="shared" si="332"/>
        <v>1</v>
      </c>
      <c r="AA1197">
        <f t="shared" si="333"/>
        <v>0</v>
      </c>
      <c r="AB1197">
        <f t="shared" si="334"/>
        <v>1</v>
      </c>
      <c r="AC1197">
        <f t="shared" si="335"/>
        <v>1</v>
      </c>
      <c r="AD1197">
        <f t="shared" si="336"/>
        <v>0</v>
      </c>
      <c r="AE1197">
        <f t="shared" si="337"/>
        <v>0</v>
      </c>
      <c r="AF1197">
        <f t="shared" si="338"/>
        <v>0</v>
      </c>
      <c r="AG1197">
        <f t="shared" si="339"/>
        <v>1</v>
      </c>
      <c r="AH1197">
        <f t="shared" si="340"/>
        <v>0</v>
      </c>
      <c r="AI1197">
        <f t="shared" si="341"/>
        <v>0</v>
      </c>
    </row>
    <row r="1198" spans="1:35" x14ac:dyDescent="0.2">
      <c r="A1198">
        <v>414</v>
      </c>
      <c r="B1198" t="s">
        <v>749</v>
      </c>
      <c r="C1198">
        <v>7</v>
      </c>
      <c r="D1198" t="s">
        <v>3337</v>
      </c>
      <c r="E1198" t="s">
        <v>18</v>
      </c>
      <c r="F1198" t="s">
        <v>19</v>
      </c>
      <c r="G1198" t="s">
        <v>20</v>
      </c>
      <c r="H1198" t="s">
        <v>18</v>
      </c>
      <c r="I1198">
        <v>3</v>
      </c>
      <c r="J1198">
        <v>2</v>
      </c>
      <c r="K1198">
        <v>8</v>
      </c>
      <c r="L1198" t="s">
        <v>98</v>
      </c>
      <c r="M1198" t="s">
        <v>42</v>
      </c>
      <c r="N1198" t="s">
        <v>36</v>
      </c>
      <c r="O1198" t="s">
        <v>3338</v>
      </c>
      <c r="P1198" t="s">
        <v>3339</v>
      </c>
      <c r="Q1198">
        <f t="shared" si="324"/>
        <v>4</v>
      </c>
      <c r="R1198">
        <f t="shared" si="325"/>
        <v>3</v>
      </c>
      <c r="S1198">
        <f t="shared" si="326"/>
        <v>2</v>
      </c>
      <c r="T1198">
        <f t="shared" si="327"/>
        <v>4</v>
      </c>
      <c r="U1198">
        <v>8</v>
      </c>
      <c r="V1198">
        <f t="shared" si="328"/>
        <v>0</v>
      </c>
      <c r="W1198">
        <f t="shared" si="329"/>
        <v>1</v>
      </c>
      <c r="X1198">
        <f t="shared" si="330"/>
        <v>0</v>
      </c>
      <c r="Y1198">
        <f t="shared" si="331"/>
        <v>0</v>
      </c>
      <c r="Z1198">
        <f t="shared" si="332"/>
        <v>0</v>
      </c>
      <c r="AA1198">
        <f t="shared" si="333"/>
        <v>0</v>
      </c>
      <c r="AB1198">
        <f t="shared" si="334"/>
        <v>1</v>
      </c>
      <c r="AC1198">
        <f t="shared" si="335"/>
        <v>0</v>
      </c>
      <c r="AD1198">
        <f t="shared" si="336"/>
        <v>0</v>
      </c>
      <c r="AE1198">
        <f t="shared" si="337"/>
        <v>0</v>
      </c>
      <c r="AF1198">
        <f t="shared" si="338"/>
        <v>0</v>
      </c>
      <c r="AG1198">
        <f t="shared" si="339"/>
        <v>0</v>
      </c>
      <c r="AH1198">
        <f t="shared" si="340"/>
        <v>0</v>
      </c>
      <c r="AI1198">
        <f t="shared" si="341"/>
        <v>1</v>
      </c>
    </row>
    <row r="1199" spans="1:35" x14ac:dyDescent="0.2">
      <c r="A1199">
        <v>415</v>
      </c>
      <c r="B1199" t="s">
        <v>749</v>
      </c>
      <c r="C1199">
        <v>8</v>
      </c>
      <c r="D1199" t="s">
        <v>3340</v>
      </c>
      <c r="E1199" t="s">
        <v>18</v>
      </c>
      <c r="F1199" t="s">
        <v>20</v>
      </c>
      <c r="G1199" t="s">
        <v>39</v>
      </c>
      <c r="H1199" t="s">
        <v>20</v>
      </c>
      <c r="I1199">
        <v>2</v>
      </c>
      <c r="J1199">
        <v>4</v>
      </c>
      <c r="K1199" s="1">
        <v>10</v>
      </c>
      <c r="L1199" t="s">
        <v>98</v>
      </c>
      <c r="M1199" t="s">
        <v>42</v>
      </c>
      <c r="N1199" t="s">
        <v>36</v>
      </c>
      <c r="O1199" t="s">
        <v>148</v>
      </c>
      <c r="P1199" t="s">
        <v>3341</v>
      </c>
      <c r="Q1199">
        <f t="shared" si="324"/>
        <v>4</v>
      </c>
      <c r="R1199">
        <f t="shared" si="325"/>
        <v>2</v>
      </c>
      <c r="S1199">
        <f t="shared" si="326"/>
        <v>5</v>
      </c>
      <c r="T1199">
        <f t="shared" si="327"/>
        <v>2</v>
      </c>
      <c r="U1199">
        <v>10</v>
      </c>
      <c r="V1199">
        <f t="shared" si="328"/>
        <v>0</v>
      </c>
      <c r="W1199">
        <f t="shared" si="329"/>
        <v>1</v>
      </c>
      <c r="X1199">
        <f t="shared" si="330"/>
        <v>0</v>
      </c>
      <c r="Y1199">
        <f t="shared" si="331"/>
        <v>0</v>
      </c>
      <c r="Z1199">
        <f t="shared" si="332"/>
        <v>0</v>
      </c>
      <c r="AA1199">
        <f t="shared" si="333"/>
        <v>0</v>
      </c>
      <c r="AB1199">
        <f t="shared" si="334"/>
        <v>1</v>
      </c>
      <c r="AC1199">
        <f t="shared" si="335"/>
        <v>0</v>
      </c>
      <c r="AD1199">
        <f t="shared" si="336"/>
        <v>0</v>
      </c>
      <c r="AE1199">
        <f t="shared" si="337"/>
        <v>0</v>
      </c>
      <c r="AF1199">
        <f t="shared" si="338"/>
        <v>0</v>
      </c>
      <c r="AG1199">
        <f t="shared" si="339"/>
        <v>0</v>
      </c>
      <c r="AH1199">
        <f t="shared" si="340"/>
        <v>0</v>
      </c>
      <c r="AI1199">
        <f t="shared" si="341"/>
        <v>1</v>
      </c>
    </row>
    <row r="1200" spans="1:35" x14ac:dyDescent="0.2">
      <c r="A1200">
        <v>416</v>
      </c>
      <c r="B1200" t="s">
        <v>749</v>
      </c>
      <c r="C1200">
        <v>9</v>
      </c>
      <c r="D1200" t="s">
        <v>452</v>
      </c>
      <c r="E1200" t="s">
        <v>19</v>
      </c>
      <c r="F1200" t="s">
        <v>18</v>
      </c>
      <c r="G1200" t="s">
        <v>18</v>
      </c>
      <c r="H1200" t="s">
        <v>20</v>
      </c>
      <c r="I1200">
        <v>5</v>
      </c>
      <c r="J1200">
        <v>6</v>
      </c>
      <c r="K1200">
        <v>100</v>
      </c>
      <c r="L1200" t="s">
        <v>562</v>
      </c>
      <c r="M1200" t="s">
        <v>280</v>
      </c>
      <c r="N1200" t="s">
        <v>147</v>
      </c>
      <c r="O1200" t="s">
        <v>2192</v>
      </c>
      <c r="P1200" t="s">
        <v>3342</v>
      </c>
      <c r="Q1200">
        <f t="shared" si="324"/>
        <v>3</v>
      </c>
      <c r="R1200">
        <f t="shared" si="325"/>
        <v>4</v>
      </c>
      <c r="S1200">
        <f t="shared" si="326"/>
        <v>4</v>
      </c>
      <c r="T1200">
        <f t="shared" si="327"/>
        <v>2</v>
      </c>
      <c r="U1200">
        <v>100</v>
      </c>
      <c r="V1200">
        <f t="shared" si="328"/>
        <v>0</v>
      </c>
      <c r="W1200">
        <f t="shared" si="329"/>
        <v>1</v>
      </c>
      <c r="X1200">
        <f t="shared" si="330"/>
        <v>1</v>
      </c>
      <c r="Y1200">
        <f t="shared" si="331"/>
        <v>0</v>
      </c>
      <c r="Z1200">
        <f t="shared" si="332"/>
        <v>1</v>
      </c>
      <c r="AA1200">
        <f t="shared" si="333"/>
        <v>0</v>
      </c>
      <c r="AB1200">
        <f t="shared" si="334"/>
        <v>1</v>
      </c>
      <c r="AC1200">
        <f t="shared" si="335"/>
        <v>1</v>
      </c>
      <c r="AD1200">
        <f t="shared" si="336"/>
        <v>1</v>
      </c>
      <c r="AE1200">
        <f t="shared" si="337"/>
        <v>0</v>
      </c>
      <c r="AF1200">
        <f t="shared" si="338"/>
        <v>0</v>
      </c>
      <c r="AG1200">
        <f t="shared" si="339"/>
        <v>0</v>
      </c>
      <c r="AH1200">
        <f t="shared" si="340"/>
        <v>1</v>
      </c>
      <c r="AI1200">
        <f t="shared" si="341"/>
        <v>1</v>
      </c>
    </row>
    <row r="1201" spans="1:35" x14ac:dyDescent="0.2">
      <c r="A1201">
        <v>417</v>
      </c>
      <c r="B1201" t="s">
        <v>749</v>
      </c>
      <c r="C1201">
        <v>7</v>
      </c>
      <c r="D1201" t="s">
        <v>3343</v>
      </c>
      <c r="E1201" t="s">
        <v>20</v>
      </c>
      <c r="F1201" t="s">
        <v>18</v>
      </c>
      <c r="G1201" t="s">
        <v>19</v>
      </c>
      <c r="H1201" t="s">
        <v>20</v>
      </c>
      <c r="I1201">
        <v>3</v>
      </c>
      <c r="J1201">
        <v>3</v>
      </c>
      <c r="K1201">
        <v>30</v>
      </c>
      <c r="L1201" t="s">
        <v>230</v>
      </c>
      <c r="M1201" t="s">
        <v>291</v>
      </c>
      <c r="N1201" t="s">
        <v>622</v>
      </c>
      <c r="O1201" t="s">
        <v>3344</v>
      </c>
      <c r="P1201" t="s">
        <v>3345</v>
      </c>
      <c r="Q1201">
        <f t="shared" si="324"/>
        <v>2</v>
      </c>
      <c r="R1201">
        <f t="shared" si="325"/>
        <v>4</v>
      </c>
      <c r="S1201">
        <f t="shared" si="326"/>
        <v>3</v>
      </c>
      <c r="T1201">
        <f t="shared" si="327"/>
        <v>2</v>
      </c>
      <c r="U1201">
        <v>30</v>
      </c>
      <c r="V1201">
        <f t="shared" si="328"/>
        <v>1</v>
      </c>
      <c r="W1201">
        <f t="shared" si="329"/>
        <v>1</v>
      </c>
      <c r="X1201">
        <f t="shared" si="330"/>
        <v>1</v>
      </c>
      <c r="Y1201">
        <f t="shared" si="331"/>
        <v>1</v>
      </c>
      <c r="Z1201">
        <f t="shared" si="332"/>
        <v>1</v>
      </c>
      <c r="AA1201">
        <f t="shared" si="333"/>
        <v>0</v>
      </c>
      <c r="AB1201">
        <f t="shared" si="334"/>
        <v>1</v>
      </c>
      <c r="AC1201">
        <f t="shared" si="335"/>
        <v>0</v>
      </c>
      <c r="AD1201">
        <f t="shared" si="336"/>
        <v>1</v>
      </c>
      <c r="AE1201">
        <f t="shared" si="337"/>
        <v>0</v>
      </c>
      <c r="AF1201">
        <f t="shared" si="338"/>
        <v>0</v>
      </c>
      <c r="AG1201">
        <f t="shared" si="339"/>
        <v>1</v>
      </c>
      <c r="AH1201">
        <f t="shared" si="340"/>
        <v>0</v>
      </c>
      <c r="AI1201">
        <f t="shared" si="341"/>
        <v>1</v>
      </c>
    </row>
    <row r="1202" spans="1:35" x14ac:dyDescent="0.2">
      <c r="A1202">
        <v>418</v>
      </c>
      <c r="B1202" t="s">
        <v>749</v>
      </c>
      <c r="C1202">
        <v>6</v>
      </c>
      <c r="D1202" t="s">
        <v>3346</v>
      </c>
      <c r="E1202" t="s">
        <v>20</v>
      </c>
      <c r="F1202" t="s">
        <v>18</v>
      </c>
      <c r="G1202" t="s">
        <v>39</v>
      </c>
      <c r="H1202" t="s">
        <v>21</v>
      </c>
      <c r="I1202">
        <v>3</v>
      </c>
      <c r="J1202">
        <v>4</v>
      </c>
      <c r="K1202" s="1">
        <v>50</v>
      </c>
      <c r="L1202" t="s">
        <v>41</v>
      </c>
      <c r="M1202" t="s">
        <v>123</v>
      </c>
      <c r="N1202" t="s">
        <v>24</v>
      </c>
      <c r="O1202" t="s">
        <v>1457</v>
      </c>
      <c r="P1202" t="s">
        <v>3347</v>
      </c>
      <c r="Q1202">
        <f t="shared" si="324"/>
        <v>2</v>
      </c>
      <c r="R1202">
        <f t="shared" si="325"/>
        <v>4</v>
      </c>
      <c r="S1202">
        <f t="shared" si="326"/>
        <v>5</v>
      </c>
      <c r="T1202">
        <f t="shared" si="327"/>
        <v>1</v>
      </c>
      <c r="U1202">
        <v>50</v>
      </c>
      <c r="V1202">
        <f t="shared" si="328"/>
        <v>0</v>
      </c>
      <c r="W1202">
        <f t="shared" si="329"/>
        <v>0</v>
      </c>
      <c r="X1202">
        <f t="shared" si="330"/>
        <v>0</v>
      </c>
      <c r="Y1202">
        <f t="shared" si="331"/>
        <v>0</v>
      </c>
      <c r="Z1202">
        <f t="shared" si="332"/>
        <v>1</v>
      </c>
      <c r="AA1202">
        <f t="shared" si="333"/>
        <v>0</v>
      </c>
      <c r="AB1202">
        <f t="shared" si="334"/>
        <v>1</v>
      </c>
      <c r="AC1202">
        <f t="shared" si="335"/>
        <v>1</v>
      </c>
      <c r="AD1202">
        <f t="shared" si="336"/>
        <v>0</v>
      </c>
      <c r="AE1202">
        <f t="shared" si="337"/>
        <v>0</v>
      </c>
      <c r="AF1202">
        <f t="shared" si="338"/>
        <v>0</v>
      </c>
      <c r="AG1202">
        <f t="shared" si="339"/>
        <v>0</v>
      </c>
      <c r="AH1202">
        <f t="shared" si="340"/>
        <v>1</v>
      </c>
      <c r="AI1202">
        <f t="shared" si="341"/>
        <v>0</v>
      </c>
    </row>
    <row r="1203" spans="1:35" x14ac:dyDescent="0.2">
      <c r="A1203">
        <v>419</v>
      </c>
      <c r="B1203" t="s">
        <v>749</v>
      </c>
      <c r="C1203">
        <v>10</v>
      </c>
      <c r="D1203" t="s">
        <v>3348</v>
      </c>
      <c r="E1203" t="s">
        <v>19</v>
      </c>
      <c r="F1203" t="s">
        <v>18</v>
      </c>
      <c r="G1203" t="s">
        <v>39</v>
      </c>
      <c r="H1203" t="s">
        <v>21</v>
      </c>
      <c r="I1203">
        <v>3</v>
      </c>
      <c r="J1203">
        <v>1</v>
      </c>
      <c r="K1203" s="1">
        <v>100</v>
      </c>
      <c r="L1203" t="s">
        <v>70</v>
      </c>
      <c r="M1203" t="s">
        <v>115</v>
      </c>
      <c r="N1203" t="s">
        <v>36</v>
      </c>
      <c r="O1203" t="s">
        <v>3349</v>
      </c>
      <c r="P1203" t="s">
        <v>3350</v>
      </c>
      <c r="Q1203">
        <f t="shared" si="324"/>
        <v>3</v>
      </c>
      <c r="R1203">
        <f t="shared" si="325"/>
        <v>4</v>
      </c>
      <c r="S1203">
        <f t="shared" si="326"/>
        <v>5</v>
      </c>
      <c r="T1203">
        <f t="shared" si="327"/>
        <v>1</v>
      </c>
      <c r="U1203">
        <v>100</v>
      </c>
      <c r="V1203">
        <f t="shared" si="328"/>
        <v>0</v>
      </c>
      <c r="W1203">
        <f t="shared" si="329"/>
        <v>0</v>
      </c>
      <c r="X1203">
        <f t="shared" si="330"/>
        <v>0</v>
      </c>
      <c r="Y1203">
        <f t="shared" si="331"/>
        <v>1</v>
      </c>
      <c r="Z1203">
        <f t="shared" si="332"/>
        <v>0</v>
      </c>
      <c r="AA1203">
        <f t="shared" si="333"/>
        <v>0</v>
      </c>
      <c r="AB1203">
        <f t="shared" si="334"/>
        <v>0</v>
      </c>
      <c r="AC1203">
        <f t="shared" si="335"/>
        <v>1</v>
      </c>
      <c r="AD1203">
        <f t="shared" si="336"/>
        <v>0</v>
      </c>
      <c r="AE1203">
        <f t="shared" si="337"/>
        <v>0</v>
      </c>
      <c r="AF1203">
        <f t="shared" si="338"/>
        <v>0</v>
      </c>
      <c r="AG1203">
        <f t="shared" si="339"/>
        <v>0</v>
      </c>
      <c r="AH1203">
        <f t="shared" si="340"/>
        <v>0</v>
      </c>
      <c r="AI1203">
        <f t="shared" si="341"/>
        <v>1</v>
      </c>
    </row>
    <row r="1204" spans="1:35" x14ac:dyDescent="0.2">
      <c r="A1204">
        <v>420</v>
      </c>
      <c r="B1204" t="s">
        <v>749</v>
      </c>
      <c r="C1204">
        <v>9</v>
      </c>
      <c r="D1204" t="s">
        <v>3351</v>
      </c>
      <c r="E1204" t="s">
        <v>19</v>
      </c>
      <c r="F1204" t="s">
        <v>20</v>
      </c>
      <c r="G1204" t="s">
        <v>19</v>
      </c>
      <c r="H1204" t="s">
        <v>20</v>
      </c>
      <c r="I1204">
        <v>4</v>
      </c>
      <c r="J1204">
        <v>5</v>
      </c>
      <c r="K1204" t="s">
        <v>3352</v>
      </c>
      <c r="L1204" t="s">
        <v>70</v>
      </c>
      <c r="M1204" t="s">
        <v>23</v>
      </c>
      <c r="N1204" t="s">
        <v>84</v>
      </c>
      <c r="O1204" t="s">
        <v>3353</v>
      </c>
      <c r="P1204" t="s">
        <v>3354</v>
      </c>
      <c r="Q1204">
        <f t="shared" si="324"/>
        <v>3</v>
      </c>
      <c r="R1204">
        <f t="shared" si="325"/>
        <v>2</v>
      </c>
      <c r="S1204">
        <f t="shared" si="326"/>
        <v>3</v>
      </c>
      <c r="T1204">
        <f t="shared" si="327"/>
        <v>2</v>
      </c>
      <c r="U1204">
        <v>100000</v>
      </c>
      <c r="V1204">
        <f t="shared" si="328"/>
        <v>0</v>
      </c>
      <c r="W1204">
        <f t="shared" si="329"/>
        <v>0</v>
      </c>
      <c r="X1204">
        <f t="shared" si="330"/>
        <v>0</v>
      </c>
      <c r="Y1204">
        <f t="shared" si="331"/>
        <v>1</v>
      </c>
      <c r="Z1204">
        <f t="shared" si="332"/>
        <v>0</v>
      </c>
      <c r="AA1204">
        <f t="shared" si="333"/>
        <v>1</v>
      </c>
      <c r="AB1204">
        <f t="shared" si="334"/>
        <v>0</v>
      </c>
      <c r="AC1204">
        <f t="shared" si="335"/>
        <v>0</v>
      </c>
      <c r="AD1204">
        <f t="shared" si="336"/>
        <v>0</v>
      </c>
      <c r="AE1204">
        <f t="shared" si="337"/>
        <v>0</v>
      </c>
      <c r="AF1204">
        <f t="shared" si="338"/>
        <v>0</v>
      </c>
      <c r="AG1204">
        <f t="shared" si="339"/>
        <v>1</v>
      </c>
      <c r="AH1204">
        <f t="shared" si="340"/>
        <v>0</v>
      </c>
      <c r="AI1204">
        <f t="shared" si="341"/>
        <v>0</v>
      </c>
    </row>
    <row r="1205" spans="1:35" x14ac:dyDescent="0.2">
      <c r="A1205">
        <v>421</v>
      </c>
      <c r="B1205" t="s">
        <v>749</v>
      </c>
      <c r="C1205">
        <v>6</v>
      </c>
      <c r="D1205" t="s">
        <v>3355</v>
      </c>
      <c r="E1205" t="s">
        <v>18</v>
      </c>
      <c r="F1205" t="s">
        <v>18</v>
      </c>
      <c r="G1205" t="s">
        <v>19</v>
      </c>
      <c r="H1205" t="s">
        <v>19</v>
      </c>
      <c r="I1205">
        <v>3</v>
      </c>
      <c r="J1205">
        <v>14</v>
      </c>
      <c r="K1205">
        <v>1000000</v>
      </c>
      <c r="L1205" t="s">
        <v>714</v>
      </c>
      <c r="M1205" t="s">
        <v>468</v>
      </c>
      <c r="N1205" t="s">
        <v>36</v>
      </c>
      <c r="O1205" t="s">
        <v>3356</v>
      </c>
      <c r="P1205" t="s">
        <v>3357</v>
      </c>
      <c r="Q1205">
        <f t="shared" si="324"/>
        <v>4</v>
      </c>
      <c r="R1205">
        <f t="shared" si="325"/>
        <v>4</v>
      </c>
      <c r="S1205">
        <f t="shared" si="326"/>
        <v>3</v>
      </c>
      <c r="T1205">
        <f t="shared" si="327"/>
        <v>3</v>
      </c>
      <c r="U1205">
        <v>1000000</v>
      </c>
      <c r="V1205">
        <f t="shared" si="328"/>
        <v>0</v>
      </c>
      <c r="W1205">
        <f t="shared" si="329"/>
        <v>0</v>
      </c>
      <c r="X1205">
        <f t="shared" si="330"/>
        <v>1</v>
      </c>
      <c r="Y1205">
        <f t="shared" si="331"/>
        <v>1</v>
      </c>
      <c r="Z1205">
        <f t="shared" si="332"/>
        <v>1</v>
      </c>
      <c r="AA1205">
        <f t="shared" si="333"/>
        <v>1</v>
      </c>
      <c r="AB1205">
        <f t="shared" si="334"/>
        <v>1</v>
      </c>
      <c r="AC1205">
        <f t="shared" si="335"/>
        <v>1</v>
      </c>
      <c r="AD1205">
        <f t="shared" si="336"/>
        <v>1</v>
      </c>
      <c r="AE1205">
        <f t="shared" si="337"/>
        <v>1</v>
      </c>
      <c r="AF1205">
        <f t="shared" si="338"/>
        <v>0</v>
      </c>
      <c r="AG1205">
        <f t="shared" si="339"/>
        <v>0</v>
      </c>
      <c r="AH1205">
        <f t="shared" si="340"/>
        <v>0</v>
      </c>
      <c r="AI1205">
        <f t="shared" si="341"/>
        <v>1</v>
      </c>
    </row>
    <row r="1206" spans="1:35" x14ac:dyDescent="0.2">
      <c r="A1206">
        <v>422</v>
      </c>
      <c r="B1206" t="s">
        <v>749</v>
      </c>
      <c r="C1206">
        <v>6</v>
      </c>
      <c r="D1206" t="s">
        <v>3358</v>
      </c>
      <c r="E1206" t="s">
        <v>21</v>
      </c>
      <c r="F1206" t="s">
        <v>18</v>
      </c>
      <c r="G1206" t="s">
        <v>18</v>
      </c>
      <c r="H1206" t="s">
        <v>21</v>
      </c>
      <c r="I1206">
        <v>3</v>
      </c>
      <c r="J1206">
        <v>3</v>
      </c>
      <c r="K1206">
        <v>300</v>
      </c>
      <c r="L1206" t="s">
        <v>494</v>
      </c>
      <c r="M1206" t="s">
        <v>48</v>
      </c>
      <c r="N1206" t="s">
        <v>36</v>
      </c>
      <c r="O1206" t="s">
        <v>1077</v>
      </c>
      <c r="P1206" t="s">
        <v>3359</v>
      </c>
      <c r="Q1206">
        <f t="shared" si="324"/>
        <v>1</v>
      </c>
      <c r="R1206">
        <f t="shared" si="325"/>
        <v>4</v>
      </c>
      <c r="S1206">
        <f t="shared" si="326"/>
        <v>4</v>
      </c>
      <c r="T1206">
        <f t="shared" si="327"/>
        <v>1</v>
      </c>
      <c r="U1206">
        <v>300</v>
      </c>
      <c r="V1206">
        <f t="shared" si="328"/>
        <v>0</v>
      </c>
      <c r="W1206">
        <f t="shared" si="329"/>
        <v>1</v>
      </c>
      <c r="X1206">
        <f t="shared" si="330"/>
        <v>1</v>
      </c>
      <c r="Y1206">
        <f t="shared" si="331"/>
        <v>1</v>
      </c>
      <c r="Z1206">
        <f t="shared" si="332"/>
        <v>1</v>
      </c>
      <c r="AA1206">
        <f t="shared" si="333"/>
        <v>1</v>
      </c>
      <c r="AB1206">
        <f t="shared" si="334"/>
        <v>1</v>
      </c>
      <c r="AC1206">
        <f t="shared" si="335"/>
        <v>1</v>
      </c>
      <c r="AD1206">
        <f t="shared" si="336"/>
        <v>0</v>
      </c>
      <c r="AE1206">
        <f t="shared" si="337"/>
        <v>0</v>
      </c>
      <c r="AF1206">
        <f t="shared" si="338"/>
        <v>0</v>
      </c>
      <c r="AG1206">
        <f t="shared" si="339"/>
        <v>0</v>
      </c>
      <c r="AH1206">
        <f t="shared" si="340"/>
        <v>0</v>
      </c>
      <c r="AI1206">
        <f t="shared" si="341"/>
        <v>1</v>
      </c>
    </row>
    <row r="1207" spans="1:35" x14ac:dyDescent="0.2">
      <c r="A1207">
        <v>423</v>
      </c>
      <c r="B1207" t="s">
        <v>749</v>
      </c>
      <c r="C1207">
        <v>7</v>
      </c>
      <c r="D1207" t="s">
        <v>3360</v>
      </c>
      <c r="E1207" t="s">
        <v>20</v>
      </c>
      <c r="F1207" t="s">
        <v>18</v>
      </c>
      <c r="G1207" t="s">
        <v>18</v>
      </c>
      <c r="H1207" t="s">
        <v>19</v>
      </c>
      <c r="I1207">
        <v>2</v>
      </c>
      <c r="J1207">
        <v>3</v>
      </c>
      <c r="K1207">
        <v>35</v>
      </c>
      <c r="L1207" t="s">
        <v>70</v>
      </c>
      <c r="M1207" t="s">
        <v>99</v>
      </c>
      <c r="N1207" t="s">
        <v>147</v>
      </c>
      <c r="O1207" t="s">
        <v>3361</v>
      </c>
      <c r="P1207" t="s">
        <v>3362</v>
      </c>
      <c r="Q1207">
        <f t="shared" si="324"/>
        <v>2</v>
      </c>
      <c r="R1207">
        <f t="shared" si="325"/>
        <v>4</v>
      </c>
      <c r="S1207">
        <f t="shared" si="326"/>
        <v>4</v>
      </c>
      <c r="T1207">
        <f t="shared" si="327"/>
        <v>3</v>
      </c>
      <c r="U1207">
        <v>35</v>
      </c>
      <c r="V1207">
        <f t="shared" si="328"/>
        <v>0</v>
      </c>
      <c r="W1207">
        <f t="shared" si="329"/>
        <v>0</v>
      </c>
      <c r="X1207">
        <f t="shared" si="330"/>
        <v>0</v>
      </c>
      <c r="Y1207">
        <f t="shared" si="331"/>
        <v>1</v>
      </c>
      <c r="Z1207">
        <f t="shared" si="332"/>
        <v>0</v>
      </c>
      <c r="AA1207">
        <f t="shared" si="333"/>
        <v>1</v>
      </c>
      <c r="AB1207">
        <f t="shared" si="334"/>
        <v>0</v>
      </c>
      <c r="AC1207">
        <f t="shared" si="335"/>
        <v>0</v>
      </c>
      <c r="AD1207">
        <f t="shared" si="336"/>
        <v>0</v>
      </c>
      <c r="AE1207">
        <f t="shared" si="337"/>
        <v>1</v>
      </c>
      <c r="AF1207">
        <f t="shared" si="338"/>
        <v>0</v>
      </c>
      <c r="AG1207">
        <f t="shared" si="339"/>
        <v>0</v>
      </c>
      <c r="AH1207">
        <f t="shared" si="340"/>
        <v>1</v>
      </c>
      <c r="AI1207">
        <f t="shared" si="341"/>
        <v>1</v>
      </c>
    </row>
    <row r="1208" spans="1:35" x14ac:dyDescent="0.2">
      <c r="A1208">
        <v>424</v>
      </c>
      <c r="B1208" t="s">
        <v>749</v>
      </c>
      <c r="C1208">
        <v>7</v>
      </c>
      <c r="D1208" t="s">
        <v>3363</v>
      </c>
      <c r="E1208" t="s">
        <v>39</v>
      </c>
      <c r="F1208" t="s">
        <v>19</v>
      </c>
      <c r="G1208" t="s">
        <v>20</v>
      </c>
      <c r="H1208" t="s">
        <v>18</v>
      </c>
      <c r="I1208">
        <v>3</v>
      </c>
      <c r="J1208">
        <v>2</v>
      </c>
      <c r="K1208">
        <v>50</v>
      </c>
      <c r="L1208" t="s">
        <v>194</v>
      </c>
      <c r="M1208" t="s">
        <v>291</v>
      </c>
      <c r="N1208" t="s">
        <v>24</v>
      </c>
      <c r="O1208" t="s">
        <v>836</v>
      </c>
      <c r="P1208" t="s">
        <v>3364</v>
      </c>
      <c r="Q1208">
        <f t="shared" si="324"/>
        <v>5</v>
      </c>
      <c r="R1208">
        <f t="shared" si="325"/>
        <v>3</v>
      </c>
      <c r="S1208">
        <f t="shared" si="326"/>
        <v>2</v>
      </c>
      <c r="T1208">
        <f t="shared" si="327"/>
        <v>4</v>
      </c>
      <c r="U1208">
        <v>50</v>
      </c>
      <c r="V1208">
        <f t="shared" si="328"/>
        <v>0</v>
      </c>
      <c r="W1208">
        <f t="shared" si="329"/>
        <v>0</v>
      </c>
      <c r="X1208">
        <f t="shared" si="330"/>
        <v>0</v>
      </c>
      <c r="Y1208">
        <f t="shared" si="331"/>
        <v>1</v>
      </c>
      <c r="Z1208">
        <f t="shared" si="332"/>
        <v>1</v>
      </c>
      <c r="AA1208">
        <f t="shared" si="333"/>
        <v>0</v>
      </c>
      <c r="AB1208">
        <f t="shared" si="334"/>
        <v>1</v>
      </c>
      <c r="AC1208">
        <f t="shared" si="335"/>
        <v>0</v>
      </c>
      <c r="AD1208">
        <f t="shared" si="336"/>
        <v>1</v>
      </c>
      <c r="AE1208">
        <f t="shared" si="337"/>
        <v>0</v>
      </c>
      <c r="AF1208">
        <f t="shared" si="338"/>
        <v>0</v>
      </c>
      <c r="AG1208">
        <f t="shared" si="339"/>
        <v>0</v>
      </c>
      <c r="AH1208">
        <f t="shared" si="340"/>
        <v>1</v>
      </c>
      <c r="AI1208">
        <f t="shared" si="341"/>
        <v>0</v>
      </c>
    </row>
    <row r="1209" spans="1:35" x14ac:dyDescent="0.2">
      <c r="A1209">
        <v>425</v>
      </c>
      <c r="B1209" t="s">
        <v>749</v>
      </c>
      <c r="C1209">
        <v>8</v>
      </c>
      <c r="D1209" t="s">
        <v>3365</v>
      </c>
      <c r="E1209" t="s">
        <v>21</v>
      </c>
      <c r="F1209" t="s">
        <v>39</v>
      </c>
      <c r="G1209" t="s">
        <v>18</v>
      </c>
      <c r="H1209" t="s">
        <v>21</v>
      </c>
      <c r="I1209">
        <v>3</v>
      </c>
      <c r="J1209">
        <v>2</v>
      </c>
      <c r="K1209">
        <v>50</v>
      </c>
      <c r="L1209" t="s">
        <v>70</v>
      </c>
      <c r="M1209" t="s">
        <v>23</v>
      </c>
      <c r="N1209" t="s">
        <v>215</v>
      </c>
      <c r="O1209" t="s">
        <v>593</v>
      </c>
      <c r="P1209" t="s">
        <v>3366</v>
      </c>
      <c r="Q1209">
        <f t="shared" si="324"/>
        <v>1</v>
      </c>
      <c r="R1209">
        <f t="shared" si="325"/>
        <v>5</v>
      </c>
      <c r="S1209">
        <f t="shared" si="326"/>
        <v>4</v>
      </c>
      <c r="T1209">
        <f t="shared" si="327"/>
        <v>1</v>
      </c>
      <c r="U1209">
        <v>50</v>
      </c>
      <c r="V1209">
        <f t="shared" si="328"/>
        <v>0</v>
      </c>
      <c r="W1209">
        <f t="shared" si="329"/>
        <v>0</v>
      </c>
      <c r="X1209">
        <f t="shared" si="330"/>
        <v>0</v>
      </c>
      <c r="Y1209">
        <f t="shared" si="331"/>
        <v>1</v>
      </c>
      <c r="Z1209">
        <f t="shared" si="332"/>
        <v>0</v>
      </c>
      <c r="AA1209">
        <f t="shared" si="333"/>
        <v>1</v>
      </c>
      <c r="AB1209">
        <f t="shared" si="334"/>
        <v>0</v>
      </c>
      <c r="AC1209">
        <f t="shared" si="335"/>
        <v>0</v>
      </c>
      <c r="AD1209">
        <f t="shared" si="336"/>
        <v>0</v>
      </c>
      <c r="AE1209">
        <f t="shared" si="337"/>
        <v>0</v>
      </c>
      <c r="AF1209">
        <f t="shared" si="338"/>
        <v>1</v>
      </c>
      <c r="AG1209">
        <f t="shared" si="339"/>
        <v>0</v>
      </c>
      <c r="AH1209">
        <f t="shared" si="340"/>
        <v>0</v>
      </c>
      <c r="AI1209">
        <f t="shared" si="341"/>
        <v>0</v>
      </c>
    </row>
    <row r="1210" spans="1:35" x14ac:dyDescent="0.2">
      <c r="A1210">
        <v>426</v>
      </c>
      <c r="B1210" t="s">
        <v>749</v>
      </c>
      <c r="C1210">
        <v>2</v>
      </c>
      <c r="D1210" t="s">
        <v>1130</v>
      </c>
      <c r="E1210" t="s">
        <v>19</v>
      </c>
      <c r="F1210" t="s">
        <v>18</v>
      </c>
      <c r="G1210" t="s">
        <v>18</v>
      </c>
      <c r="H1210" t="s">
        <v>21</v>
      </c>
      <c r="I1210">
        <v>5</v>
      </c>
      <c r="J1210">
        <v>3</v>
      </c>
      <c r="K1210" s="1">
        <v>10</v>
      </c>
      <c r="L1210" t="s">
        <v>70</v>
      </c>
      <c r="M1210" t="s">
        <v>42</v>
      </c>
      <c r="N1210" t="s">
        <v>36</v>
      </c>
      <c r="O1210" t="s">
        <v>310</v>
      </c>
      <c r="P1210" t="s">
        <v>3367</v>
      </c>
      <c r="Q1210">
        <f t="shared" si="324"/>
        <v>3</v>
      </c>
      <c r="R1210">
        <f t="shared" si="325"/>
        <v>4</v>
      </c>
      <c r="S1210">
        <f t="shared" si="326"/>
        <v>4</v>
      </c>
      <c r="T1210">
        <f t="shared" si="327"/>
        <v>1</v>
      </c>
      <c r="U1210">
        <v>10</v>
      </c>
      <c r="V1210">
        <f t="shared" si="328"/>
        <v>0</v>
      </c>
      <c r="W1210">
        <f t="shared" si="329"/>
        <v>0</v>
      </c>
      <c r="X1210">
        <f t="shared" si="330"/>
        <v>0</v>
      </c>
      <c r="Y1210">
        <f t="shared" si="331"/>
        <v>1</v>
      </c>
      <c r="Z1210">
        <f t="shared" si="332"/>
        <v>0</v>
      </c>
      <c r="AA1210">
        <f t="shared" si="333"/>
        <v>0</v>
      </c>
      <c r="AB1210">
        <f t="shared" si="334"/>
        <v>1</v>
      </c>
      <c r="AC1210">
        <f t="shared" si="335"/>
        <v>0</v>
      </c>
      <c r="AD1210">
        <f t="shared" si="336"/>
        <v>0</v>
      </c>
      <c r="AE1210">
        <f t="shared" si="337"/>
        <v>0</v>
      </c>
      <c r="AF1210">
        <f t="shared" si="338"/>
        <v>0</v>
      </c>
      <c r="AG1210">
        <f t="shared" si="339"/>
        <v>0</v>
      </c>
      <c r="AH1210">
        <f t="shared" si="340"/>
        <v>0</v>
      </c>
      <c r="AI1210">
        <f t="shared" si="341"/>
        <v>1</v>
      </c>
    </row>
    <row r="1211" spans="1:35" x14ac:dyDescent="0.2">
      <c r="A1211">
        <v>427</v>
      </c>
      <c r="B1211" t="s">
        <v>749</v>
      </c>
      <c r="C1211">
        <v>6</v>
      </c>
      <c r="D1211" t="s">
        <v>3368</v>
      </c>
      <c r="E1211" t="s">
        <v>18</v>
      </c>
      <c r="F1211" t="s">
        <v>20</v>
      </c>
      <c r="G1211" t="s">
        <v>19</v>
      </c>
      <c r="H1211" t="s">
        <v>19</v>
      </c>
      <c r="I1211">
        <v>3</v>
      </c>
      <c r="J1211">
        <v>2</v>
      </c>
      <c r="K1211" s="1">
        <v>75</v>
      </c>
      <c r="L1211" t="s">
        <v>79</v>
      </c>
      <c r="M1211" t="s">
        <v>161</v>
      </c>
      <c r="N1211" t="s">
        <v>43</v>
      </c>
      <c r="O1211" t="s">
        <v>409</v>
      </c>
      <c r="P1211" t="s">
        <v>3369</v>
      </c>
      <c r="Q1211">
        <f t="shared" si="324"/>
        <v>4</v>
      </c>
      <c r="R1211">
        <f t="shared" si="325"/>
        <v>2</v>
      </c>
      <c r="S1211">
        <f t="shared" si="326"/>
        <v>3</v>
      </c>
      <c r="T1211">
        <f t="shared" si="327"/>
        <v>3</v>
      </c>
      <c r="U1211">
        <v>75</v>
      </c>
      <c r="V1211">
        <f t="shared" si="328"/>
        <v>0</v>
      </c>
      <c r="W1211">
        <f t="shared" si="329"/>
        <v>1</v>
      </c>
      <c r="X1211">
        <f t="shared" si="330"/>
        <v>0</v>
      </c>
      <c r="Y1211">
        <f t="shared" si="331"/>
        <v>0</v>
      </c>
      <c r="Z1211">
        <f t="shared" si="332"/>
        <v>1</v>
      </c>
      <c r="AA1211">
        <f t="shared" si="333"/>
        <v>1</v>
      </c>
      <c r="AB1211">
        <f t="shared" si="334"/>
        <v>1</v>
      </c>
      <c r="AC1211">
        <f t="shared" si="335"/>
        <v>1</v>
      </c>
      <c r="AD1211">
        <f t="shared" si="336"/>
        <v>1</v>
      </c>
      <c r="AE1211">
        <f t="shared" si="337"/>
        <v>0</v>
      </c>
      <c r="AF1211">
        <f t="shared" si="338"/>
        <v>1</v>
      </c>
      <c r="AG1211">
        <f t="shared" si="339"/>
        <v>1</v>
      </c>
      <c r="AH1211">
        <f t="shared" si="340"/>
        <v>0</v>
      </c>
      <c r="AI1211">
        <f t="shared" si="341"/>
        <v>0</v>
      </c>
    </row>
    <row r="1212" spans="1:35" x14ac:dyDescent="0.2">
      <c r="A1212">
        <v>428</v>
      </c>
      <c r="B1212" t="s">
        <v>749</v>
      </c>
      <c r="C1212">
        <v>5</v>
      </c>
      <c r="D1212" t="s">
        <v>3370</v>
      </c>
      <c r="E1212" t="s">
        <v>21</v>
      </c>
      <c r="F1212" t="s">
        <v>19</v>
      </c>
      <c r="G1212" t="s">
        <v>18</v>
      </c>
      <c r="H1212" t="s">
        <v>20</v>
      </c>
      <c r="I1212">
        <v>3</v>
      </c>
      <c r="J1212">
        <v>2</v>
      </c>
      <c r="K1212">
        <v>200</v>
      </c>
      <c r="L1212" t="s">
        <v>22</v>
      </c>
      <c r="M1212" t="s">
        <v>123</v>
      </c>
      <c r="N1212" t="s">
        <v>215</v>
      </c>
      <c r="O1212" t="s">
        <v>3371</v>
      </c>
      <c r="P1212" t="s">
        <v>3372</v>
      </c>
      <c r="Q1212">
        <f t="shared" si="324"/>
        <v>1</v>
      </c>
      <c r="R1212">
        <f t="shared" si="325"/>
        <v>3</v>
      </c>
      <c r="S1212">
        <f t="shared" si="326"/>
        <v>4</v>
      </c>
      <c r="T1212">
        <f t="shared" si="327"/>
        <v>2</v>
      </c>
      <c r="U1212">
        <v>200</v>
      </c>
      <c r="V1212">
        <f t="shared" si="328"/>
        <v>1</v>
      </c>
      <c r="W1212">
        <f t="shared" si="329"/>
        <v>0</v>
      </c>
      <c r="X1212">
        <f t="shared" si="330"/>
        <v>0</v>
      </c>
      <c r="Y1212">
        <f t="shared" si="331"/>
        <v>0</v>
      </c>
      <c r="Z1212">
        <f t="shared" si="332"/>
        <v>0</v>
      </c>
      <c r="AA1212">
        <f t="shared" si="333"/>
        <v>0</v>
      </c>
      <c r="AB1212">
        <f t="shared" si="334"/>
        <v>1</v>
      </c>
      <c r="AC1212">
        <f t="shared" si="335"/>
        <v>1</v>
      </c>
      <c r="AD1212">
        <f t="shared" si="336"/>
        <v>0</v>
      </c>
      <c r="AE1212">
        <f t="shared" si="337"/>
        <v>0</v>
      </c>
      <c r="AF1212">
        <f t="shared" si="338"/>
        <v>1</v>
      </c>
      <c r="AG1212">
        <f t="shared" si="339"/>
        <v>0</v>
      </c>
      <c r="AH1212">
        <f t="shared" si="340"/>
        <v>0</v>
      </c>
      <c r="AI1212">
        <f t="shared" si="341"/>
        <v>0</v>
      </c>
    </row>
    <row r="1213" spans="1:35" x14ac:dyDescent="0.2">
      <c r="A1213">
        <v>429</v>
      </c>
      <c r="B1213" t="s">
        <v>749</v>
      </c>
      <c r="C1213">
        <v>10</v>
      </c>
      <c r="D1213" t="s">
        <v>2097</v>
      </c>
      <c r="E1213" t="s">
        <v>19</v>
      </c>
      <c r="F1213" t="s">
        <v>21</v>
      </c>
      <c r="G1213" t="s">
        <v>20</v>
      </c>
      <c r="H1213" t="s">
        <v>18</v>
      </c>
      <c r="I1213">
        <v>5</v>
      </c>
      <c r="J1213">
        <v>2</v>
      </c>
      <c r="K1213">
        <v>10000</v>
      </c>
      <c r="L1213" t="s">
        <v>230</v>
      </c>
      <c r="M1213" t="s">
        <v>135</v>
      </c>
      <c r="N1213" t="s">
        <v>36</v>
      </c>
      <c r="O1213" t="s">
        <v>3373</v>
      </c>
      <c r="P1213" t="s">
        <v>3374</v>
      </c>
      <c r="Q1213">
        <f t="shared" si="324"/>
        <v>3</v>
      </c>
      <c r="R1213">
        <f t="shared" si="325"/>
        <v>1</v>
      </c>
      <c r="S1213">
        <f t="shared" si="326"/>
        <v>2</v>
      </c>
      <c r="T1213">
        <f t="shared" si="327"/>
        <v>4</v>
      </c>
      <c r="U1213">
        <v>10000</v>
      </c>
      <c r="V1213">
        <f t="shared" si="328"/>
        <v>1</v>
      </c>
      <c r="W1213">
        <f t="shared" si="329"/>
        <v>1</v>
      </c>
      <c r="X1213">
        <f t="shared" si="330"/>
        <v>1</v>
      </c>
      <c r="Y1213">
        <f t="shared" si="331"/>
        <v>1</v>
      </c>
      <c r="Z1213">
        <f t="shared" si="332"/>
        <v>1</v>
      </c>
      <c r="AA1213">
        <f t="shared" si="333"/>
        <v>1</v>
      </c>
      <c r="AB1213">
        <f t="shared" si="334"/>
        <v>1</v>
      </c>
      <c r="AC1213">
        <f t="shared" si="335"/>
        <v>0</v>
      </c>
      <c r="AD1213">
        <f t="shared" si="336"/>
        <v>0</v>
      </c>
      <c r="AE1213">
        <f t="shared" si="337"/>
        <v>0</v>
      </c>
      <c r="AF1213">
        <f t="shared" si="338"/>
        <v>0</v>
      </c>
      <c r="AG1213">
        <f t="shared" si="339"/>
        <v>0</v>
      </c>
      <c r="AH1213">
        <f t="shared" si="340"/>
        <v>0</v>
      </c>
      <c r="AI1213">
        <f t="shared" si="341"/>
        <v>1</v>
      </c>
    </row>
    <row r="1214" spans="1:35" x14ac:dyDescent="0.2">
      <c r="A1214">
        <v>430</v>
      </c>
      <c r="B1214" t="s">
        <v>749</v>
      </c>
      <c r="C1214">
        <v>9</v>
      </c>
      <c r="D1214" t="s">
        <v>3375</v>
      </c>
      <c r="E1214" t="s">
        <v>39</v>
      </c>
      <c r="F1214" t="s">
        <v>39</v>
      </c>
      <c r="G1214" t="s">
        <v>39</v>
      </c>
      <c r="H1214" t="s">
        <v>21</v>
      </c>
      <c r="I1214">
        <v>8</v>
      </c>
      <c r="J1214">
        <v>14</v>
      </c>
      <c r="K1214" t="s">
        <v>3376</v>
      </c>
      <c r="L1214" t="s">
        <v>714</v>
      </c>
      <c r="M1214" t="s">
        <v>161</v>
      </c>
      <c r="N1214" t="s">
        <v>942</v>
      </c>
      <c r="O1214" t="s">
        <v>3377</v>
      </c>
      <c r="P1214" t="s">
        <v>3378</v>
      </c>
      <c r="Q1214">
        <f t="shared" si="324"/>
        <v>5</v>
      </c>
      <c r="R1214">
        <f t="shared" si="325"/>
        <v>5</v>
      </c>
      <c r="S1214">
        <f t="shared" si="326"/>
        <v>5</v>
      </c>
      <c r="T1214">
        <f t="shared" si="327"/>
        <v>1</v>
      </c>
      <c r="U1214">
        <v>50</v>
      </c>
      <c r="V1214">
        <f t="shared" si="328"/>
        <v>0</v>
      </c>
      <c r="W1214">
        <f t="shared" si="329"/>
        <v>0</v>
      </c>
      <c r="X1214">
        <f t="shared" si="330"/>
        <v>1</v>
      </c>
      <c r="Y1214">
        <f t="shared" si="331"/>
        <v>1</v>
      </c>
      <c r="Z1214">
        <f t="shared" si="332"/>
        <v>1</v>
      </c>
      <c r="AA1214">
        <f t="shared" si="333"/>
        <v>1</v>
      </c>
      <c r="AB1214">
        <f t="shared" si="334"/>
        <v>1</v>
      </c>
      <c r="AC1214">
        <f t="shared" si="335"/>
        <v>1</v>
      </c>
      <c r="AD1214">
        <f t="shared" si="336"/>
        <v>1</v>
      </c>
      <c r="AE1214">
        <f t="shared" si="337"/>
        <v>0</v>
      </c>
      <c r="AF1214">
        <f t="shared" si="338"/>
        <v>1</v>
      </c>
      <c r="AG1214">
        <f t="shared" si="339"/>
        <v>1</v>
      </c>
      <c r="AH1214">
        <f t="shared" si="340"/>
        <v>0</v>
      </c>
      <c r="AI1214">
        <f t="shared" si="341"/>
        <v>1</v>
      </c>
    </row>
    <row r="1215" spans="1:35" x14ac:dyDescent="0.2">
      <c r="A1215">
        <v>431</v>
      </c>
      <c r="B1215" t="s">
        <v>749</v>
      </c>
      <c r="C1215">
        <v>6</v>
      </c>
      <c r="D1215" t="s">
        <v>3379</v>
      </c>
      <c r="E1215" t="s">
        <v>20</v>
      </c>
      <c r="F1215" t="s">
        <v>19</v>
      </c>
      <c r="G1215" t="s">
        <v>18</v>
      </c>
      <c r="H1215" t="s">
        <v>21</v>
      </c>
      <c r="I1215">
        <v>4</v>
      </c>
      <c r="J1215">
        <v>4</v>
      </c>
      <c r="K1215">
        <v>125</v>
      </c>
      <c r="L1215" t="s">
        <v>70</v>
      </c>
      <c r="M1215" t="s">
        <v>42</v>
      </c>
      <c r="N1215" t="s">
        <v>36</v>
      </c>
      <c r="O1215" t="s">
        <v>3380</v>
      </c>
      <c r="P1215" t="s">
        <v>3381</v>
      </c>
      <c r="Q1215">
        <f t="shared" si="324"/>
        <v>2</v>
      </c>
      <c r="R1215">
        <f t="shared" si="325"/>
        <v>3</v>
      </c>
      <c r="S1215">
        <f t="shared" si="326"/>
        <v>4</v>
      </c>
      <c r="T1215">
        <f t="shared" si="327"/>
        <v>1</v>
      </c>
      <c r="U1215">
        <v>125</v>
      </c>
      <c r="V1215">
        <f t="shared" si="328"/>
        <v>0</v>
      </c>
      <c r="W1215">
        <f t="shared" si="329"/>
        <v>0</v>
      </c>
      <c r="X1215">
        <f t="shared" si="330"/>
        <v>0</v>
      </c>
      <c r="Y1215">
        <f t="shared" si="331"/>
        <v>1</v>
      </c>
      <c r="Z1215">
        <f t="shared" si="332"/>
        <v>0</v>
      </c>
      <c r="AA1215">
        <f t="shared" si="333"/>
        <v>0</v>
      </c>
      <c r="AB1215">
        <f t="shared" si="334"/>
        <v>1</v>
      </c>
      <c r="AC1215">
        <f t="shared" si="335"/>
        <v>0</v>
      </c>
      <c r="AD1215">
        <f t="shared" si="336"/>
        <v>0</v>
      </c>
      <c r="AE1215">
        <f t="shared" si="337"/>
        <v>0</v>
      </c>
      <c r="AF1215">
        <f t="shared" si="338"/>
        <v>0</v>
      </c>
      <c r="AG1215">
        <f t="shared" si="339"/>
        <v>0</v>
      </c>
      <c r="AH1215">
        <f t="shared" si="340"/>
        <v>0</v>
      </c>
      <c r="AI1215">
        <f t="shared" si="341"/>
        <v>1</v>
      </c>
    </row>
    <row r="1216" spans="1:35" x14ac:dyDescent="0.2">
      <c r="A1216">
        <v>432</v>
      </c>
      <c r="B1216" t="s">
        <v>749</v>
      </c>
      <c r="C1216">
        <v>6</v>
      </c>
      <c r="D1216" t="s">
        <v>3382</v>
      </c>
      <c r="E1216" t="s">
        <v>18</v>
      </c>
      <c r="F1216" t="s">
        <v>20</v>
      </c>
      <c r="G1216" t="s">
        <v>19</v>
      </c>
      <c r="H1216" t="s">
        <v>18</v>
      </c>
      <c r="I1216">
        <v>3</v>
      </c>
      <c r="J1216">
        <v>3</v>
      </c>
      <c r="K1216" s="1">
        <v>10</v>
      </c>
      <c r="L1216" t="s">
        <v>41</v>
      </c>
      <c r="M1216" t="s">
        <v>23</v>
      </c>
      <c r="N1216" t="s">
        <v>36</v>
      </c>
      <c r="O1216" t="s">
        <v>3383</v>
      </c>
      <c r="P1216" t="s">
        <v>3384</v>
      </c>
      <c r="Q1216">
        <f t="shared" si="324"/>
        <v>4</v>
      </c>
      <c r="R1216">
        <f t="shared" si="325"/>
        <v>2</v>
      </c>
      <c r="S1216">
        <f t="shared" si="326"/>
        <v>3</v>
      </c>
      <c r="T1216">
        <f t="shared" si="327"/>
        <v>4</v>
      </c>
      <c r="U1216">
        <v>10</v>
      </c>
      <c r="V1216">
        <f t="shared" si="328"/>
        <v>0</v>
      </c>
      <c r="W1216">
        <f t="shared" si="329"/>
        <v>0</v>
      </c>
      <c r="X1216">
        <f t="shared" si="330"/>
        <v>0</v>
      </c>
      <c r="Y1216">
        <f t="shared" si="331"/>
        <v>0</v>
      </c>
      <c r="Z1216">
        <f t="shared" si="332"/>
        <v>1</v>
      </c>
      <c r="AA1216">
        <f t="shared" si="333"/>
        <v>1</v>
      </c>
      <c r="AB1216">
        <f t="shared" si="334"/>
        <v>0</v>
      </c>
      <c r="AC1216">
        <f t="shared" si="335"/>
        <v>0</v>
      </c>
      <c r="AD1216">
        <f t="shared" si="336"/>
        <v>0</v>
      </c>
      <c r="AE1216">
        <f t="shared" si="337"/>
        <v>0</v>
      </c>
      <c r="AF1216">
        <f t="shared" si="338"/>
        <v>0</v>
      </c>
      <c r="AG1216">
        <f t="shared" si="339"/>
        <v>0</v>
      </c>
      <c r="AH1216">
        <f t="shared" si="340"/>
        <v>0</v>
      </c>
      <c r="AI1216">
        <f t="shared" si="341"/>
        <v>1</v>
      </c>
    </row>
    <row r="1217" spans="1:35" x14ac:dyDescent="0.2">
      <c r="A1217">
        <v>433</v>
      </c>
      <c r="B1217" t="s">
        <v>749</v>
      </c>
      <c r="C1217">
        <v>10</v>
      </c>
      <c r="D1217" t="s">
        <v>3385</v>
      </c>
      <c r="E1217" t="s">
        <v>39</v>
      </c>
      <c r="F1217" t="s">
        <v>39</v>
      </c>
      <c r="G1217" t="s">
        <v>39</v>
      </c>
      <c r="H1217" t="s">
        <v>21</v>
      </c>
      <c r="I1217">
        <v>4</v>
      </c>
      <c r="J1217">
        <v>3</v>
      </c>
      <c r="K1217">
        <v>50</v>
      </c>
      <c r="L1217" t="s">
        <v>70</v>
      </c>
      <c r="M1217" t="s">
        <v>23</v>
      </c>
      <c r="N1217" t="s">
        <v>36</v>
      </c>
      <c r="O1217" t="s">
        <v>590</v>
      </c>
      <c r="P1217" t="s">
        <v>3386</v>
      </c>
      <c r="Q1217">
        <f t="shared" si="324"/>
        <v>5</v>
      </c>
      <c r="R1217">
        <f t="shared" si="325"/>
        <v>5</v>
      </c>
      <c r="S1217">
        <f t="shared" si="326"/>
        <v>5</v>
      </c>
      <c r="T1217">
        <f t="shared" si="327"/>
        <v>1</v>
      </c>
      <c r="U1217">
        <v>50</v>
      </c>
      <c r="V1217">
        <f t="shared" si="328"/>
        <v>0</v>
      </c>
      <c r="W1217">
        <f t="shared" si="329"/>
        <v>0</v>
      </c>
      <c r="X1217">
        <f t="shared" si="330"/>
        <v>0</v>
      </c>
      <c r="Y1217">
        <f t="shared" si="331"/>
        <v>1</v>
      </c>
      <c r="Z1217">
        <f t="shared" si="332"/>
        <v>0</v>
      </c>
      <c r="AA1217">
        <f t="shared" si="333"/>
        <v>1</v>
      </c>
      <c r="AB1217">
        <f t="shared" si="334"/>
        <v>0</v>
      </c>
      <c r="AC1217">
        <f t="shared" si="335"/>
        <v>0</v>
      </c>
      <c r="AD1217">
        <f t="shared" si="336"/>
        <v>0</v>
      </c>
      <c r="AE1217">
        <f t="shared" si="337"/>
        <v>0</v>
      </c>
      <c r="AF1217">
        <f t="shared" si="338"/>
        <v>0</v>
      </c>
      <c r="AG1217">
        <f t="shared" si="339"/>
        <v>0</v>
      </c>
      <c r="AH1217">
        <f t="shared" si="340"/>
        <v>0</v>
      </c>
      <c r="AI1217">
        <f t="shared" si="341"/>
        <v>1</v>
      </c>
    </row>
    <row r="1218" spans="1:35" x14ac:dyDescent="0.2">
      <c r="A1218">
        <v>434</v>
      </c>
      <c r="B1218" t="s">
        <v>749</v>
      </c>
      <c r="C1218">
        <v>9</v>
      </c>
      <c r="D1218" t="s">
        <v>3387</v>
      </c>
      <c r="E1218" t="s">
        <v>20</v>
      </c>
      <c r="F1218" t="s">
        <v>18</v>
      </c>
      <c r="G1218" t="s">
        <v>39</v>
      </c>
      <c r="H1218" t="s">
        <v>21</v>
      </c>
      <c r="I1218">
        <v>3</v>
      </c>
      <c r="J1218">
        <v>4</v>
      </c>
      <c r="K1218">
        <v>40</v>
      </c>
      <c r="L1218" t="s">
        <v>601</v>
      </c>
      <c r="M1218" t="s">
        <v>48</v>
      </c>
      <c r="N1218" t="s">
        <v>847</v>
      </c>
      <c r="O1218" t="s">
        <v>3388</v>
      </c>
      <c r="P1218" t="s">
        <v>3389</v>
      </c>
      <c r="Q1218">
        <f t="shared" si="324"/>
        <v>2</v>
      </c>
      <c r="R1218">
        <f t="shared" si="325"/>
        <v>4</v>
      </c>
      <c r="S1218">
        <f t="shared" si="326"/>
        <v>5</v>
      </c>
      <c r="T1218">
        <f t="shared" si="327"/>
        <v>1</v>
      </c>
      <c r="U1218">
        <v>40</v>
      </c>
      <c r="V1218">
        <f t="shared" si="328"/>
        <v>0</v>
      </c>
      <c r="W1218">
        <f t="shared" si="329"/>
        <v>1</v>
      </c>
      <c r="X1218">
        <f t="shared" si="330"/>
        <v>0</v>
      </c>
      <c r="Y1218">
        <f t="shared" si="331"/>
        <v>1</v>
      </c>
      <c r="Z1218">
        <f t="shared" si="332"/>
        <v>1</v>
      </c>
      <c r="AA1218">
        <f t="shared" si="333"/>
        <v>1</v>
      </c>
      <c r="AB1218">
        <f t="shared" si="334"/>
        <v>1</v>
      </c>
      <c r="AC1218">
        <f t="shared" si="335"/>
        <v>1</v>
      </c>
      <c r="AD1218">
        <f t="shared" si="336"/>
        <v>0</v>
      </c>
      <c r="AE1218">
        <f t="shared" si="337"/>
        <v>0</v>
      </c>
      <c r="AF1218">
        <f t="shared" si="338"/>
        <v>1</v>
      </c>
      <c r="AG1218">
        <f t="shared" si="339"/>
        <v>0</v>
      </c>
      <c r="AH1218">
        <f t="shared" si="340"/>
        <v>0</v>
      </c>
      <c r="AI1218">
        <f t="shared" si="341"/>
        <v>1</v>
      </c>
    </row>
    <row r="1219" spans="1:35" x14ac:dyDescent="0.2">
      <c r="A1219">
        <v>435</v>
      </c>
      <c r="B1219" t="s">
        <v>749</v>
      </c>
      <c r="C1219">
        <v>8</v>
      </c>
      <c r="D1219" t="s">
        <v>3390</v>
      </c>
      <c r="E1219" t="s">
        <v>21</v>
      </c>
      <c r="F1219" t="s">
        <v>39</v>
      </c>
      <c r="G1219" t="s">
        <v>19</v>
      </c>
      <c r="H1219" t="s">
        <v>21</v>
      </c>
      <c r="I1219">
        <v>3</v>
      </c>
      <c r="J1219">
        <v>2</v>
      </c>
      <c r="K1219">
        <v>100</v>
      </c>
      <c r="L1219" t="s">
        <v>70</v>
      </c>
      <c r="M1219" t="s">
        <v>781</v>
      </c>
      <c r="N1219" t="s">
        <v>36</v>
      </c>
      <c r="O1219" t="s">
        <v>3391</v>
      </c>
      <c r="P1219" t="s">
        <v>3392</v>
      </c>
      <c r="Q1219">
        <f t="shared" ref="Q1219:Q1282" si="342">IF(E1219="", "", LEFT(E1219, 1) * 1)</f>
        <v>1</v>
      </c>
      <c r="R1219">
        <f t="shared" ref="R1219:R1282" si="343">IF(F1219="","",VALUE(LEFT(F1219,FIND(" ",F1219)-1)))</f>
        <v>5</v>
      </c>
      <c r="S1219">
        <f t="shared" ref="S1219:S1282" si="344">IF(G1219="","",VALUE(LEFT(G1219,FIND(" ",G1219)-1)))</f>
        <v>3</v>
      </c>
      <c r="T1219">
        <f t="shared" ref="T1219:T1282" si="345">IF(H1219="","",VALUE(LEFT(H1219,FIND(" ",H1219)-1)))</f>
        <v>1</v>
      </c>
      <c r="U1219">
        <v>100</v>
      </c>
      <c r="V1219">
        <f t="shared" ref="V1219:V1282" si="346">IF(L1219="",0,IF(ISNUMBER(SEARCH("Bathroom",L1219)),1,0))</f>
        <v>0</v>
      </c>
      <c r="W1219">
        <f t="shared" ref="W1219:W1282" si="347">IF(L1219="",0,IF(ISNUMBER(SEARCH("Dining room",L1219)),1,0))</f>
        <v>0</v>
      </c>
      <c r="X1219">
        <f t="shared" ref="X1219:X1282" si="348">IF(L1219="",0,IF(ISNUMBER(SEARCH("Office",L1219)),1,0))</f>
        <v>0</v>
      </c>
      <c r="Y1219">
        <f t="shared" ref="Y1219:Y1282" si="349">IF(L1219="",0,IF(ISNUMBER(SEARCH("Bedroom",L1219)),1,0))</f>
        <v>1</v>
      </c>
      <c r="Z1219">
        <f t="shared" ref="Z1219:Z1282" si="350">IF(L1219="",0,IF(ISNUMBER(SEARCH("Living room",L1219)),1,0))</f>
        <v>0</v>
      </c>
      <c r="AA1219">
        <f t="shared" ref="AA1219:AA1282" si="351">IF(M1219="",0, IF(ISNUMBER(SEARCH("By yourself",M1219)), 1, 0))</f>
        <v>0</v>
      </c>
      <c r="AB1219">
        <f t="shared" ref="AB1219:AB1282" si="352">IF(M1219="", 0, IF(ISNUMBER(SEARCH("Friends", M1219)), 1, 0))</f>
        <v>1</v>
      </c>
      <c r="AC1219">
        <f t="shared" ref="AC1219:AC1282" si="353">IF(M1219="",0,IF(ISNUMBER(SEARCH("Family members", M1219)), 1, 0))</f>
        <v>1</v>
      </c>
      <c r="AD1219">
        <f t="shared" ref="AD1219:AD1282" si="354">IF(M1219="", 0, IF(ISNUMBER(SEARCH("Coworkers/Classmates", M1219)), 1, 0))</f>
        <v>1</v>
      </c>
      <c r="AE1219">
        <f t="shared" ref="AE1219:AE1282" si="355">IF(M1219="", 0, IF(ISNUMBER(SEARCH("Strangers", M1219)), 1, 0))</f>
        <v>1</v>
      </c>
      <c r="AF1219">
        <f t="shared" ref="AF1219:AF1282" si="356">IF(N1219="", 0, IF(ISNUMBER(SEARCH("Spring", N1219)), 1, 0))</f>
        <v>0</v>
      </c>
      <c r="AG1219">
        <f t="shared" ref="AG1219:AG1282" si="357">IF(N1219="", 0, IF(ISNUMBER(SEARCH("Summer", N1219)), 1, 0))</f>
        <v>0</v>
      </c>
      <c r="AH1219">
        <f t="shared" ref="AH1219:AH1282" si="358">IF(N1219="", 0, IF(ISNUMBER(SEARCH("Fall", N1219)), 1, 0))</f>
        <v>0</v>
      </c>
      <c r="AI1219">
        <f t="shared" ref="AI1219:AI1282" si="359">IF(N1219="", 0, IF(ISNUMBER(SEARCH("Winter", N1219)), 1, 0))</f>
        <v>1</v>
      </c>
    </row>
    <row r="1220" spans="1:35" x14ac:dyDescent="0.2">
      <c r="A1220">
        <v>436</v>
      </c>
      <c r="B1220" t="s">
        <v>749</v>
      </c>
      <c r="C1220">
        <v>5</v>
      </c>
      <c r="D1220" t="s">
        <v>274</v>
      </c>
      <c r="E1220" t="s">
        <v>19</v>
      </c>
      <c r="F1220" t="s">
        <v>20</v>
      </c>
      <c r="G1220" t="s">
        <v>39</v>
      </c>
      <c r="H1220" t="s">
        <v>19</v>
      </c>
      <c r="I1220">
        <v>2</v>
      </c>
      <c r="J1220">
        <v>2</v>
      </c>
      <c r="K1220" t="s">
        <v>3393</v>
      </c>
      <c r="L1220" t="s">
        <v>776</v>
      </c>
      <c r="M1220" t="s">
        <v>123</v>
      </c>
      <c r="N1220" t="s">
        <v>84</v>
      </c>
      <c r="O1220" t="s">
        <v>1432</v>
      </c>
      <c r="P1220" t="s">
        <v>3394</v>
      </c>
      <c r="Q1220">
        <f t="shared" si="342"/>
        <v>3</v>
      </c>
      <c r="R1220">
        <f t="shared" si="343"/>
        <v>2</v>
      </c>
      <c r="S1220">
        <f t="shared" si="344"/>
        <v>5</v>
      </c>
      <c r="T1220">
        <f t="shared" si="345"/>
        <v>3</v>
      </c>
      <c r="U1220">
        <v>300</v>
      </c>
      <c r="V1220">
        <f t="shared" si="346"/>
        <v>0</v>
      </c>
      <c r="W1220">
        <f t="shared" si="347"/>
        <v>1</v>
      </c>
      <c r="X1220">
        <f t="shared" si="348"/>
        <v>0</v>
      </c>
      <c r="Y1220">
        <f t="shared" si="349"/>
        <v>1</v>
      </c>
      <c r="Z1220">
        <f t="shared" si="350"/>
        <v>0</v>
      </c>
      <c r="AA1220">
        <f t="shared" si="351"/>
        <v>0</v>
      </c>
      <c r="AB1220">
        <f t="shared" si="352"/>
        <v>1</v>
      </c>
      <c r="AC1220">
        <f t="shared" si="353"/>
        <v>1</v>
      </c>
      <c r="AD1220">
        <f t="shared" si="354"/>
        <v>0</v>
      </c>
      <c r="AE1220">
        <f t="shared" si="355"/>
        <v>0</v>
      </c>
      <c r="AF1220">
        <f t="shared" si="356"/>
        <v>0</v>
      </c>
      <c r="AG1220">
        <f t="shared" si="357"/>
        <v>1</v>
      </c>
      <c r="AH1220">
        <f t="shared" si="358"/>
        <v>0</v>
      </c>
      <c r="AI1220">
        <f t="shared" si="359"/>
        <v>0</v>
      </c>
    </row>
    <row r="1221" spans="1:35" x14ac:dyDescent="0.2">
      <c r="A1221">
        <v>437</v>
      </c>
      <c r="B1221" t="s">
        <v>749</v>
      </c>
      <c r="C1221">
        <v>10</v>
      </c>
      <c r="D1221" t="s">
        <v>3395</v>
      </c>
      <c r="E1221" t="s">
        <v>21</v>
      </c>
      <c r="F1221" t="s">
        <v>39</v>
      </c>
      <c r="G1221" t="s">
        <v>39</v>
      </c>
      <c r="H1221" t="s">
        <v>21</v>
      </c>
      <c r="I1221">
        <v>5</v>
      </c>
      <c r="J1221">
        <v>3</v>
      </c>
      <c r="K1221">
        <v>100000000</v>
      </c>
      <c r="L1221" t="s">
        <v>70</v>
      </c>
      <c r="M1221" t="s">
        <v>23</v>
      </c>
      <c r="N1221" t="s">
        <v>84</v>
      </c>
      <c r="O1221" t="s">
        <v>3396</v>
      </c>
      <c r="P1221" t="s">
        <v>3397</v>
      </c>
      <c r="Q1221">
        <f t="shared" si="342"/>
        <v>1</v>
      </c>
      <c r="R1221">
        <f t="shared" si="343"/>
        <v>5</v>
      </c>
      <c r="S1221">
        <f t="shared" si="344"/>
        <v>5</v>
      </c>
      <c r="T1221">
        <f t="shared" si="345"/>
        <v>1</v>
      </c>
      <c r="U1221">
        <v>100000000</v>
      </c>
      <c r="V1221">
        <f t="shared" si="346"/>
        <v>0</v>
      </c>
      <c r="W1221">
        <f t="shared" si="347"/>
        <v>0</v>
      </c>
      <c r="X1221">
        <f t="shared" si="348"/>
        <v>0</v>
      </c>
      <c r="Y1221">
        <f t="shared" si="349"/>
        <v>1</v>
      </c>
      <c r="Z1221">
        <f t="shared" si="350"/>
        <v>0</v>
      </c>
      <c r="AA1221">
        <f t="shared" si="351"/>
        <v>1</v>
      </c>
      <c r="AB1221">
        <f t="shared" si="352"/>
        <v>0</v>
      </c>
      <c r="AC1221">
        <f t="shared" si="353"/>
        <v>0</v>
      </c>
      <c r="AD1221">
        <f t="shared" si="354"/>
        <v>0</v>
      </c>
      <c r="AE1221">
        <f t="shared" si="355"/>
        <v>0</v>
      </c>
      <c r="AF1221">
        <f t="shared" si="356"/>
        <v>0</v>
      </c>
      <c r="AG1221">
        <f t="shared" si="357"/>
        <v>1</v>
      </c>
      <c r="AH1221">
        <f t="shared" si="358"/>
        <v>0</v>
      </c>
      <c r="AI1221">
        <f t="shared" si="359"/>
        <v>0</v>
      </c>
    </row>
    <row r="1222" spans="1:35" x14ac:dyDescent="0.2">
      <c r="A1222">
        <v>438</v>
      </c>
      <c r="B1222" t="s">
        <v>749</v>
      </c>
      <c r="C1222">
        <v>8</v>
      </c>
      <c r="D1222" t="s">
        <v>3398</v>
      </c>
      <c r="E1222" t="s">
        <v>18</v>
      </c>
      <c r="F1222" t="s">
        <v>18</v>
      </c>
      <c r="G1222" t="s">
        <v>39</v>
      </c>
      <c r="H1222" t="s">
        <v>18</v>
      </c>
      <c r="I1222">
        <v>4</v>
      </c>
      <c r="J1222">
        <v>32</v>
      </c>
      <c r="K1222">
        <v>100000000</v>
      </c>
      <c r="L1222" t="s">
        <v>562</v>
      </c>
      <c r="M1222" t="s">
        <v>468</v>
      </c>
      <c r="N1222" t="s">
        <v>36</v>
      </c>
      <c r="O1222" t="s">
        <v>3399</v>
      </c>
      <c r="P1222" t="s">
        <v>3400</v>
      </c>
      <c r="Q1222">
        <f t="shared" si="342"/>
        <v>4</v>
      </c>
      <c r="R1222">
        <f t="shared" si="343"/>
        <v>4</v>
      </c>
      <c r="S1222">
        <f t="shared" si="344"/>
        <v>5</v>
      </c>
      <c r="T1222">
        <f t="shared" si="345"/>
        <v>4</v>
      </c>
      <c r="U1222">
        <v>100000000</v>
      </c>
      <c r="V1222">
        <f t="shared" si="346"/>
        <v>0</v>
      </c>
      <c r="W1222">
        <f t="shared" si="347"/>
        <v>1</v>
      </c>
      <c r="X1222">
        <f t="shared" si="348"/>
        <v>1</v>
      </c>
      <c r="Y1222">
        <f t="shared" si="349"/>
        <v>0</v>
      </c>
      <c r="Z1222">
        <f t="shared" si="350"/>
        <v>1</v>
      </c>
      <c r="AA1222">
        <f t="shared" si="351"/>
        <v>1</v>
      </c>
      <c r="AB1222">
        <f t="shared" si="352"/>
        <v>1</v>
      </c>
      <c r="AC1222">
        <f t="shared" si="353"/>
        <v>1</v>
      </c>
      <c r="AD1222">
        <f t="shared" si="354"/>
        <v>1</v>
      </c>
      <c r="AE1222">
        <f t="shared" si="355"/>
        <v>1</v>
      </c>
      <c r="AF1222">
        <f t="shared" si="356"/>
        <v>0</v>
      </c>
      <c r="AG1222">
        <f t="shared" si="357"/>
        <v>0</v>
      </c>
      <c r="AH1222">
        <f t="shared" si="358"/>
        <v>0</v>
      </c>
      <c r="AI1222">
        <f t="shared" si="359"/>
        <v>1</v>
      </c>
    </row>
    <row r="1223" spans="1:35" x14ac:dyDescent="0.2">
      <c r="A1223">
        <v>439</v>
      </c>
      <c r="B1223" t="s">
        <v>749</v>
      </c>
      <c r="C1223">
        <v>9</v>
      </c>
      <c r="D1223" t="s">
        <v>3401</v>
      </c>
      <c r="E1223" t="s">
        <v>18</v>
      </c>
      <c r="F1223" t="s">
        <v>39</v>
      </c>
      <c r="G1223" t="s">
        <v>19</v>
      </c>
      <c r="H1223" t="s">
        <v>20</v>
      </c>
      <c r="I1223">
        <v>4</v>
      </c>
      <c r="J1223">
        <v>6</v>
      </c>
      <c r="K1223" t="s">
        <v>2937</v>
      </c>
      <c r="L1223" t="s">
        <v>601</v>
      </c>
      <c r="M1223" t="s">
        <v>48</v>
      </c>
      <c r="N1223" t="s">
        <v>36</v>
      </c>
      <c r="O1223" t="s">
        <v>3402</v>
      </c>
      <c r="P1223" t="s">
        <v>3403</v>
      </c>
      <c r="Q1223">
        <f t="shared" si="342"/>
        <v>4</v>
      </c>
      <c r="R1223">
        <f t="shared" si="343"/>
        <v>5</v>
      </c>
      <c r="S1223">
        <f t="shared" si="344"/>
        <v>3</v>
      </c>
      <c r="T1223">
        <f t="shared" si="345"/>
        <v>2</v>
      </c>
      <c r="U1223">
        <v>100000000</v>
      </c>
      <c r="V1223">
        <f t="shared" si="346"/>
        <v>0</v>
      </c>
      <c r="W1223">
        <f t="shared" si="347"/>
        <v>1</v>
      </c>
      <c r="X1223">
        <f t="shared" si="348"/>
        <v>0</v>
      </c>
      <c r="Y1223">
        <f t="shared" si="349"/>
        <v>1</v>
      </c>
      <c r="Z1223">
        <f t="shared" si="350"/>
        <v>1</v>
      </c>
      <c r="AA1223">
        <f t="shared" si="351"/>
        <v>1</v>
      </c>
      <c r="AB1223">
        <f t="shared" si="352"/>
        <v>1</v>
      </c>
      <c r="AC1223">
        <f t="shared" si="353"/>
        <v>1</v>
      </c>
      <c r="AD1223">
        <f t="shared" si="354"/>
        <v>0</v>
      </c>
      <c r="AE1223">
        <f t="shared" si="355"/>
        <v>0</v>
      </c>
      <c r="AF1223">
        <f t="shared" si="356"/>
        <v>0</v>
      </c>
      <c r="AG1223">
        <f t="shared" si="357"/>
        <v>0</v>
      </c>
      <c r="AH1223">
        <f t="shared" si="358"/>
        <v>0</v>
      </c>
      <c r="AI1223">
        <f t="shared" si="359"/>
        <v>1</v>
      </c>
    </row>
    <row r="1224" spans="1:35" x14ac:dyDescent="0.2">
      <c r="A1224">
        <v>440</v>
      </c>
      <c r="B1224" t="s">
        <v>749</v>
      </c>
      <c r="C1224">
        <v>5</v>
      </c>
      <c r="D1224" t="s">
        <v>3404</v>
      </c>
      <c r="E1224" t="s">
        <v>20</v>
      </c>
      <c r="F1224" t="s">
        <v>19</v>
      </c>
      <c r="G1224" t="s">
        <v>18</v>
      </c>
      <c r="H1224" t="s">
        <v>20</v>
      </c>
      <c r="I1224">
        <v>3</v>
      </c>
      <c r="J1224">
        <v>4</v>
      </c>
      <c r="K1224">
        <v>5000</v>
      </c>
      <c r="L1224" t="s">
        <v>194</v>
      </c>
      <c r="M1224" t="s">
        <v>1098</v>
      </c>
      <c r="N1224" t="s">
        <v>147</v>
      </c>
      <c r="O1224" t="s">
        <v>272</v>
      </c>
      <c r="P1224" t="s">
        <v>3405</v>
      </c>
      <c r="Q1224">
        <f t="shared" si="342"/>
        <v>2</v>
      </c>
      <c r="R1224">
        <f t="shared" si="343"/>
        <v>3</v>
      </c>
      <c r="S1224">
        <f t="shared" si="344"/>
        <v>4</v>
      </c>
      <c r="T1224">
        <f t="shared" si="345"/>
        <v>2</v>
      </c>
      <c r="U1224">
        <v>5000</v>
      </c>
      <c r="V1224">
        <f t="shared" si="346"/>
        <v>0</v>
      </c>
      <c r="W1224">
        <f t="shared" si="347"/>
        <v>0</v>
      </c>
      <c r="X1224">
        <f t="shared" si="348"/>
        <v>0</v>
      </c>
      <c r="Y1224">
        <f t="shared" si="349"/>
        <v>1</v>
      </c>
      <c r="Z1224">
        <f t="shared" si="350"/>
        <v>1</v>
      </c>
      <c r="AA1224">
        <f t="shared" si="351"/>
        <v>1</v>
      </c>
      <c r="AB1224">
        <f t="shared" si="352"/>
        <v>1</v>
      </c>
      <c r="AC1224">
        <f t="shared" si="353"/>
        <v>1</v>
      </c>
      <c r="AD1224">
        <f t="shared" si="354"/>
        <v>0</v>
      </c>
      <c r="AE1224">
        <f t="shared" si="355"/>
        <v>1</v>
      </c>
      <c r="AF1224">
        <f t="shared" si="356"/>
        <v>0</v>
      </c>
      <c r="AG1224">
        <f t="shared" si="357"/>
        <v>0</v>
      </c>
      <c r="AH1224">
        <f t="shared" si="358"/>
        <v>1</v>
      </c>
      <c r="AI1224">
        <f t="shared" si="359"/>
        <v>1</v>
      </c>
    </row>
    <row r="1225" spans="1:35" x14ac:dyDescent="0.2">
      <c r="A1225">
        <v>441</v>
      </c>
      <c r="B1225" t="s">
        <v>749</v>
      </c>
      <c r="C1225">
        <v>9</v>
      </c>
      <c r="D1225" t="s">
        <v>3406</v>
      </c>
      <c r="E1225" t="s">
        <v>18</v>
      </c>
      <c r="F1225" t="s">
        <v>18</v>
      </c>
      <c r="G1225" t="s">
        <v>39</v>
      </c>
      <c r="H1225" t="s">
        <v>20</v>
      </c>
      <c r="I1225">
        <v>3</v>
      </c>
      <c r="J1225">
        <v>2</v>
      </c>
      <c r="K1225">
        <v>1000</v>
      </c>
      <c r="L1225" t="s">
        <v>562</v>
      </c>
      <c r="M1225" t="s">
        <v>280</v>
      </c>
      <c r="N1225" t="s">
        <v>84</v>
      </c>
      <c r="O1225" t="s">
        <v>3407</v>
      </c>
      <c r="P1225" t="s">
        <v>3408</v>
      </c>
      <c r="Q1225">
        <f t="shared" si="342"/>
        <v>4</v>
      </c>
      <c r="R1225">
        <f t="shared" si="343"/>
        <v>4</v>
      </c>
      <c r="S1225">
        <f t="shared" si="344"/>
        <v>5</v>
      </c>
      <c r="T1225">
        <f t="shared" si="345"/>
        <v>2</v>
      </c>
      <c r="U1225">
        <v>1000</v>
      </c>
      <c r="V1225">
        <f t="shared" si="346"/>
        <v>0</v>
      </c>
      <c r="W1225">
        <f t="shared" si="347"/>
        <v>1</v>
      </c>
      <c r="X1225">
        <f t="shared" si="348"/>
        <v>1</v>
      </c>
      <c r="Y1225">
        <f t="shared" si="349"/>
        <v>0</v>
      </c>
      <c r="Z1225">
        <f t="shared" si="350"/>
        <v>1</v>
      </c>
      <c r="AA1225">
        <f t="shared" si="351"/>
        <v>0</v>
      </c>
      <c r="AB1225">
        <f t="shared" si="352"/>
        <v>1</v>
      </c>
      <c r="AC1225">
        <f t="shared" si="353"/>
        <v>1</v>
      </c>
      <c r="AD1225">
        <f t="shared" si="354"/>
        <v>1</v>
      </c>
      <c r="AE1225">
        <f t="shared" si="355"/>
        <v>0</v>
      </c>
      <c r="AF1225">
        <f t="shared" si="356"/>
        <v>0</v>
      </c>
      <c r="AG1225">
        <f t="shared" si="357"/>
        <v>1</v>
      </c>
      <c r="AH1225">
        <f t="shared" si="358"/>
        <v>0</v>
      </c>
      <c r="AI1225">
        <f t="shared" si="359"/>
        <v>0</v>
      </c>
    </row>
    <row r="1226" spans="1:35" x14ac:dyDescent="0.2">
      <c r="A1226">
        <v>442</v>
      </c>
      <c r="B1226" t="s">
        <v>749</v>
      </c>
      <c r="C1226">
        <v>10</v>
      </c>
      <c r="D1226" t="s">
        <v>3409</v>
      </c>
      <c r="E1226" t="s">
        <v>20</v>
      </c>
      <c r="F1226" t="s">
        <v>18</v>
      </c>
      <c r="G1226" t="s">
        <v>20</v>
      </c>
      <c r="H1226" t="s">
        <v>21</v>
      </c>
      <c r="I1226">
        <v>3</v>
      </c>
      <c r="J1226">
        <v>4</v>
      </c>
      <c r="K1226">
        <v>1000</v>
      </c>
      <c r="L1226" t="s">
        <v>601</v>
      </c>
      <c r="M1226" t="s">
        <v>123</v>
      </c>
      <c r="N1226" t="s">
        <v>622</v>
      </c>
      <c r="O1226" t="s">
        <v>3410</v>
      </c>
      <c r="P1226" t="s">
        <v>3411</v>
      </c>
      <c r="Q1226">
        <f t="shared" si="342"/>
        <v>2</v>
      </c>
      <c r="R1226">
        <f t="shared" si="343"/>
        <v>4</v>
      </c>
      <c r="S1226">
        <f t="shared" si="344"/>
        <v>2</v>
      </c>
      <c r="T1226">
        <f t="shared" si="345"/>
        <v>1</v>
      </c>
      <c r="U1226">
        <v>1000</v>
      </c>
      <c r="V1226">
        <f t="shared" si="346"/>
        <v>0</v>
      </c>
      <c r="W1226">
        <f t="shared" si="347"/>
        <v>1</v>
      </c>
      <c r="X1226">
        <f t="shared" si="348"/>
        <v>0</v>
      </c>
      <c r="Y1226">
        <f t="shared" si="349"/>
        <v>1</v>
      </c>
      <c r="Z1226">
        <f t="shared" si="350"/>
        <v>1</v>
      </c>
      <c r="AA1226">
        <f t="shared" si="351"/>
        <v>0</v>
      </c>
      <c r="AB1226">
        <f t="shared" si="352"/>
        <v>1</v>
      </c>
      <c r="AC1226">
        <f t="shared" si="353"/>
        <v>1</v>
      </c>
      <c r="AD1226">
        <f t="shared" si="354"/>
        <v>0</v>
      </c>
      <c r="AE1226">
        <f t="shared" si="355"/>
        <v>0</v>
      </c>
      <c r="AF1226">
        <f t="shared" si="356"/>
        <v>0</v>
      </c>
      <c r="AG1226">
        <f t="shared" si="357"/>
        <v>1</v>
      </c>
      <c r="AH1226">
        <f t="shared" si="358"/>
        <v>0</v>
      </c>
      <c r="AI1226">
        <f t="shared" si="359"/>
        <v>1</v>
      </c>
    </row>
    <row r="1227" spans="1:35" x14ac:dyDescent="0.2">
      <c r="A1227">
        <v>443</v>
      </c>
      <c r="B1227" t="s">
        <v>749</v>
      </c>
      <c r="C1227">
        <v>9</v>
      </c>
      <c r="D1227" t="s">
        <v>3412</v>
      </c>
      <c r="E1227" t="s">
        <v>21</v>
      </c>
      <c r="F1227" t="s">
        <v>39</v>
      </c>
      <c r="G1227" t="s">
        <v>20</v>
      </c>
      <c r="H1227" t="s">
        <v>18</v>
      </c>
      <c r="I1227">
        <v>3</v>
      </c>
      <c r="J1227">
        <v>3</v>
      </c>
      <c r="K1227">
        <v>1000</v>
      </c>
      <c r="L1227" t="s">
        <v>601</v>
      </c>
      <c r="M1227" t="s">
        <v>42</v>
      </c>
      <c r="N1227" t="s">
        <v>622</v>
      </c>
      <c r="O1227" t="s">
        <v>3413</v>
      </c>
      <c r="P1227" t="s">
        <v>3414</v>
      </c>
      <c r="Q1227">
        <f t="shared" si="342"/>
        <v>1</v>
      </c>
      <c r="R1227">
        <f t="shared" si="343"/>
        <v>5</v>
      </c>
      <c r="S1227">
        <f t="shared" si="344"/>
        <v>2</v>
      </c>
      <c r="T1227">
        <f t="shared" si="345"/>
        <v>4</v>
      </c>
      <c r="U1227">
        <v>1000</v>
      </c>
      <c r="V1227">
        <f t="shared" si="346"/>
        <v>0</v>
      </c>
      <c r="W1227">
        <f t="shared" si="347"/>
        <v>1</v>
      </c>
      <c r="X1227">
        <f t="shared" si="348"/>
        <v>0</v>
      </c>
      <c r="Y1227">
        <f t="shared" si="349"/>
        <v>1</v>
      </c>
      <c r="Z1227">
        <f t="shared" si="350"/>
        <v>1</v>
      </c>
      <c r="AA1227">
        <f t="shared" si="351"/>
        <v>0</v>
      </c>
      <c r="AB1227">
        <f t="shared" si="352"/>
        <v>1</v>
      </c>
      <c r="AC1227">
        <f t="shared" si="353"/>
        <v>0</v>
      </c>
      <c r="AD1227">
        <f t="shared" si="354"/>
        <v>0</v>
      </c>
      <c r="AE1227">
        <f t="shared" si="355"/>
        <v>0</v>
      </c>
      <c r="AF1227">
        <f t="shared" si="356"/>
        <v>0</v>
      </c>
      <c r="AG1227">
        <f t="shared" si="357"/>
        <v>1</v>
      </c>
      <c r="AH1227">
        <f t="shared" si="358"/>
        <v>0</v>
      </c>
      <c r="AI1227">
        <f t="shared" si="359"/>
        <v>1</v>
      </c>
    </row>
    <row r="1228" spans="1:35" x14ac:dyDescent="0.2">
      <c r="A1228">
        <v>444</v>
      </c>
      <c r="B1228" t="s">
        <v>749</v>
      </c>
      <c r="C1228">
        <v>4</v>
      </c>
      <c r="D1228" t="s">
        <v>3415</v>
      </c>
      <c r="E1228" t="s">
        <v>20</v>
      </c>
      <c r="F1228" t="s">
        <v>20</v>
      </c>
      <c r="G1228" t="s">
        <v>39</v>
      </c>
      <c r="H1228" t="s">
        <v>20</v>
      </c>
      <c r="I1228">
        <v>2</v>
      </c>
      <c r="J1228">
        <v>2</v>
      </c>
      <c r="K1228">
        <v>40</v>
      </c>
      <c r="L1228" t="s">
        <v>128</v>
      </c>
      <c r="M1228" t="s">
        <v>48</v>
      </c>
      <c r="N1228" t="s">
        <v>36</v>
      </c>
      <c r="O1228" t="s">
        <v>310</v>
      </c>
      <c r="P1228" t="s">
        <v>3416</v>
      </c>
      <c r="Q1228">
        <f t="shared" si="342"/>
        <v>2</v>
      </c>
      <c r="R1228">
        <f t="shared" si="343"/>
        <v>2</v>
      </c>
      <c r="S1228">
        <f t="shared" si="344"/>
        <v>5</v>
      </c>
      <c r="T1228">
        <f t="shared" si="345"/>
        <v>2</v>
      </c>
      <c r="U1228">
        <v>40</v>
      </c>
      <c r="V1228">
        <f t="shared" si="346"/>
        <v>1</v>
      </c>
      <c r="W1228">
        <f t="shared" si="347"/>
        <v>0</v>
      </c>
      <c r="X1228">
        <f t="shared" si="348"/>
        <v>1</v>
      </c>
      <c r="Y1228">
        <f t="shared" si="349"/>
        <v>0</v>
      </c>
      <c r="Z1228">
        <f t="shared" si="350"/>
        <v>0</v>
      </c>
      <c r="AA1228">
        <f t="shared" si="351"/>
        <v>1</v>
      </c>
      <c r="AB1228">
        <f t="shared" si="352"/>
        <v>1</v>
      </c>
      <c r="AC1228">
        <f t="shared" si="353"/>
        <v>1</v>
      </c>
      <c r="AD1228">
        <f t="shared" si="354"/>
        <v>0</v>
      </c>
      <c r="AE1228">
        <f t="shared" si="355"/>
        <v>0</v>
      </c>
      <c r="AF1228">
        <f t="shared" si="356"/>
        <v>0</v>
      </c>
      <c r="AG1228">
        <f t="shared" si="357"/>
        <v>0</v>
      </c>
      <c r="AH1228">
        <f t="shared" si="358"/>
        <v>0</v>
      </c>
      <c r="AI1228">
        <f t="shared" si="359"/>
        <v>1</v>
      </c>
    </row>
    <row r="1229" spans="1:35" x14ac:dyDescent="0.2">
      <c r="A1229">
        <v>445</v>
      </c>
      <c r="B1229" t="s">
        <v>749</v>
      </c>
      <c r="C1229">
        <v>6</v>
      </c>
      <c r="D1229" t="s">
        <v>3417</v>
      </c>
      <c r="E1229" t="s">
        <v>20</v>
      </c>
      <c r="F1229" t="s">
        <v>18</v>
      </c>
      <c r="G1229" t="s">
        <v>39</v>
      </c>
      <c r="H1229" t="s">
        <v>21</v>
      </c>
      <c r="I1229">
        <v>3</v>
      </c>
      <c r="J1229">
        <v>3</v>
      </c>
      <c r="K1229" t="s">
        <v>3418</v>
      </c>
      <c r="L1229" t="s">
        <v>70</v>
      </c>
      <c r="M1229" t="s">
        <v>23</v>
      </c>
      <c r="N1229" t="s">
        <v>84</v>
      </c>
      <c r="O1229" t="s">
        <v>3419</v>
      </c>
      <c r="P1229" t="s">
        <v>3420</v>
      </c>
      <c r="Q1229">
        <f t="shared" si="342"/>
        <v>2</v>
      </c>
      <c r="R1229">
        <f t="shared" si="343"/>
        <v>4</v>
      </c>
      <c r="S1229">
        <f t="shared" si="344"/>
        <v>5</v>
      </c>
      <c r="T1229">
        <f t="shared" si="345"/>
        <v>1</v>
      </c>
      <c r="U1229">
        <v>50000</v>
      </c>
      <c r="V1229">
        <f t="shared" si="346"/>
        <v>0</v>
      </c>
      <c r="W1229">
        <f t="shared" si="347"/>
        <v>0</v>
      </c>
      <c r="X1229">
        <f t="shared" si="348"/>
        <v>0</v>
      </c>
      <c r="Y1229">
        <f t="shared" si="349"/>
        <v>1</v>
      </c>
      <c r="Z1229">
        <f t="shared" si="350"/>
        <v>0</v>
      </c>
      <c r="AA1229">
        <f t="shared" si="351"/>
        <v>1</v>
      </c>
      <c r="AB1229">
        <f t="shared" si="352"/>
        <v>0</v>
      </c>
      <c r="AC1229">
        <f t="shared" si="353"/>
        <v>0</v>
      </c>
      <c r="AD1229">
        <f t="shared" si="354"/>
        <v>0</v>
      </c>
      <c r="AE1229">
        <f t="shared" si="355"/>
        <v>0</v>
      </c>
      <c r="AF1229">
        <f t="shared" si="356"/>
        <v>0</v>
      </c>
      <c r="AG1229">
        <f t="shared" si="357"/>
        <v>1</v>
      </c>
      <c r="AH1229">
        <f t="shared" si="358"/>
        <v>0</v>
      </c>
      <c r="AI1229">
        <f t="shared" si="359"/>
        <v>0</v>
      </c>
    </row>
    <row r="1230" spans="1:35" x14ac:dyDescent="0.2">
      <c r="A1230">
        <v>446</v>
      </c>
      <c r="B1230" t="s">
        <v>749</v>
      </c>
      <c r="C1230">
        <v>9</v>
      </c>
      <c r="D1230" t="s">
        <v>3421</v>
      </c>
      <c r="E1230" t="s">
        <v>19</v>
      </c>
      <c r="F1230" t="s">
        <v>18</v>
      </c>
      <c r="G1230" t="s">
        <v>19</v>
      </c>
      <c r="H1230" t="s">
        <v>20</v>
      </c>
      <c r="I1230">
        <v>6</v>
      </c>
      <c r="J1230">
        <v>5</v>
      </c>
      <c r="K1230">
        <v>10</v>
      </c>
      <c r="L1230" t="s">
        <v>70</v>
      </c>
      <c r="M1230" t="s">
        <v>23</v>
      </c>
      <c r="N1230" t="s">
        <v>84</v>
      </c>
      <c r="O1230" t="s">
        <v>3422</v>
      </c>
      <c r="P1230" t="s">
        <v>3423</v>
      </c>
      <c r="Q1230">
        <f t="shared" si="342"/>
        <v>3</v>
      </c>
      <c r="R1230">
        <f t="shared" si="343"/>
        <v>4</v>
      </c>
      <c r="S1230">
        <f t="shared" si="344"/>
        <v>3</v>
      </c>
      <c r="T1230">
        <f t="shared" si="345"/>
        <v>2</v>
      </c>
      <c r="U1230">
        <v>10</v>
      </c>
      <c r="V1230">
        <f t="shared" si="346"/>
        <v>0</v>
      </c>
      <c r="W1230">
        <f t="shared" si="347"/>
        <v>0</v>
      </c>
      <c r="X1230">
        <f t="shared" si="348"/>
        <v>0</v>
      </c>
      <c r="Y1230">
        <f t="shared" si="349"/>
        <v>1</v>
      </c>
      <c r="Z1230">
        <f t="shared" si="350"/>
        <v>0</v>
      </c>
      <c r="AA1230">
        <f t="shared" si="351"/>
        <v>1</v>
      </c>
      <c r="AB1230">
        <f t="shared" si="352"/>
        <v>0</v>
      </c>
      <c r="AC1230">
        <f t="shared" si="353"/>
        <v>0</v>
      </c>
      <c r="AD1230">
        <f t="shared" si="354"/>
        <v>0</v>
      </c>
      <c r="AE1230">
        <f t="shared" si="355"/>
        <v>0</v>
      </c>
      <c r="AF1230">
        <f t="shared" si="356"/>
        <v>0</v>
      </c>
      <c r="AG1230">
        <f t="shared" si="357"/>
        <v>1</v>
      </c>
      <c r="AH1230">
        <f t="shared" si="358"/>
        <v>0</v>
      </c>
      <c r="AI1230">
        <f t="shared" si="359"/>
        <v>0</v>
      </c>
    </row>
    <row r="1231" spans="1:35" x14ac:dyDescent="0.2">
      <c r="A1231">
        <v>447</v>
      </c>
      <c r="B1231" t="s">
        <v>749</v>
      </c>
      <c r="C1231">
        <v>7</v>
      </c>
      <c r="D1231" t="s">
        <v>3424</v>
      </c>
      <c r="E1231" t="s">
        <v>18</v>
      </c>
      <c r="F1231" t="s">
        <v>19</v>
      </c>
      <c r="G1231" t="s">
        <v>18</v>
      </c>
      <c r="H1231" t="s">
        <v>20</v>
      </c>
      <c r="I1231">
        <v>4</v>
      </c>
      <c r="J1231">
        <v>3</v>
      </c>
      <c r="K1231">
        <v>100</v>
      </c>
      <c r="L1231" t="s">
        <v>70</v>
      </c>
      <c r="M1231" t="s">
        <v>161</v>
      </c>
      <c r="N1231" t="s">
        <v>147</v>
      </c>
      <c r="O1231" t="s">
        <v>3425</v>
      </c>
      <c r="P1231" t="s">
        <v>3426</v>
      </c>
      <c r="Q1231">
        <f t="shared" si="342"/>
        <v>4</v>
      </c>
      <c r="R1231">
        <f t="shared" si="343"/>
        <v>3</v>
      </c>
      <c r="S1231">
        <f t="shared" si="344"/>
        <v>4</v>
      </c>
      <c r="T1231">
        <f t="shared" si="345"/>
        <v>2</v>
      </c>
      <c r="U1231">
        <v>100</v>
      </c>
      <c r="V1231">
        <f t="shared" si="346"/>
        <v>0</v>
      </c>
      <c r="W1231">
        <f t="shared" si="347"/>
        <v>0</v>
      </c>
      <c r="X1231">
        <f t="shared" si="348"/>
        <v>0</v>
      </c>
      <c r="Y1231">
        <f t="shared" si="349"/>
        <v>1</v>
      </c>
      <c r="Z1231">
        <f t="shared" si="350"/>
        <v>0</v>
      </c>
      <c r="AA1231">
        <f t="shared" si="351"/>
        <v>1</v>
      </c>
      <c r="AB1231">
        <f t="shared" si="352"/>
        <v>1</v>
      </c>
      <c r="AC1231">
        <f t="shared" si="353"/>
        <v>1</v>
      </c>
      <c r="AD1231">
        <f t="shared" si="354"/>
        <v>1</v>
      </c>
      <c r="AE1231">
        <f t="shared" si="355"/>
        <v>0</v>
      </c>
      <c r="AF1231">
        <f t="shared" si="356"/>
        <v>0</v>
      </c>
      <c r="AG1231">
        <f t="shared" si="357"/>
        <v>0</v>
      </c>
      <c r="AH1231">
        <f t="shared" si="358"/>
        <v>1</v>
      </c>
      <c r="AI1231">
        <f t="shared" si="359"/>
        <v>1</v>
      </c>
    </row>
    <row r="1232" spans="1:35" x14ac:dyDescent="0.2">
      <c r="A1232">
        <v>448</v>
      </c>
      <c r="B1232" t="s">
        <v>749</v>
      </c>
      <c r="C1232">
        <v>8</v>
      </c>
      <c r="D1232" t="s">
        <v>3427</v>
      </c>
      <c r="E1232" t="s">
        <v>19</v>
      </c>
      <c r="F1232" t="s">
        <v>20</v>
      </c>
      <c r="G1232" t="s">
        <v>20</v>
      </c>
      <c r="H1232" t="s">
        <v>18</v>
      </c>
      <c r="I1232">
        <v>4</v>
      </c>
      <c r="J1232">
        <v>4</v>
      </c>
      <c r="K1232" s="1">
        <v>1000000</v>
      </c>
      <c r="L1232" t="s">
        <v>41</v>
      </c>
      <c r="M1232" t="s">
        <v>35</v>
      </c>
      <c r="N1232" t="s">
        <v>84</v>
      </c>
      <c r="O1232" t="s">
        <v>3428</v>
      </c>
      <c r="P1232" t="s">
        <v>3429</v>
      </c>
      <c r="Q1232">
        <f t="shared" si="342"/>
        <v>3</v>
      </c>
      <c r="R1232">
        <f t="shared" si="343"/>
        <v>2</v>
      </c>
      <c r="S1232">
        <f t="shared" si="344"/>
        <v>2</v>
      </c>
      <c r="T1232">
        <f t="shared" si="345"/>
        <v>4</v>
      </c>
      <c r="U1232">
        <v>1000000</v>
      </c>
      <c r="V1232">
        <f t="shared" si="346"/>
        <v>0</v>
      </c>
      <c r="W1232">
        <f t="shared" si="347"/>
        <v>0</v>
      </c>
      <c r="X1232">
        <f t="shared" si="348"/>
        <v>0</v>
      </c>
      <c r="Y1232">
        <f t="shared" si="349"/>
        <v>0</v>
      </c>
      <c r="Z1232">
        <f t="shared" si="350"/>
        <v>1</v>
      </c>
      <c r="AA1232">
        <f t="shared" si="351"/>
        <v>0</v>
      </c>
      <c r="AB1232">
        <f t="shared" si="352"/>
        <v>0</v>
      </c>
      <c r="AC1232">
        <f t="shared" si="353"/>
        <v>0</v>
      </c>
      <c r="AD1232">
        <f t="shared" si="354"/>
        <v>1</v>
      </c>
      <c r="AE1232">
        <f t="shared" si="355"/>
        <v>0</v>
      </c>
      <c r="AF1232">
        <f t="shared" si="356"/>
        <v>0</v>
      </c>
      <c r="AG1232">
        <f t="shared" si="357"/>
        <v>1</v>
      </c>
      <c r="AH1232">
        <f t="shared" si="358"/>
        <v>0</v>
      </c>
      <c r="AI1232">
        <f t="shared" si="359"/>
        <v>0</v>
      </c>
    </row>
    <row r="1233" spans="1:35" x14ac:dyDescent="0.2">
      <c r="A1233">
        <v>449</v>
      </c>
      <c r="B1233" t="s">
        <v>749</v>
      </c>
      <c r="C1233">
        <v>6</v>
      </c>
      <c r="D1233" t="s">
        <v>3430</v>
      </c>
      <c r="E1233" t="s">
        <v>20</v>
      </c>
      <c r="F1233" t="s">
        <v>20</v>
      </c>
      <c r="G1233" t="s">
        <v>20</v>
      </c>
      <c r="H1233" t="s">
        <v>21</v>
      </c>
      <c r="I1233">
        <v>3</v>
      </c>
      <c r="J1233">
        <v>2</v>
      </c>
      <c r="K1233">
        <v>30</v>
      </c>
      <c r="L1233" t="s">
        <v>70</v>
      </c>
      <c r="M1233" t="s">
        <v>23</v>
      </c>
      <c r="N1233" t="s">
        <v>36</v>
      </c>
      <c r="O1233" t="s">
        <v>3431</v>
      </c>
      <c r="P1233" t="s">
        <v>3432</v>
      </c>
      <c r="Q1233">
        <f t="shared" si="342"/>
        <v>2</v>
      </c>
      <c r="R1233">
        <f t="shared" si="343"/>
        <v>2</v>
      </c>
      <c r="S1233">
        <f t="shared" si="344"/>
        <v>2</v>
      </c>
      <c r="T1233">
        <f t="shared" si="345"/>
        <v>1</v>
      </c>
      <c r="U1233">
        <v>30</v>
      </c>
      <c r="V1233">
        <f t="shared" si="346"/>
        <v>0</v>
      </c>
      <c r="W1233">
        <f t="shared" si="347"/>
        <v>0</v>
      </c>
      <c r="X1233">
        <f t="shared" si="348"/>
        <v>0</v>
      </c>
      <c r="Y1233">
        <f t="shared" si="349"/>
        <v>1</v>
      </c>
      <c r="Z1233">
        <f t="shared" si="350"/>
        <v>0</v>
      </c>
      <c r="AA1233">
        <f t="shared" si="351"/>
        <v>1</v>
      </c>
      <c r="AB1233">
        <f t="shared" si="352"/>
        <v>0</v>
      </c>
      <c r="AC1233">
        <f t="shared" si="353"/>
        <v>0</v>
      </c>
      <c r="AD1233">
        <f t="shared" si="354"/>
        <v>0</v>
      </c>
      <c r="AE1233">
        <f t="shared" si="355"/>
        <v>0</v>
      </c>
      <c r="AF1233">
        <f t="shared" si="356"/>
        <v>0</v>
      </c>
      <c r="AG1233">
        <f t="shared" si="357"/>
        <v>0</v>
      </c>
      <c r="AH1233">
        <f t="shared" si="358"/>
        <v>0</v>
      </c>
      <c r="AI1233">
        <f t="shared" si="359"/>
        <v>1</v>
      </c>
    </row>
    <row r="1234" spans="1:35" x14ac:dyDescent="0.2">
      <c r="A1234">
        <v>450</v>
      </c>
      <c r="B1234" t="s">
        <v>749</v>
      </c>
      <c r="C1234">
        <v>7</v>
      </c>
      <c r="D1234" t="s">
        <v>3433</v>
      </c>
      <c r="E1234" t="s">
        <v>20</v>
      </c>
      <c r="F1234" t="s">
        <v>18</v>
      </c>
      <c r="G1234" t="s">
        <v>18</v>
      </c>
      <c r="H1234" t="s">
        <v>20</v>
      </c>
      <c r="I1234">
        <v>5</v>
      </c>
      <c r="J1234">
        <v>13</v>
      </c>
      <c r="K1234">
        <v>5000</v>
      </c>
      <c r="L1234" t="s">
        <v>194</v>
      </c>
      <c r="M1234" t="s">
        <v>123</v>
      </c>
      <c r="N1234" t="s">
        <v>43</v>
      </c>
      <c r="O1234" t="s">
        <v>3434</v>
      </c>
      <c r="P1234" t="s">
        <v>3435</v>
      </c>
      <c r="Q1234">
        <f t="shared" si="342"/>
        <v>2</v>
      </c>
      <c r="R1234">
        <f t="shared" si="343"/>
        <v>4</v>
      </c>
      <c r="S1234">
        <f t="shared" si="344"/>
        <v>4</v>
      </c>
      <c r="T1234">
        <f t="shared" si="345"/>
        <v>2</v>
      </c>
      <c r="U1234">
        <v>5000</v>
      </c>
      <c r="V1234">
        <f t="shared" si="346"/>
        <v>0</v>
      </c>
      <c r="W1234">
        <f t="shared" si="347"/>
        <v>0</v>
      </c>
      <c r="X1234">
        <f t="shared" si="348"/>
        <v>0</v>
      </c>
      <c r="Y1234">
        <f t="shared" si="349"/>
        <v>1</v>
      </c>
      <c r="Z1234">
        <f t="shared" si="350"/>
        <v>1</v>
      </c>
      <c r="AA1234">
        <f t="shared" si="351"/>
        <v>0</v>
      </c>
      <c r="AB1234">
        <f t="shared" si="352"/>
        <v>1</v>
      </c>
      <c r="AC1234">
        <f t="shared" si="353"/>
        <v>1</v>
      </c>
      <c r="AD1234">
        <f t="shared" si="354"/>
        <v>0</v>
      </c>
      <c r="AE1234">
        <f t="shared" si="355"/>
        <v>0</v>
      </c>
      <c r="AF1234">
        <f t="shared" si="356"/>
        <v>1</v>
      </c>
      <c r="AG1234">
        <f t="shared" si="357"/>
        <v>1</v>
      </c>
      <c r="AH1234">
        <f t="shared" si="358"/>
        <v>0</v>
      </c>
      <c r="AI1234">
        <f t="shared" si="359"/>
        <v>0</v>
      </c>
    </row>
    <row r="1235" spans="1:35" x14ac:dyDescent="0.2">
      <c r="A1235">
        <v>451</v>
      </c>
      <c r="B1235" t="s">
        <v>749</v>
      </c>
      <c r="C1235">
        <v>5</v>
      </c>
      <c r="D1235" t="s">
        <v>3436</v>
      </c>
      <c r="E1235" t="s">
        <v>18</v>
      </c>
      <c r="F1235" t="s">
        <v>18</v>
      </c>
      <c r="G1235" t="s">
        <v>18</v>
      </c>
      <c r="H1235" t="s">
        <v>20</v>
      </c>
      <c r="I1235">
        <v>4</v>
      </c>
      <c r="J1235">
        <v>3</v>
      </c>
      <c r="K1235" s="1">
        <v>550</v>
      </c>
      <c r="L1235" t="s">
        <v>128</v>
      </c>
      <c r="M1235" t="s">
        <v>42</v>
      </c>
      <c r="N1235" t="s">
        <v>215</v>
      </c>
      <c r="O1235" t="s">
        <v>3437</v>
      </c>
      <c r="P1235" t="s">
        <v>3438</v>
      </c>
      <c r="Q1235">
        <f t="shared" si="342"/>
        <v>4</v>
      </c>
      <c r="R1235">
        <f t="shared" si="343"/>
        <v>4</v>
      </c>
      <c r="S1235">
        <f t="shared" si="344"/>
        <v>4</v>
      </c>
      <c r="T1235">
        <f t="shared" si="345"/>
        <v>2</v>
      </c>
      <c r="U1235">
        <v>550</v>
      </c>
      <c r="V1235">
        <f t="shared" si="346"/>
        <v>1</v>
      </c>
      <c r="W1235">
        <f t="shared" si="347"/>
        <v>0</v>
      </c>
      <c r="X1235">
        <f t="shared" si="348"/>
        <v>1</v>
      </c>
      <c r="Y1235">
        <f t="shared" si="349"/>
        <v>0</v>
      </c>
      <c r="Z1235">
        <f t="shared" si="350"/>
        <v>0</v>
      </c>
      <c r="AA1235">
        <f t="shared" si="351"/>
        <v>0</v>
      </c>
      <c r="AB1235">
        <f t="shared" si="352"/>
        <v>1</v>
      </c>
      <c r="AC1235">
        <f t="shared" si="353"/>
        <v>0</v>
      </c>
      <c r="AD1235">
        <f t="shared" si="354"/>
        <v>0</v>
      </c>
      <c r="AE1235">
        <f t="shared" si="355"/>
        <v>0</v>
      </c>
      <c r="AF1235">
        <f t="shared" si="356"/>
        <v>1</v>
      </c>
      <c r="AG1235">
        <f t="shared" si="357"/>
        <v>0</v>
      </c>
      <c r="AH1235">
        <f t="shared" si="358"/>
        <v>0</v>
      </c>
      <c r="AI1235">
        <f t="shared" si="359"/>
        <v>0</v>
      </c>
    </row>
    <row r="1236" spans="1:35" x14ac:dyDescent="0.2">
      <c r="A1236">
        <v>452</v>
      </c>
      <c r="B1236" t="s">
        <v>749</v>
      </c>
      <c r="C1236">
        <v>7</v>
      </c>
      <c r="D1236" t="s">
        <v>3439</v>
      </c>
      <c r="E1236" t="s">
        <v>18</v>
      </c>
      <c r="F1236" t="s">
        <v>18</v>
      </c>
      <c r="G1236" t="s">
        <v>20</v>
      </c>
      <c r="H1236" t="s">
        <v>20</v>
      </c>
      <c r="I1236">
        <v>3</v>
      </c>
      <c r="J1236">
        <v>3</v>
      </c>
      <c r="K1236">
        <v>100</v>
      </c>
      <c r="L1236" t="s">
        <v>79</v>
      </c>
      <c r="M1236" t="s">
        <v>123</v>
      </c>
      <c r="N1236" t="s">
        <v>215</v>
      </c>
      <c r="O1236" t="s">
        <v>1177</v>
      </c>
      <c r="P1236" t="s">
        <v>3440</v>
      </c>
      <c r="Q1236">
        <f t="shared" si="342"/>
        <v>4</v>
      </c>
      <c r="R1236">
        <f t="shared" si="343"/>
        <v>4</v>
      </c>
      <c r="S1236">
        <f t="shared" si="344"/>
        <v>2</v>
      </c>
      <c r="T1236">
        <f t="shared" si="345"/>
        <v>2</v>
      </c>
      <c r="U1236">
        <v>100</v>
      </c>
      <c r="V1236">
        <f t="shared" si="346"/>
        <v>0</v>
      </c>
      <c r="W1236">
        <f t="shared" si="347"/>
        <v>1</v>
      </c>
      <c r="X1236">
        <f t="shared" si="348"/>
        <v>0</v>
      </c>
      <c r="Y1236">
        <f t="shared" si="349"/>
        <v>0</v>
      </c>
      <c r="Z1236">
        <f t="shared" si="350"/>
        <v>1</v>
      </c>
      <c r="AA1236">
        <f t="shared" si="351"/>
        <v>0</v>
      </c>
      <c r="AB1236">
        <f t="shared" si="352"/>
        <v>1</v>
      </c>
      <c r="AC1236">
        <f t="shared" si="353"/>
        <v>1</v>
      </c>
      <c r="AD1236">
        <f t="shared" si="354"/>
        <v>0</v>
      </c>
      <c r="AE1236">
        <f t="shared" si="355"/>
        <v>0</v>
      </c>
      <c r="AF1236">
        <f t="shared" si="356"/>
        <v>1</v>
      </c>
      <c r="AG1236">
        <f t="shared" si="357"/>
        <v>0</v>
      </c>
      <c r="AH1236">
        <f t="shared" si="358"/>
        <v>0</v>
      </c>
      <c r="AI1236">
        <f t="shared" si="359"/>
        <v>0</v>
      </c>
    </row>
    <row r="1237" spans="1:35" x14ac:dyDescent="0.2">
      <c r="A1237">
        <v>453</v>
      </c>
      <c r="B1237" t="s">
        <v>749</v>
      </c>
      <c r="C1237">
        <v>3</v>
      </c>
      <c r="D1237" t="s">
        <v>3441</v>
      </c>
      <c r="E1237" t="s">
        <v>18</v>
      </c>
      <c r="F1237" t="s">
        <v>20</v>
      </c>
      <c r="G1237" t="s">
        <v>18</v>
      </c>
      <c r="H1237" t="s">
        <v>21</v>
      </c>
      <c r="I1237">
        <v>2</v>
      </c>
      <c r="J1237">
        <v>3</v>
      </c>
      <c r="K1237" t="s">
        <v>3442</v>
      </c>
      <c r="L1237" t="s">
        <v>79</v>
      </c>
      <c r="M1237" t="s">
        <v>3443</v>
      </c>
      <c r="N1237" t="s">
        <v>36</v>
      </c>
      <c r="O1237" t="s">
        <v>3444</v>
      </c>
      <c r="P1237" t="s">
        <v>3445</v>
      </c>
      <c r="Q1237">
        <f t="shared" si="342"/>
        <v>4</v>
      </c>
      <c r="R1237">
        <f t="shared" si="343"/>
        <v>2</v>
      </c>
      <c r="S1237">
        <f t="shared" si="344"/>
        <v>4</v>
      </c>
      <c r="T1237">
        <f t="shared" si="345"/>
        <v>1</v>
      </c>
      <c r="U1237">
        <v>1</v>
      </c>
      <c r="V1237">
        <f t="shared" si="346"/>
        <v>0</v>
      </c>
      <c r="W1237">
        <f t="shared" si="347"/>
        <v>1</v>
      </c>
      <c r="X1237">
        <f t="shared" si="348"/>
        <v>0</v>
      </c>
      <c r="Y1237">
        <f t="shared" si="349"/>
        <v>0</v>
      </c>
      <c r="Z1237">
        <f t="shared" si="350"/>
        <v>1</v>
      </c>
      <c r="AA1237">
        <f t="shared" si="351"/>
        <v>0</v>
      </c>
      <c r="AB1237">
        <f t="shared" si="352"/>
        <v>0</v>
      </c>
      <c r="AC1237">
        <f t="shared" si="353"/>
        <v>1</v>
      </c>
      <c r="AD1237">
        <f t="shared" si="354"/>
        <v>1</v>
      </c>
      <c r="AE1237">
        <f t="shared" si="355"/>
        <v>1</v>
      </c>
      <c r="AF1237">
        <f t="shared" si="356"/>
        <v>0</v>
      </c>
      <c r="AG1237">
        <f t="shared" si="357"/>
        <v>0</v>
      </c>
      <c r="AH1237">
        <f t="shared" si="358"/>
        <v>0</v>
      </c>
      <c r="AI1237">
        <f t="shared" si="359"/>
        <v>1</v>
      </c>
    </row>
    <row r="1238" spans="1:35" x14ac:dyDescent="0.2">
      <c r="A1238">
        <v>454</v>
      </c>
      <c r="B1238" t="s">
        <v>749</v>
      </c>
      <c r="C1238">
        <v>10</v>
      </c>
      <c r="D1238" t="s">
        <v>3343</v>
      </c>
      <c r="E1238" t="s">
        <v>21</v>
      </c>
      <c r="F1238" t="s">
        <v>39</v>
      </c>
      <c r="G1238" t="s">
        <v>18</v>
      </c>
      <c r="H1238" t="s">
        <v>21</v>
      </c>
      <c r="I1238">
        <v>3</v>
      </c>
      <c r="J1238">
        <v>2</v>
      </c>
      <c r="K1238">
        <v>1000000000</v>
      </c>
      <c r="L1238" t="s">
        <v>194</v>
      </c>
      <c r="M1238" t="s">
        <v>23</v>
      </c>
      <c r="N1238" t="s">
        <v>84</v>
      </c>
      <c r="O1238" t="s">
        <v>1532</v>
      </c>
      <c r="P1238" t="s">
        <v>3446</v>
      </c>
      <c r="Q1238">
        <f t="shared" si="342"/>
        <v>1</v>
      </c>
      <c r="R1238">
        <f t="shared" si="343"/>
        <v>5</v>
      </c>
      <c r="S1238">
        <f t="shared" si="344"/>
        <v>4</v>
      </c>
      <c r="T1238">
        <f t="shared" si="345"/>
        <v>1</v>
      </c>
      <c r="U1238">
        <v>1000000000</v>
      </c>
      <c r="V1238">
        <f t="shared" si="346"/>
        <v>0</v>
      </c>
      <c r="W1238">
        <f t="shared" si="347"/>
        <v>0</v>
      </c>
      <c r="X1238">
        <f t="shared" si="348"/>
        <v>0</v>
      </c>
      <c r="Y1238">
        <f t="shared" si="349"/>
        <v>1</v>
      </c>
      <c r="Z1238">
        <f t="shared" si="350"/>
        <v>1</v>
      </c>
      <c r="AA1238">
        <f t="shared" si="351"/>
        <v>1</v>
      </c>
      <c r="AB1238">
        <f t="shared" si="352"/>
        <v>0</v>
      </c>
      <c r="AC1238">
        <f t="shared" si="353"/>
        <v>0</v>
      </c>
      <c r="AD1238">
        <f t="shared" si="354"/>
        <v>0</v>
      </c>
      <c r="AE1238">
        <f t="shared" si="355"/>
        <v>0</v>
      </c>
      <c r="AF1238">
        <f t="shared" si="356"/>
        <v>0</v>
      </c>
      <c r="AG1238">
        <f t="shared" si="357"/>
        <v>1</v>
      </c>
      <c r="AH1238">
        <f t="shared" si="358"/>
        <v>0</v>
      </c>
      <c r="AI1238">
        <f t="shared" si="359"/>
        <v>0</v>
      </c>
    </row>
    <row r="1239" spans="1:35" x14ac:dyDescent="0.2">
      <c r="A1239">
        <v>455</v>
      </c>
      <c r="B1239" t="s">
        <v>749</v>
      </c>
      <c r="C1239">
        <v>6</v>
      </c>
      <c r="D1239" t="s">
        <v>3447</v>
      </c>
      <c r="E1239" t="s">
        <v>18</v>
      </c>
      <c r="F1239" t="s">
        <v>18</v>
      </c>
      <c r="G1239" t="s">
        <v>18</v>
      </c>
      <c r="H1239" t="s">
        <v>20</v>
      </c>
      <c r="I1239">
        <v>3</v>
      </c>
      <c r="J1239">
        <v>3</v>
      </c>
      <c r="K1239">
        <v>250</v>
      </c>
      <c r="L1239" t="s">
        <v>70</v>
      </c>
      <c r="M1239" t="s">
        <v>154</v>
      </c>
      <c r="N1239" t="s">
        <v>36</v>
      </c>
      <c r="O1239" t="s">
        <v>3448</v>
      </c>
      <c r="P1239" t="s">
        <v>3449</v>
      </c>
      <c r="Q1239">
        <f t="shared" si="342"/>
        <v>4</v>
      </c>
      <c r="R1239">
        <f t="shared" si="343"/>
        <v>4</v>
      </c>
      <c r="S1239">
        <f t="shared" si="344"/>
        <v>4</v>
      </c>
      <c r="T1239">
        <f t="shared" si="345"/>
        <v>2</v>
      </c>
      <c r="U1239">
        <v>250</v>
      </c>
      <c r="V1239">
        <f t="shared" si="346"/>
        <v>0</v>
      </c>
      <c r="W1239">
        <f t="shared" si="347"/>
        <v>0</v>
      </c>
      <c r="X1239">
        <f t="shared" si="348"/>
        <v>0</v>
      </c>
      <c r="Y1239">
        <f t="shared" si="349"/>
        <v>1</v>
      </c>
      <c r="Z1239">
        <f t="shared" si="350"/>
        <v>0</v>
      </c>
      <c r="AA1239">
        <f t="shared" si="351"/>
        <v>1</v>
      </c>
      <c r="AB1239">
        <f t="shared" si="352"/>
        <v>0</v>
      </c>
      <c r="AC1239">
        <f t="shared" si="353"/>
        <v>1</v>
      </c>
      <c r="AD1239">
        <f t="shared" si="354"/>
        <v>0</v>
      </c>
      <c r="AE1239">
        <f t="shared" si="355"/>
        <v>0</v>
      </c>
      <c r="AF1239">
        <f t="shared" si="356"/>
        <v>0</v>
      </c>
      <c r="AG1239">
        <f t="shared" si="357"/>
        <v>0</v>
      </c>
      <c r="AH1239">
        <f t="shared" si="358"/>
        <v>0</v>
      </c>
      <c r="AI1239">
        <f t="shared" si="359"/>
        <v>1</v>
      </c>
    </row>
    <row r="1240" spans="1:35" x14ac:dyDescent="0.2">
      <c r="A1240">
        <v>456</v>
      </c>
      <c r="B1240" t="s">
        <v>749</v>
      </c>
      <c r="C1240">
        <v>5</v>
      </c>
      <c r="D1240" t="s">
        <v>3450</v>
      </c>
      <c r="E1240" t="s">
        <v>20</v>
      </c>
      <c r="F1240" t="s">
        <v>18</v>
      </c>
      <c r="G1240" t="s">
        <v>18</v>
      </c>
      <c r="H1240" t="s">
        <v>20</v>
      </c>
      <c r="I1240">
        <v>3</v>
      </c>
      <c r="J1240">
        <v>11</v>
      </c>
      <c r="K1240">
        <v>10000</v>
      </c>
      <c r="L1240" t="s">
        <v>494</v>
      </c>
      <c r="M1240" t="s">
        <v>135</v>
      </c>
      <c r="N1240" t="s">
        <v>847</v>
      </c>
      <c r="O1240" t="s">
        <v>504</v>
      </c>
      <c r="P1240" t="s">
        <v>3451</v>
      </c>
      <c r="Q1240">
        <f t="shared" si="342"/>
        <v>2</v>
      </c>
      <c r="R1240">
        <f t="shared" si="343"/>
        <v>4</v>
      </c>
      <c r="S1240">
        <f t="shared" si="344"/>
        <v>4</v>
      </c>
      <c r="T1240">
        <f t="shared" si="345"/>
        <v>2</v>
      </c>
      <c r="U1240">
        <v>10000</v>
      </c>
      <c r="V1240">
        <f t="shared" si="346"/>
        <v>0</v>
      </c>
      <c r="W1240">
        <f t="shared" si="347"/>
        <v>1</v>
      </c>
      <c r="X1240">
        <f t="shared" si="348"/>
        <v>1</v>
      </c>
      <c r="Y1240">
        <f t="shared" si="349"/>
        <v>1</v>
      </c>
      <c r="Z1240">
        <f t="shared" si="350"/>
        <v>1</v>
      </c>
      <c r="AA1240">
        <f t="shared" si="351"/>
        <v>1</v>
      </c>
      <c r="AB1240">
        <f t="shared" si="352"/>
        <v>1</v>
      </c>
      <c r="AC1240">
        <f t="shared" si="353"/>
        <v>0</v>
      </c>
      <c r="AD1240">
        <f t="shared" si="354"/>
        <v>0</v>
      </c>
      <c r="AE1240">
        <f t="shared" si="355"/>
        <v>0</v>
      </c>
      <c r="AF1240">
        <f t="shared" si="356"/>
        <v>1</v>
      </c>
      <c r="AG1240">
        <f t="shared" si="357"/>
        <v>0</v>
      </c>
      <c r="AH1240">
        <f t="shared" si="358"/>
        <v>0</v>
      </c>
      <c r="AI1240">
        <f t="shared" si="359"/>
        <v>1</v>
      </c>
    </row>
    <row r="1241" spans="1:35" x14ac:dyDescent="0.2">
      <c r="A1241">
        <v>457</v>
      </c>
      <c r="B1241" t="s">
        <v>749</v>
      </c>
      <c r="C1241">
        <v>6</v>
      </c>
      <c r="D1241" t="s">
        <v>3452</v>
      </c>
      <c r="E1241" t="s">
        <v>20</v>
      </c>
      <c r="F1241" t="s">
        <v>18</v>
      </c>
      <c r="G1241" t="s">
        <v>18</v>
      </c>
      <c r="H1241" t="s">
        <v>21</v>
      </c>
      <c r="I1241">
        <v>5</v>
      </c>
      <c r="J1241">
        <v>3</v>
      </c>
      <c r="K1241">
        <v>10000</v>
      </c>
      <c r="L1241" t="s">
        <v>70</v>
      </c>
      <c r="M1241" t="s">
        <v>48</v>
      </c>
      <c r="N1241" t="s">
        <v>84</v>
      </c>
      <c r="O1241" t="s">
        <v>909</v>
      </c>
      <c r="P1241" t="s">
        <v>3453</v>
      </c>
      <c r="Q1241">
        <f t="shared" si="342"/>
        <v>2</v>
      </c>
      <c r="R1241">
        <f t="shared" si="343"/>
        <v>4</v>
      </c>
      <c r="S1241">
        <f t="shared" si="344"/>
        <v>4</v>
      </c>
      <c r="T1241">
        <f t="shared" si="345"/>
        <v>1</v>
      </c>
      <c r="U1241">
        <v>10000</v>
      </c>
      <c r="V1241">
        <f t="shared" si="346"/>
        <v>0</v>
      </c>
      <c r="W1241">
        <f t="shared" si="347"/>
        <v>0</v>
      </c>
      <c r="X1241">
        <f t="shared" si="348"/>
        <v>0</v>
      </c>
      <c r="Y1241">
        <f t="shared" si="349"/>
        <v>1</v>
      </c>
      <c r="Z1241">
        <f t="shared" si="350"/>
        <v>0</v>
      </c>
      <c r="AA1241">
        <f t="shared" si="351"/>
        <v>1</v>
      </c>
      <c r="AB1241">
        <f t="shared" si="352"/>
        <v>1</v>
      </c>
      <c r="AC1241">
        <f t="shared" si="353"/>
        <v>1</v>
      </c>
      <c r="AD1241">
        <f t="shared" si="354"/>
        <v>0</v>
      </c>
      <c r="AE1241">
        <f t="shared" si="355"/>
        <v>0</v>
      </c>
      <c r="AF1241">
        <f t="shared" si="356"/>
        <v>0</v>
      </c>
      <c r="AG1241">
        <f t="shared" si="357"/>
        <v>1</v>
      </c>
      <c r="AH1241">
        <f t="shared" si="358"/>
        <v>0</v>
      </c>
      <c r="AI1241">
        <f t="shared" si="359"/>
        <v>0</v>
      </c>
    </row>
    <row r="1242" spans="1:35" x14ac:dyDescent="0.2">
      <c r="A1242">
        <v>458</v>
      </c>
      <c r="B1242" t="s">
        <v>749</v>
      </c>
      <c r="C1242">
        <v>9</v>
      </c>
      <c r="D1242" t="s">
        <v>3454</v>
      </c>
      <c r="E1242" t="s">
        <v>19</v>
      </c>
      <c r="F1242" t="s">
        <v>18</v>
      </c>
      <c r="G1242" t="s">
        <v>39</v>
      </c>
      <c r="H1242" t="s">
        <v>20</v>
      </c>
      <c r="I1242">
        <v>4</v>
      </c>
      <c r="J1242">
        <v>3</v>
      </c>
      <c r="K1242">
        <v>100</v>
      </c>
      <c r="L1242" t="s">
        <v>70</v>
      </c>
      <c r="M1242" t="s">
        <v>123</v>
      </c>
      <c r="N1242" t="s">
        <v>24</v>
      </c>
      <c r="O1242" t="s">
        <v>3455</v>
      </c>
      <c r="P1242" t="s">
        <v>3456</v>
      </c>
      <c r="Q1242">
        <f t="shared" si="342"/>
        <v>3</v>
      </c>
      <c r="R1242">
        <f t="shared" si="343"/>
        <v>4</v>
      </c>
      <c r="S1242">
        <f t="shared" si="344"/>
        <v>5</v>
      </c>
      <c r="T1242">
        <f t="shared" si="345"/>
        <v>2</v>
      </c>
      <c r="U1242">
        <v>100</v>
      </c>
      <c r="V1242">
        <f t="shared" si="346"/>
        <v>0</v>
      </c>
      <c r="W1242">
        <f t="shared" si="347"/>
        <v>0</v>
      </c>
      <c r="X1242">
        <f t="shared" si="348"/>
        <v>0</v>
      </c>
      <c r="Y1242">
        <f t="shared" si="349"/>
        <v>1</v>
      </c>
      <c r="Z1242">
        <f t="shared" si="350"/>
        <v>0</v>
      </c>
      <c r="AA1242">
        <f t="shared" si="351"/>
        <v>0</v>
      </c>
      <c r="AB1242">
        <f t="shared" si="352"/>
        <v>1</v>
      </c>
      <c r="AC1242">
        <f t="shared" si="353"/>
        <v>1</v>
      </c>
      <c r="AD1242">
        <f t="shared" si="354"/>
        <v>0</v>
      </c>
      <c r="AE1242">
        <f t="shared" si="355"/>
        <v>0</v>
      </c>
      <c r="AF1242">
        <f t="shared" si="356"/>
        <v>0</v>
      </c>
      <c r="AG1242">
        <f t="shared" si="357"/>
        <v>0</v>
      </c>
      <c r="AH1242">
        <f t="shared" si="358"/>
        <v>1</v>
      </c>
      <c r="AI1242">
        <f t="shared" si="359"/>
        <v>0</v>
      </c>
    </row>
    <row r="1243" spans="1:35" x14ac:dyDescent="0.2">
      <c r="A1243">
        <v>459</v>
      </c>
      <c r="B1243" t="s">
        <v>749</v>
      </c>
      <c r="C1243">
        <v>8</v>
      </c>
      <c r="D1243" t="s">
        <v>3457</v>
      </c>
      <c r="E1243" t="s">
        <v>21</v>
      </c>
      <c r="F1243" t="s">
        <v>18</v>
      </c>
      <c r="G1243" t="s">
        <v>18</v>
      </c>
      <c r="H1243" t="s">
        <v>20</v>
      </c>
      <c r="I1243">
        <v>2</v>
      </c>
      <c r="J1243">
        <v>5</v>
      </c>
      <c r="K1243" s="1">
        <v>60</v>
      </c>
      <c r="L1243" t="s">
        <v>194</v>
      </c>
      <c r="M1243" t="s">
        <v>48</v>
      </c>
      <c r="N1243" t="s">
        <v>84</v>
      </c>
      <c r="O1243" t="s">
        <v>3458</v>
      </c>
      <c r="P1243" t="s">
        <v>3459</v>
      </c>
      <c r="Q1243">
        <f t="shared" si="342"/>
        <v>1</v>
      </c>
      <c r="R1243">
        <f t="shared" si="343"/>
        <v>4</v>
      </c>
      <c r="S1243">
        <f t="shared" si="344"/>
        <v>4</v>
      </c>
      <c r="T1243">
        <f t="shared" si="345"/>
        <v>2</v>
      </c>
      <c r="U1243">
        <v>60</v>
      </c>
      <c r="V1243">
        <f t="shared" si="346"/>
        <v>0</v>
      </c>
      <c r="W1243">
        <f t="shared" si="347"/>
        <v>0</v>
      </c>
      <c r="X1243">
        <f t="shared" si="348"/>
        <v>0</v>
      </c>
      <c r="Y1243">
        <f t="shared" si="349"/>
        <v>1</v>
      </c>
      <c r="Z1243">
        <f t="shared" si="350"/>
        <v>1</v>
      </c>
      <c r="AA1243">
        <f t="shared" si="351"/>
        <v>1</v>
      </c>
      <c r="AB1243">
        <f t="shared" si="352"/>
        <v>1</v>
      </c>
      <c r="AC1243">
        <f t="shared" si="353"/>
        <v>1</v>
      </c>
      <c r="AD1243">
        <f t="shared" si="354"/>
        <v>0</v>
      </c>
      <c r="AE1243">
        <f t="shared" si="355"/>
        <v>0</v>
      </c>
      <c r="AF1243">
        <f t="shared" si="356"/>
        <v>0</v>
      </c>
      <c r="AG1243">
        <f t="shared" si="357"/>
        <v>1</v>
      </c>
      <c r="AH1243">
        <f t="shared" si="358"/>
        <v>0</v>
      </c>
      <c r="AI1243">
        <f t="shared" si="359"/>
        <v>0</v>
      </c>
    </row>
    <row r="1244" spans="1:35" x14ac:dyDescent="0.2">
      <c r="A1244">
        <v>460</v>
      </c>
      <c r="B1244" t="s">
        <v>749</v>
      </c>
      <c r="C1244">
        <v>6</v>
      </c>
      <c r="D1244" t="s">
        <v>3460</v>
      </c>
      <c r="E1244" t="s">
        <v>18</v>
      </c>
      <c r="F1244" t="s">
        <v>19</v>
      </c>
      <c r="G1244" t="s">
        <v>19</v>
      </c>
      <c r="H1244" t="s">
        <v>21</v>
      </c>
      <c r="I1244">
        <v>2</v>
      </c>
      <c r="J1244">
        <v>3</v>
      </c>
      <c r="K1244">
        <v>100</v>
      </c>
      <c r="L1244" t="s">
        <v>22</v>
      </c>
      <c r="M1244" t="s">
        <v>23</v>
      </c>
      <c r="N1244" t="s">
        <v>147</v>
      </c>
      <c r="O1244" t="s">
        <v>3461</v>
      </c>
      <c r="P1244" t="s">
        <v>3462</v>
      </c>
      <c r="Q1244">
        <f t="shared" si="342"/>
        <v>4</v>
      </c>
      <c r="R1244">
        <f t="shared" si="343"/>
        <v>3</v>
      </c>
      <c r="S1244">
        <f t="shared" si="344"/>
        <v>3</v>
      </c>
      <c r="T1244">
        <f t="shared" si="345"/>
        <v>1</v>
      </c>
      <c r="U1244">
        <v>100</v>
      </c>
      <c r="V1244">
        <f t="shared" si="346"/>
        <v>1</v>
      </c>
      <c r="W1244">
        <f t="shared" si="347"/>
        <v>0</v>
      </c>
      <c r="X1244">
        <f t="shared" si="348"/>
        <v>0</v>
      </c>
      <c r="Y1244">
        <f t="shared" si="349"/>
        <v>0</v>
      </c>
      <c r="Z1244">
        <f t="shared" si="350"/>
        <v>0</v>
      </c>
      <c r="AA1244">
        <f t="shared" si="351"/>
        <v>1</v>
      </c>
      <c r="AB1244">
        <f t="shared" si="352"/>
        <v>0</v>
      </c>
      <c r="AC1244">
        <f t="shared" si="353"/>
        <v>0</v>
      </c>
      <c r="AD1244">
        <f t="shared" si="354"/>
        <v>0</v>
      </c>
      <c r="AE1244">
        <f t="shared" si="355"/>
        <v>0</v>
      </c>
      <c r="AF1244">
        <f t="shared" si="356"/>
        <v>0</v>
      </c>
      <c r="AG1244">
        <f t="shared" si="357"/>
        <v>0</v>
      </c>
      <c r="AH1244">
        <f t="shared" si="358"/>
        <v>1</v>
      </c>
      <c r="AI1244">
        <f t="shared" si="359"/>
        <v>1</v>
      </c>
    </row>
    <row r="1245" spans="1:35" x14ac:dyDescent="0.2">
      <c r="A1245">
        <v>461</v>
      </c>
      <c r="B1245" t="s">
        <v>749</v>
      </c>
      <c r="C1245">
        <v>8</v>
      </c>
      <c r="D1245" t="s">
        <v>976</v>
      </c>
      <c r="E1245" t="s">
        <v>18</v>
      </c>
      <c r="F1245" t="s">
        <v>18</v>
      </c>
      <c r="G1245" t="s">
        <v>18</v>
      </c>
      <c r="H1245" t="s">
        <v>20</v>
      </c>
      <c r="I1245">
        <v>2</v>
      </c>
      <c r="J1245">
        <v>2</v>
      </c>
      <c r="K1245">
        <v>200</v>
      </c>
      <c r="L1245" t="s">
        <v>70</v>
      </c>
      <c r="M1245" t="s">
        <v>1161</v>
      </c>
      <c r="N1245" t="s">
        <v>36</v>
      </c>
      <c r="O1245" t="s">
        <v>3463</v>
      </c>
      <c r="P1245" t="s">
        <v>1131</v>
      </c>
      <c r="Q1245">
        <f t="shared" si="342"/>
        <v>4</v>
      </c>
      <c r="R1245">
        <f t="shared" si="343"/>
        <v>4</v>
      </c>
      <c r="S1245">
        <f t="shared" si="344"/>
        <v>4</v>
      </c>
      <c r="T1245">
        <f t="shared" si="345"/>
        <v>2</v>
      </c>
      <c r="U1245">
        <v>200</v>
      </c>
      <c r="V1245">
        <f t="shared" si="346"/>
        <v>0</v>
      </c>
      <c r="W1245">
        <f t="shared" si="347"/>
        <v>0</v>
      </c>
      <c r="X1245">
        <f t="shared" si="348"/>
        <v>0</v>
      </c>
      <c r="Y1245">
        <f t="shared" si="349"/>
        <v>1</v>
      </c>
      <c r="Z1245">
        <f t="shared" si="350"/>
        <v>0</v>
      </c>
      <c r="AA1245">
        <f t="shared" si="351"/>
        <v>0</v>
      </c>
      <c r="AB1245">
        <f t="shared" si="352"/>
        <v>0</v>
      </c>
      <c r="AC1245">
        <f t="shared" si="353"/>
        <v>1</v>
      </c>
      <c r="AD1245">
        <f t="shared" si="354"/>
        <v>0</v>
      </c>
      <c r="AE1245">
        <f t="shared" si="355"/>
        <v>1</v>
      </c>
      <c r="AF1245">
        <f t="shared" si="356"/>
        <v>0</v>
      </c>
      <c r="AG1245">
        <f t="shared" si="357"/>
        <v>0</v>
      </c>
      <c r="AH1245">
        <f t="shared" si="358"/>
        <v>0</v>
      </c>
      <c r="AI1245">
        <f t="shared" si="359"/>
        <v>1</v>
      </c>
    </row>
    <row r="1246" spans="1:35" x14ac:dyDescent="0.2">
      <c r="A1246">
        <v>462</v>
      </c>
      <c r="B1246" t="s">
        <v>749</v>
      </c>
      <c r="C1246">
        <v>2</v>
      </c>
      <c r="D1246" t="s">
        <v>3464</v>
      </c>
      <c r="E1246" t="s">
        <v>20</v>
      </c>
      <c r="F1246" t="s">
        <v>18</v>
      </c>
      <c r="G1246" t="s">
        <v>39</v>
      </c>
      <c r="H1246" t="s">
        <v>20</v>
      </c>
      <c r="I1246">
        <v>3</v>
      </c>
      <c r="J1246">
        <v>21</v>
      </c>
      <c r="K1246">
        <v>100</v>
      </c>
      <c r="L1246" t="s">
        <v>601</v>
      </c>
      <c r="M1246" t="s">
        <v>48</v>
      </c>
      <c r="N1246" t="s">
        <v>36</v>
      </c>
      <c r="O1246" t="s">
        <v>3465</v>
      </c>
      <c r="P1246" t="s">
        <v>3466</v>
      </c>
      <c r="Q1246">
        <f t="shared" si="342"/>
        <v>2</v>
      </c>
      <c r="R1246">
        <f t="shared" si="343"/>
        <v>4</v>
      </c>
      <c r="S1246">
        <f t="shared" si="344"/>
        <v>5</v>
      </c>
      <c r="T1246">
        <f t="shared" si="345"/>
        <v>2</v>
      </c>
      <c r="U1246">
        <v>100</v>
      </c>
      <c r="V1246">
        <f t="shared" si="346"/>
        <v>0</v>
      </c>
      <c r="W1246">
        <f t="shared" si="347"/>
        <v>1</v>
      </c>
      <c r="X1246">
        <f t="shared" si="348"/>
        <v>0</v>
      </c>
      <c r="Y1246">
        <f t="shared" si="349"/>
        <v>1</v>
      </c>
      <c r="Z1246">
        <f t="shared" si="350"/>
        <v>1</v>
      </c>
      <c r="AA1246">
        <f t="shared" si="351"/>
        <v>1</v>
      </c>
      <c r="AB1246">
        <f t="shared" si="352"/>
        <v>1</v>
      </c>
      <c r="AC1246">
        <f t="shared" si="353"/>
        <v>1</v>
      </c>
      <c r="AD1246">
        <f t="shared" si="354"/>
        <v>0</v>
      </c>
      <c r="AE1246">
        <f t="shared" si="355"/>
        <v>0</v>
      </c>
      <c r="AF1246">
        <f t="shared" si="356"/>
        <v>0</v>
      </c>
      <c r="AG1246">
        <f t="shared" si="357"/>
        <v>0</v>
      </c>
      <c r="AH1246">
        <f t="shared" si="358"/>
        <v>0</v>
      </c>
      <c r="AI1246">
        <f t="shared" si="359"/>
        <v>1</v>
      </c>
    </row>
    <row r="1247" spans="1:35" x14ac:dyDescent="0.2">
      <c r="A1247">
        <v>463</v>
      </c>
      <c r="B1247" t="s">
        <v>749</v>
      </c>
      <c r="C1247">
        <v>7</v>
      </c>
      <c r="D1247" t="s">
        <v>3467</v>
      </c>
      <c r="E1247" t="s">
        <v>19</v>
      </c>
      <c r="F1247" t="s">
        <v>18</v>
      </c>
      <c r="G1247" t="s">
        <v>39</v>
      </c>
      <c r="H1247" t="s">
        <v>21</v>
      </c>
      <c r="I1247">
        <v>3</v>
      </c>
      <c r="J1247">
        <v>3</v>
      </c>
      <c r="K1247">
        <v>100</v>
      </c>
      <c r="L1247" t="s">
        <v>70</v>
      </c>
      <c r="M1247" t="s">
        <v>23</v>
      </c>
      <c r="N1247" t="s">
        <v>24</v>
      </c>
      <c r="O1247" t="s">
        <v>3468</v>
      </c>
      <c r="P1247" t="s">
        <v>3469</v>
      </c>
      <c r="Q1247">
        <f t="shared" si="342"/>
        <v>3</v>
      </c>
      <c r="R1247">
        <f t="shared" si="343"/>
        <v>4</v>
      </c>
      <c r="S1247">
        <f t="shared" si="344"/>
        <v>5</v>
      </c>
      <c r="T1247">
        <f t="shared" si="345"/>
        <v>1</v>
      </c>
      <c r="U1247">
        <v>100</v>
      </c>
      <c r="V1247">
        <f t="shared" si="346"/>
        <v>0</v>
      </c>
      <c r="W1247">
        <f t="shared" si="347"/>
        <v>0</v>
      </c>
      <c r="X1247">
        <f t="shared" si="348"/>
        <v>0</v>
      </c>
      <c r="Y1247">
        <f t="shared" si="349"/>
        <v>1</v>
      </c>
      <c r="Z1247">
        <f t="shared" si="350"/>
        <v>0</v>
      </c>
      <c r="AA1247">
        <f t="shared" si="351"/>
        <v>1</v>
      </c>
      <c r="AB1247">
        <f t="shared" si="352"/>
        <v>0</v>
      </c>
      <c r="AC1247">
        <f t="shared" si="353"/>
        <v>0</v>
      </c>
      <c r="AD1247">
        <f t="shared" si="354"/>
        <v>0</v>
      </c>
      <c r="AE1247">
        <f t="shared" si="355"/>
        <v>0</v>
      </c>
      <c r="AF1247">
        <f t="shared" si="356"/>
        <v>0</v>
      </c>
      <c r="AG1247">
        <f t="shared" si="357"/>
        <v>0</v>
      </c>
      <c r="AH1247">
        <f t="shared" si="358"/>
        <v>1</v>
      </c>
      <c r="AI1247">
        <f t="shared" si="359"/>
        <v>0</v>
      </c>
    </row>
    <row r="1248" spans="1:35" x14ac:dyDescent="0.2">
      <c r="A1248">
        <v>464</v>
      </c>
      <c r="B1248" t="s">
        <v>749</v>
      </c>
      <c r="C1248">
        <v>7</v>
      </c>
      <c r="D1248" t="s">
        <v>1199</v>
      </c>
      <c r="E1248" t="s">
        <v>20</v>
      </c>
      <c r="F1248" t="s">
        <v>19</v>
      </c>
      <c r="G1248" t="s">
        <v>18</v>
      </c>
      <c r="H1248" t="s">
        <v>20</v>
      </c>
      <c r="I1248">
        <v>4</v>
      </c>
      <c r="J1248">
        <v>4</v>
      </c>
      <c r="K1248">
        <v>10000</v>
      </c>
      <c r="L1248" t="s">
        <v>70</v>
      </c>
      <c r="M1248" t="s">
        <v>123</v>
      </c>
      <c r="N1248" t="s">
        <v>36</v>
      </c>
      <c r="O1248" t="s">
        <v>1558</v>
      </c>
      <c r="P1248" t="s">
        <v>3470</v>
      </c>
      <c r="Q1248">
        <f t="shared" si="342"/>
        <v>2</v>
      </c>
      <c r="R1248">
        <f t="shared" si="343"/>
        <v>3</v>
      </c>
      <c r="S1248">
        <f t="shared" si="344"/>
        <v>4</v>
      </c>
      <c r="T1248">
        <f t="shared" si="345"/>
        <v>2</v>
      </c>
      <c r="U1248">
        <v>10000</v>
      </c>
      <c r="V1248">
        <f t="shared" si="346"/>
        <v>0</v>
      </c>
      <c r="W1248">
        <f t="shared" si="347"/>
        <v>0</v>
      </c>
      <c r="X1248">
        <f t="shared" si="348"/>
        <v>0</v>
      </c>
      <c r="Y1248">
        <f t="shared" si="349"/>
        <v>1</v>
      </c>
      <c r="Z1248">
        <f t="shared" si="350"/>
        <v>0</v>
      </c>
      <c r="AA1248">
        <f t="shared" si="351"/>
        <v>0</v>
      </c>
      <c r="AB1248">
        <f t="shared" si="352"/>
        <v>1</v>
      </c>
      <c r="AC1248">
        <f t="shared" si="353"/>
        <v>1</v>
      </c>
      <c r="AD1248">
        <f t="shared" si="354"/>
        <v>0</v>
      </c>
      <c r="AE1248">
        <f t="shared" si="355"/>
        <v>0</v>
      </c>
      <c r="AF1248">
        <f t="shared" si="356"/>
        <v>0</v>
      </c>
      <c r="AG1248">
        <f t="shared" si="357"/>
        <v>0</v>
      </c>
      <c r="AH1248">
        <f t="shared" si="358"/>
        <v>0</v>
      </c>
      <c r="AI1248">
        <f t="shared" si="359"/>
        <v>1</v>
      </c>
    </row>
    <row r="1249" spans="1:35" x14ac:dyDescent="0.2">
      <c r="A1249">
        <v>465</v>
      </c>
      <c r="B1249" t="s">
        <v>749</v>
      </c>
      <c r="C1249">
        <v>7</v>
      </c>
      <c r="D1249" t="s">
        <v>3471</v>
      </c>
      <c r="E1249" t="s">
        <v>20</v>
      </c>
      <c r="F1249" t="s">
        <v>18</v>
      </c>
      <c r="G1249" t="s">
        <v>18</v>
      </c>
      <c r="H1249" t="s">
        <v>20</v>
      </c>
      <c r="I1249">
        <v>3</v>
      </c>
      <c r="J1249">
        <v>3</v>
      </c>
      <c r="K1249" s="1">
        <v>500</v>
      </c>
      <c r="L1249" t="s">
        <v>79</v>
      </c>
      <c r="M1249" t="s">
        <v>48</v>
      </c>
      <c r="N1249" t="s">
        <v>43</v>
      </c>
      <c r="O1249" t="s">
        <v>148</v>
      </c>
      <c r="P1249" t="s">
        <v>3472</v>
      </c>
      <c r="Q1249">
        <f t="shared" si="342"/>
        <v>2</v>
      </c>
      <c r="R1249">
        <f t="shared" si="343"/>
        <v>4</v>
      </c>
      <c r="S1249">
        <f t="shared" si="344"/>
        <v>4</v>
      </c>
      <c r="T1249">
        <f t="shared" si="345"/>
        <v>2</v>
      </c>
      <c r="U1249">
        <v>500</v>
      </c>
      <c r="V1249">
        <f t="shared" si="346"/>
        <v>0</v>
      </c>
      <c r="W1249">
        <f t="shared" si="347"/>
        <v>1</v>
      </c>
      <c r="X1249">
        <f t="shared" si="348"/>
        <v>0</v>
      </c>
      <c r="Y1249">
        <f t="shared" si="349"/>
        <v>0</v>
      </c>
      <c r="Z1249">
        <f t="shared" si="350"/>
        <v>1</v>
      </c>
      <c r="AA1249">
        <f t="shared" si="351"/>
        <v>1</v>
      </c>
      <c r="AB1249">
        <f t="shared" si="352"/>
        <v>1</v>
      </c>
      <c r="AC1249">
        <f t="shared" si="353"/>
        <v>1</v>
      </c>
      <c r="AD1249">
        <f t="shared" si="354"/>
        <v>0</v>
      </c>
      <c r="AE1249">
        <f t="shared" si="355"/>
        <v>0</v>
      </c>
      <c r="AF1249">
        <f t="shared" si="356"/>
        <v>1</v>
      </c>
      <c r="AG1249">
        <f t="shared" si="357"/>
        <v>1</v>
      </c>
      <c r="AH1249">
        <f t="shared" si="358"/>
        <v>0</v>
      </c>
      <c r="AI1249">
        <f t="shared" si="359"/>
        <v>0</v>
      </c>
    </row>
    <row r="1250" spans="1:35" x14ac:dyDescent="0.2">
      <c r="A1250">
        <v>466</v>
      </c>
      <c r="B1250" t="s">
        <v>749</v>
      </c>
      <c r="C1250">
        <v>7</v>
      </c>
      <c r="D1250" t="s">
        <v>3473</v>
      </c>
      <c r="E1250" t="s">
        <v>20</v>
      </c>
      <c r="F1250" t="s">
        <v>18</v>
      </c>
      <c r="G1250" t="s">
        <v>39</v>
      </c>
      <c r="H1250" t="s">
        <v>21</v>
      </c>
      <c r="I1250">
        <v>3</v>
      </c>
      <c r="J1250">
        <v>3</v>
      </c>
      <c r="K1250">
        <v>50</v>
      </c>
      <c r="L1250" t="s">
        <v>70</v>
      </c>
      <c r="M1250" t="s">
        <v>115</v>
      </c>
      <c r="N1250" t="s">
        <v>36</v>
      </c>
      <c r="O1250" t="s">
        <v>3474</v>
      </c>
      <c r="P1250" t="s">
        <v>3475</v>
      </c>
      <c r="Q1250">
        <f t="shared" si="342"/>
        <v>2</v>
      </c>
      <c r="R1250">
        <f t="shared" si="343"/>
        <v>4</v>
      </c>
      <c r="S1250">
        <f t="shared" si="344"/>
        <v>5</v>
      </c>
      <c r="T1250">
        <f t="shared" si="345"/>
        <v>1</v>
      </c>
      <c r="U1250">
        <v>50</v>
      </c>
      <c r="V1250">
        <f t="shared" si="346"/>
        <v>0</v>
      </c>
      <c r="W1250">
        <f t="shared" si="347"/>
        <v>0</v>
      </c>
      <c r="X1250">
        <f t="shared" si="348"/>
        <v>0</v>
      </c>
      <c r="Y1250">
        <f t="shared" si="349"/>
        <v>1</v>
      </c>
      <c r="Z1250">
        <f t="shared" si="350"/>
        <v>0</v>
      </c>
      <c r="AA1250">
        <f t="shared" si="351"/>
        <v>0</v>
      </c>
      <c r="AB1250">
        <f t="shared" si="352"/>
        <v>0</v>
      </c>
      <c r="AC1250">
        <f t="shared" si="353"/>
        <v>1</v>
      </c>
      <c r="AD1250">
        <f t="shared" si="354"/>
        <v>0</v>
      </c>
      <c r="AE1250">
        <f t="shared" si="355"/>
        <v>0</v>
      </c>
      <c r="AF1250">
        <f t="shared" si="356"/>
        <v>0</v>
      </c>
      <c r="AG1250">
        <f t="shared" si="357"/>
        <v>0</v>
      </c>
      <c r="AH1250">
        <f t="shared" si="358"/>
        <v>0</v>
      </c>
      <c r="AI1250">
        <f t="shared" si="359"/>
        <v>1</v>
      </c>
    </row>
    <row r="1251" spans="1:35" x14ac:dyDescent="0.2">
      <c r="A1251">
        <v>467</v>
      </c>
      <c r="B1251" t="s">
        <v>749</v>
      </c>
      <c r="C1251">
        <v>4</v>
      </c>
      <c r="D1251" t="s">
        <v>1199</v>
      </c>
      <c r="E1251" t="s">
        <v>20</v>
      </c>
      <c r="F1251" t="s">
        <v>18</v>
      </c>
      <c r="G1251" t="s">
        <v>39</v>
      </c>
      <c r="H1251" t="s">
        <v>20</v>
      </c>
      <c r="I1251">
        <v>3</v>
      </c>
      <c r="J1251">
        <v>3</v>
      </c>
      <c r="K1251">
        <v>100</v>
      </c>
      <c r="L1251" t="s">
        <v>53</v>
      </c>
      <c r="M1251" t="s">
        <v>115</v>
      </c>
      <c r="N1251" t="s">
        <v>36</v>
      </c>
      <c r="O1251" t="s">
        <v>3476</v>
      </c>
      <c r="P1251" t="s">
        <v>3477</v>
      </c>
      <c r="Q1251">
        <f t="shared" si="342"/>
        <v>2</v>
      </c>
      <c r="R1251">
        <f t="shared" si="343"/>
        <v>4</v>
      </c>
      <c r="S1251">
        <f t="shared" si="344"/>
        <v>5</v>
      </c>
      <c r="T1251">
        <f t="shared" si="345"/>
        <v>2</v>
      </c>
      <c r="U1251">
        <v>100</v>
      </c>
      <c r="V1251">
        <f t="shared" si="346"/>
        <v>0</v>
      </c>
      <c r="W1251">
        <f t="shared" si="347"/>
        <v>0</v>
      </c>
      <c r="X1251">
        <f t="shared" si="348"/>
        <v>1</v>
      </c>
      <c r="Y1251">
        <f t="shared" si="349"/>
        <v>0</v>
      </c>
      <c r="Z1251">
        <f t="shared" si="350"/>
        <v>0</v>
      </c>
      <c r="AA1251">
        <f t="shared" si="351"/>
        <v>0</v>
      </c>
      <c r="AB1251">
        <f t="shared" si="352"/>
        <v>0</v>
      </c>
      <c r="AC1251">
        <f t="shared" si="353"/>
        <v>1</v>
      </c>
      <c r="AD1251">
        <f t="shared" si="354"/>
        <v>0</v>
      </c>
      <c r="AE1251">
        <f t="shared" si="355"/>
        <v>0</v>
      </c>
      <c r="AF1251">
        <f t="shared" si="356"/>
        <v>0</v>
      </c>
      <c r="AG1251">
        <f t="shared" si="357"/>
        <v>0</v>
      </c>
      <c r="AH1251">
        <f t="shared" si="358"/>
        <v>0</v>
      </c>
      <c r="AI1251">
        <f t="shared" si="359"/>
        <v>1</v>
      </c>
    </row>
    <row r="1252" spans="1:35" x14ac:dyDescent="0.2">
      <c r="A1252">
        <v>468</v>
      </c>
      <c r="B1252" t="s">
        <v>749</v>
      </c>
      <c r="C1252">
        <v>9</v>
      </c>
      <c r="D1252" t="s">
        <v>3478</v>
      </c>
      <c r="E1252" t="s">
        <v>21</v>
      </c>
      <c r="F1252" t="s">
        <v>18</v>
      </c>
      <c r="G1252" t="s">
        <v>18</v>
      </c>
      <c r="H1252" t="s">
        <v>21</v>
      </c>
      <c r="I1252">
        <v>3</v>
      </c>
      <c r="J1252">
        <v>3</v>
      </c>
      <c r="K1252">
        <v>10000</v>
      </c>
      <c r="L1252" t="s">
        <v>41</v>
      </c>
      <c r="M1252" t="s">
        <v>154</v>
      </c>
      <c r="N1252" t="s">
        <v>84</v>
      </c>
      <c r="O1252" t="s">
        <v>3479</v>
      </c>
      <c r="P1252" t="s">
        <v>3480</v>
      </c>
      <c r="Q1252">
        <f t="shared" si="342"/>
        <v>1</v>
      </c>
      <c r="R1252">
        <f t="shared" si="343"/>
        <v>4</v>
      </c>
      <c r="S1252">
        <f t="shared" si="344"/>
        <v>4</v>
      </c>
      <c r="T1252">
        <f t="shared" si="345"/>
        <v>1</v>
      </c>
      <c r="U1252">
        <v>10000</v>
      </c>
      <c r="V1252">
        <f t="shared" si="346"/>
        <v>0</v>
      </c>
      <c r="W1252">
        <f t="shared" si="347"/>
        <v>0</v>
      </c>
      <c r="X1252">
        <f t="shared" si="348"/>
        <v>0</v>
      </c>
      <c r="Y1252">
        <f t="shared" si="349"/>
        <v>0</v>
      </c>
      <c r="Z1252">
        <f t="shared" si="350"/>
        <v>1</v>
      </c>
      <c r="AA1252">
        <f t="shared" si="351"/>
        <v>1</v>
      </c>
      <c r="AB1252">
        <f t="shared" si="352"/>
        <v>0</v>
      </c>
      <c r="AC1252">
        <f t="shared" si="353"/>
        <v>1</v>
      </c>
      <c r="AD1252">
        <f t="shared" si="354"/>
        <v>0</v>
      </c>
      <c r="AE1252">
        <f t="shared" si="355"/>
        <v>0</v>
      </c>
      <c r="AF1252">
        <f t="shared" si="356"/>
        <v>0</v>
      </c>
      <c r="AG1252">
        <f t="shared" si="357"/>
        <v>1</v>
      </c>
      <c r="AH1252">
        <f t="shared" si="358"/>
        <v>0</v>
      </c>
      <c r="AI1252">
        <f t="shared" si="359"/>
        <v>0</v>
      </c>
    </row>
    <row r="1253" spans="1:35" x14ac:dyDescent="0.2">
      <c r="A1253">
        <v>469</v>
      </c>
      <c r="B1253" t="s">
        <v>749</v>
      </c>
      <c r="C1253">
        <v>8</v>
      </c>
      <c r="D1253" t="s">
        <v>3481</v>
      </c>
      <c r="E1253" t="s">
        <v>18</v>
      </c>
      <c r="F1253" t="s">
        <v>20</v>
      </c>
      <c r="G1253" t="s">
        <v>19</v>
      </c>
      <c r="H1253" t="s">
        <v>20</v>
      </c>
      <c r="I1253">
        <v>3</v>
      </c>
      <c r="J1253">
        <v>2</v>
      </c>
      <c r="K1253">
        <v>300</v>
      </c>
      <c r="L1253" t="s">
        <v>70</v>
      </c>
      <c r="M1253" t="s">
        <v>219</v>
      </c>
      <c r="N1253" t="s">
        <v>36</v>
      </c>
      <c r="O1253" t="s">
        <v>1382</v>
      </c>
      <c r="P1253" t="s">
        <v>3482</v>
      </c>
      <c r="Q1253">
        <f t="shared" si="342"/>
        <v>4</v>
      </c>
      <c r="R1253">
        <f t="shared" si="343"/>
        <v>2</v>
      </c>
      <c r="S1253">
        <f t="shared" si="344"/>
        <v>3</v>
      </c>
      <c r="T1253">
        <f t="shared" si="345"/>
        <v>2</v>
      </c>
      <c r="U1253">
        <v>300</v>
      </c>
      <c r="V1253">
        <f t="shared" si="346"/>
        <v>0</v>
      </c>
      <c r="W1253">
        <f t="shared" si="347"/>
        <v>0</v>
      </c>
      <c r="X1253">
        <f t="shared" si="348"/>
        <v>0</v>
      </c>
      <c r="Y1253">
        <f t="shared" si="349"/>
        <v>1</v>
      </c>
      <c r="Z1253">
        <f t="shared" si="350"/>
        <v>0</v>
      </c>
      <c r="AA1253">
        <f t="shared" si="351"/>
        <v>0</v>
      </c>
      <c r="AB1253">
        <f t="shared" si="352"/>
        <v>0</v>
      </c>
      <c r="AC1253">
        <f t="shared" si="353"/>
        <v>0</v>
      </c>
      <c r="AD1253">
        <f t="shared" si="354"/>
        <v>0</v>
      </c>
      <c r="AE1253">
        <f t="shared" si="355"/>
        <v>1</v>
      </c>
      <c r="AF1253">
        <f t="shared" si="356"/>
        <v>0</v>
      </c>
      <c r="AG1253">
        <f t="shared" si="357"/>
        <v>0</v>
      </c>
      <c r="AH1253">
        <f t="shared" si="358"/>
        <v>0</v>
      </c>
      <c r="AI1253">
        <f t="shared" si="359"/>
        <v>1</v>
      </c>
    </row>
    <row r="1254" spans="1:35" x14ac:dyDescent="0.2">
      <c r="A1254">
        <v>470</v>
      </c>
      <c r="B1254" t="s">
        <v>749</v>
      </c>
      <c r="C1254">
        <v>5</v>
      </c>
      <c r="D1254" t="s">
        <v>1130</v>
      </c>
      <c r="E1254" t="s">
        <v>20</v>
      </c>
      <c r="F1254" t="s">
        <v>20</v>
      </c>
      <c r="G1254" t="s">
        <v>18</v>
      </c>
      <c r="H1254" t="s">
        <v>19</v>
      </c>
      <c r="I1254">
        <v>2</v>
      </c>
      <c r="J1254">
        <v>1</v>
      </c>
      <c r="K1254">
        <v>80</v>
      </c>
      <c r="L1254" t="s">
        <v>34</v>
      </c>
      <c r="M1254" t="s">
        <v>23</v>
      </c>
      <c r="N1254" t="s">
        <v>84</v>
      </c>
      <c r="O1254" t="s">
        <v>3483</v>
      </c>
      <c r="P1254" t="s">
        <v>3484</v>
      </c>
      <c r="Q1254">
        <f t="shared" si="342"/>
        <v>2</v>
      </c>
      <c r="R1254">
        <f t="shared" si="343"/>
        <v>2</v>
      </c>
      <c r="S1254">
        <f t="shared" si="344"/>
        <v>4</v>
      </c>
      <c r="T1254">
        <f t="shared" si="345"/>
        <v>3</v>
      </c>
      <c r="U1254">
        <v>80</v>
      </c>
      <c r="V1254">
        <f t="shared" si="346"/>
        <v>1</v>
      </c>
      <c r="W1254">
        <f t="shared" si="347"/>
        <v>0</v>
      </c>
      <c r="X1254">
        <f t="shared" si="348"/>
        <v>0</v>
      </c>
      <c r="Y1254">
        <f t="shared" si="349"/>
        <v>1</v>
      </c>
      <c r="Z1254">
        <f t="shared" si="350"/>
        <v>0</v>
      </c>
      <c r="AA1254">
        <f t="shared" si="351"/>
        <v>1</v>
      </c>
      <c r="AB1254">
        <f t="shared" si="352"/>
        <v>0</v>
      </c>
      <c r="AC1254">
        <f t="shared" si="353"/>
        <v>0</v>
      </c>
      <c r="AD1254">
        <f t="shared" si="354"/>
        <v>0</v>
      </c>
      <c r="AE1254">
        <f t="shared" si="355"/>
        <v>0</v>
      </c>
      <c r="AF1254">
        <f t="shared" si="356"/>
        <v>0</v>
      </c>
      <c r="AG1254">
        <f t="shared" si="357"/>
        <v>1</v>
      </c>
      <c r="AH1254">
        <f t="shared" si="358"/>
        <v>0</v>
      </c>
      <c r="AI1254">
        <f t="shared" si="359"/>
        <v>0</v>
      </c>
    </row>
    <row r="1255" spans="1:35" x14ac:dyDescent="0.2">
      <c r="A1255">
        <v>471</v>
      </c>
      <c r="B1255" t="s">
        <v>749</v>
      </c>
      <c r="C1255">
        <v>2</v>
      </c>
      <c r="D1255" t="s">
        <v>3485</v>
      </c>
      <c r="E1255" t="s">
        <v>21</v>
      </c>
      <c r="F1255" t="s">
        <v>18</v>
      </c>
      <c r="G1255" t="s">
        <v>18</v>
      </c>
      <c r="H1255" t="s">
        <v>21</v>
      </c>
      <c r="I1255">
        <v>2</v>
      </c>
      <c r="J1255">
        <v>5</v>
      </c>
      <c r="K1255">
        <v>20</v>
      </c>
      <c r="L1255" t="s">
        <v>41</v>
      </c>
      <c r="M1255" t="s">
        <v>123</v>
      </c>
      <c r="N1255" t="s">
        <v>215</v>
      </c>
      <c r="O1255" t="s">
        <v>3486</v>
      </c>
      <c r="P1255" t="s">
        <v>3487</v>
      </c>
      <c r="Q1255">
        <f t="shared" si="342"/>
        <v>1</v>
      </c>
      <c r="R1255">
        <f t="shared" si="343"/>
        <v>4</v>
      </c>
      <c r="S1255">
        <f t="shared" si="344"/>
        <v>4</v>
      </c>
      <c r="T1255">
        <f t="shared" si="345"/>
        <v>1</v>
      </c>
      <c r="U1255">
        <v>20</v>
      </c>
      <c r="V1255">
        <f t="shared" si="346"/>
        <v>0</v>
      </c>
      <c r="W1255">
        <f t="shared" si="347"/>
        <v>0</v>
      </c>
      <c r="X1255">
        <f t="shared" si="348"/>
        <v>0</v>
      </c>
      <c r="Y1255">
        <f t="shared" si="349"/>
        <v>0</v>
      </c>
      <c r="Z1255">
        <f t="shared" si="350"/>
        <v>1</v>
      </c>
      <c r="AA1255">
        <f t="shared" si="351"/>
        <v>0</v>
      </c>
      <c r="AB1255">
        <f t="shared" si="352"/>
        <v>1</v>
      </c>
      <c r="AC1255">
        <f t="shared" si="353"/>
        <v>1</v>
      </c>
      <c r="AD1255">
        <f t="shared" si="354"/>
        <v>0</v>
      </c>
      <c r="AE1255">
        <f t="shared" si="355"/>
        <v>0</v>
      </c>
      <c r="AF1255">
        <f t="shared" si="356"/>
        <v>1</v>
      </c>
      <c r="AG1255">
        <f t="shared" si="357"/>
        <v>0</v>
      </c>
      <c r="AH1255">
        <f t="shared" si="358"/>
        <v>0</v>
      </c>
      <c r="AI1255">
        <f t="shared" si="359"/>
        <v>0</v>
      </c>
    </row>
    <row r="1256" spans="1:35" x14ac:dyDescent="0.2">
      <c r="A1256">
        <v>472</v>
      </c>
      <c r="B1256" t="s">
        <v>749</v>
      </c>
      <c r="C1256">
        <v>1</v>
      </c>
      <c r="D1256" t="s">
        <v>3488</v>
      </c>
      <c r="E1256" t="s">
        <v>19</v>
      </c>
      <c r="F1256" t="s">
        <v>19</v>
      </c>
      <c r="G1256" t="s">
        <v>19</v>
      </c>
      <c r="H1256" t="s">
        <v>20</v>
      </c>
      <c r="I1256">
        <v>3</v>
      </c>
      <c r="J1256">
        <v>6</v>
      </c>
      <c r="K1256" s="1">
        <v>0</v>
      </c>
      <c r="L1256" t="s">
        <v>22</v>
      </c>
      <c r="M1256" t="s">
        <v>42</v>
      </c>
      <c r="N1256" t="s">
        <v>36</v>
      </c>
      <c r="O1256" t="s">
        <v>2120</v>
      </c>
      <c r="P1256" t="s">
        <v>3489</v>
      </c>
      <c r="Q1256">
        <f t="shared" si="342"/>
        <v>3</v>
      </c>
      <c r="R1256">
        <f t="shared" si="343"/>
        <v>3</v>
      </c>
      <c r="S1256">
        <f t="shared" si="344"/>
        <v>3</v>
      </c>
      <c r="T1256">
        <f t="shared" si="345"/>
        <v>2</v>
      </c>
      <c r="U1256">
        <v>0</v>
      </c>
      <c r="V1256">
        <f t="shared" si="346"/>
        <v>1</v>
      </c>
      <c r="W1256">
        <f t="shared" si="347"/>
        <v>0</v>
      </c>
      <c r="X1256">
        <f t="shared" si="348"/>
        <v>0</v>
      </c>
      <c r="Y1256">
        <f t="shared" si="349"/>
        <v>0</v>
      </c>
      <c r="Z1256">
        <f t="shared" si="350"/>
        <v>0</v>
      </c>
      <c r="AA1256">
        <f t="shared" si="351"/>
        <v>0</v>
      </c>
      <c r="AB1256">
        <f t="shared" si="352"/>
        <v>1</v>
      </c>
      <c r="AC1256">
        <f t="shared" si="353"/>
        <v>0</v>
      </c>
      <c r="AD1256">
        <f t="shared" si="354"/>
        <v>0</v>
      </c>
      <c r="AE1256">
        <f t="shared" si="355"/>
        <v>0</v>
      </c>
      <c r="AF1256">
        <f t="shared" si="356"/>
        <v>0</v>
      </c>
      <c r="AG1256">
        <f t="shared" si="357"/>
        <v>0</v>
      </c>
      <c r="AH1256">
        <f t="shared" si="358"/>
        <v>0</v>
      </c>
      <c r="AI1256">
        <f t="shared" si="359"/>
        <v>1</v>
      </c>
    </row>
    <row r="1257" spans="1:35" x14ac:dyDescent="0.2">
      <c r="A1257">
        <v>473</v>
      </c>
      <c r="B1257" t="s">
        <v>749</v>
      </c>
      <c r="C1257">
        <v>8</v>
      </c>
      <c r="D1257" t="s">
        <v>3490</v>
      </c>
      <c r="E1257" t="s">
        <v>18</v>
      </c>
      <c r="F1257" t="s">
        <v>18</v>
      </c>
      <c r="G1257" t="s">
        <v>19</v>
      </c>
      <c r="H1257" t="s">
        <v>20</v>
      </c>
      <c r="I1257">
        <v>2</v>
      </c>
      <c r="J1257">
        <v>3</v>
      </c>
      <c r="K1257" s="1">
        <v>5000</v>
      </c>
      <c r="L1257" t="s">
        <v>601</v>
      </c>
      <c r="M1257" t="s">
        <v>48</v>
      </c>
      <c r="N1257" t="s">
        <v>84</v>
      </c>
      <c r="O1257" t="s">
        <v>378</v>
      </c>
      <c r="P1257" t="s">
        <v>3491</v>
      </c>
      <c r="Q1257">
        <f t="shared" si="342"/>
        <v>4</v>
      </c>
      <c r="R1257">
        <f t="shared" si="343"/>
        <v>4</v>
      </c>
      <c r="S1257">
        <f t="shared" si="344"/>
        <v>3</v>
      </c>
      <c r="T1257">
        <f t="shared" si="345"/>
        <v>2</v>
      </c>
      <c r="U1257">
        <v>5000</v>
      </c>
      <c r="V1257">
        <f t="shared" si="346"/>
        <v>0</v>
      </c>
      <c r="W1257">
        <f t="shared" si="347"/>
        <v>1</v>
      </c>
      <c r="X1257">
        <f t="shared" si="348"/>
        <v>0</v>
      </c>
      <c r="Y1257">
        <f t="shared" si="349"/>
        <v>1</v>
      </c>
      <c r="Z1257">
        <f t="shared" si="350"/>
        <v>1</v>
      </c>
      <c r="AA1257">
        <f t="shared" si="351"/>
        <v>1</v>
      </c>
      <c r="AB1257">
        <f t="shared" si="352"/>
        <v>1</v>
      </c>
      <c r="AC1257">
        <f t="shared" si="353"/>
        <v>1</v>
      </c>
      <c r="AD1257">
        <f t="shared" si="354"/>
        <v>0</v>
      </c>
      <c r="AE1257">
        <f t="shared" si="355"/>
        <v>0</v>
      </c>
      <c r="AF1257">
        <f t="shared" si="356"/>
        <v>0</v>
      </c>
      <c r="AG1257">
        <f t="shared" si="357"/>
        <v>1</v>
      </c>
      <c r="AH1257">
        <f t="shared" si="358"/>
        <v>0</v>
      </c>
      <c r="AI1257">
        <f t="shared" si="359"/>
        <v>0</v>
      </c>
    </row>
    <row r="1258" spans="1:35" x14ac:dyDescent="0.2">
      <c r="A1258">
        <v>474</v>
      </c>
      <c r="B1258" t="s">
        <v>749</v>
      </c>
      <c r="C1258">
        <v>10</v>
      </c>
      <c r="D1258" t="s">
        <v>3492</v>
      </c>
      <c r="E1258" t="s">
        <v>20</v>
      </c>
      <c r="F1258" t="s">
        <v>39</v>
      </c>
      <c r="G1258" t="s">
        <v>39</v>
      </c>
      <c r="H1258" t="s">
        <v>20</v>
      </c>
      <c r="I1258">
        <v>3</v>
      </c>
      <c r="J1258">
        <v>5</v>
      </c>
      <c r="K1258">
        <v>500</v>
      </c>
      <c r="L1258" t="s">
        <v>562</v>
      </c>
      <c r="M1258" t="s">
        <v>280</v>
      </c>
      <c r="N1258" t="s">
        <v>36</v>
      </c>
      <c r="O1258" t="s">
        <v>3493</v>
      </c>
      <c r="P1258" t="s">
        <v>3494</v>
      </c>
      <c r="Q1258">
        <f t="shared" si="342"/>
        <v>2</v>
      </c>
      <c r="R1258">
        <f t="shared" si="343"/>
        <v>5</v>
      </c>
      <c r="S1258">
        <f t="shared" si="344"/>
        <v>5</v>
      </c>
      <c r="T1258">
        <f t="shared" si="345"/>
        <v>2</v>
      </c>
      <c r="U1258">
        <v>500</v>
      </c>
      <c r="V1258">
        <f t="shared" si="346"/>
        <v>0</v>
      </c>
      <c r="W1258">
        <f t="shared" si="347"/>
        <v>1</v>
      </c>
      <c r="X1258">
        <f t="shared" si="348"/>
        <v>1</v>
      </c>
      <c r="Y1258">
        <f t="shared" si="349"/>
        <v>0</v>
      </c>
      <c r="Z1258">
        <f t="shared" si="350"/>
        <v>1</v>
      </c>
      <c r="AA1258">
        <f t="shared" si="351"/>
        <v>0</v>
      </c>
      <c r="AB1258">
        <f t="shared" si="352"/>
        <v>1</v>
      </c>
      <c r="AC1258">
        <f t="shared" si="353"/>
        <v>1</v>
      </c>
      <c r="AD1258">
        <f t="shared" si="354"/>
        <v>1</v>
      </c>
      <c r="AE1258">
        <f t="shared" si="355"/>
        <v>0</v>
      </c>
      <c r="AF1258">
        <f t="shared" si="356"/>
        <v>0</v>
      </c>
      <c r="AG1258">
        <f t="shared" si="357"/>
        <v>0</v>
      </c>
      <c r="AH1258">
        <f t="shared" si="358"/>
        <v>0</v>
      </c>
      <c r="AI1258">
        <f t="shared" si="359"/>
        <v>1</v>
      </c>
    </row>
    <row r="1259" spans="1:35" x14ac:dyDescent="0.2">
      <c r="A1259">
        <v>475</v>
      </c>
      <c r="B1259" t="s">
        <v>749</v>
      </c>
      <c r="C1259">
        <v>5</v>
      </c>
      <c r="D1259" t="s">
        <v>3495</v>
      </c>
      <c r="E1259" t="s">
        <v>19</v>
      </c>
      <c r="F1259" t="s">
        <v>19</v>
      </c>
      <c r="G1259" t="s">
        <v>19</v>
      </c>
      <c r="H1259" t="s">
        <v>19</v>
      </c>
      <c r="I1259">
        <v>4</v>
      </c>
      <c r="J1259">
        <v>3</v>
      </c>
      <c r="K1259">
        <v>0</v>
      </c>
      <c r="L1259" t="s">
        <v>53</v>
      </c>
      <c r="M1259" t="s">
        <v>23</v>
      </c>
      <c r="N1259" t="s">
        <v>36</v>
      </c>
      <c r="O1259" t="s">
        <v>409</v>
      </c>
      <c r="P1259" t="s">
        <v>3496</v>
      </c>
      <c r="Q1259">
        <f t="shared" si="342"/>
        <v>3</v>
      </c>
      <c r="R1259">
        <f t="shared" si="343"/>
        <v>3</v>
      </c>
      <c r="S1259">
        <f t="shared" si="344"/>
        <v>3</v>
      </c>
      <c r="T1259">
        <f t="shared" si="345"/>
        <v>3</v>
      </c>
      <c r="U1259">
        <v>0</v>
      </c>
      <c r="V1259">
        <f t="shared" si="346"/>
        <v>0</v>
      </c>
      <c r="W1259">
        <f t="shared" si="347"/>
        <v>0</v>
      </c>
      <c r="X1259">
        <f t="shared" si="348"/>
        <v>1</v>
      </c>
      <c r="Y1259">
        <f t="shared" si="349"/>
        <v>0</v>
      </c>
      <c r="Z1259">
        <f t="shared" si="350"/>
        <v>0</v>
      </c>
      <c r="AA1259">
        <f t="shared" si="351"/>
        <v>1</v>
      </c>
      <c r="AB1259">
        <f t="shared" si="352"/>
        <v>0</v>
      </c>
      <c r="AC1259">
        <f t="shared" si="353"/>
        <v>0</v>
      </c>
      <c r="AD1259">
        <f t="shared" si="354"/>
        <v>0</v>
      </c>
      <c r="AE1259">
        <f t="shared" si="355"/>
        <v>0</v>
      </c>
      <c r="AF1259">
        <f t="shared" si="356"/>
        <v>0</v>
      </c>
      <c r="AG1259">
        <f t="shared" si="357"/>
        <v>0</v>
      </c>
      <c r="AH1259">
        <f t="shared" si="358"/>
        <v>0</v>
      </c>
      <c r="AI1259">
        <f t="shared" si="359"/>
        <v>1</v>
      </c>
    </row>
    <row r="1260" spans="1:35" x14ac:dyDescent="0.2">
      <c r="A1260">
        <v>476</v>
      </c>
      <c r="B1260" t="s">
        <v>749</v>
      </c>
      <c r="C1260">
        <v>10</v>
      </c>
      <c r="D1260" t="s">
        <v>3497</v>
      </c>
      <c r="E1260" t="s">
        <v>39</v>
      </c>
      <c r="F1260" t="s">
        <v>39</v>
      </c>
      <c r="G1260" t="s">
        <v>39</v>
      </c>
      <c r="H1260" t="s">
        <v>21</v>
      </c>
      <c r="I1260">
        <v>4</v>
      </c>
      <c r="J1260">
        <v>5</v>
      </c>
      <c r="K1260" t="s">
        <v>3498</v>
      </c>
      <c r="L1260" t="s">
        <v>494</v>
      </c>
      <c r="M1260" t="s">
        <v>48</v>
      </c>
      <c r="N1260" t="s">
        <v>782</v>
      </c>
      <c r="O1260" t="s">
        <v>814</v>
      </c>
      <c r="P1260" t="s">
        <v>3499</v>
      </c>
      <c r="Q1260">
        <f t="shared" si="342"/>
        <v>5</v>
      </c>
      <c r="R1260">
        <f t="shared" si="343"/>
        <v>5</v>
      </c>
      <c r="S1260">
        <f t="shared" si="344"/>
        <v>5</v>
      </c>
      <c r="T1260">
        <f t="shared" si="345"/>
        <v>1</v>
      </c>
      <c r="U1260">
        <v>100000</v>
      </c>
      <c r="V1260">
        <f t="shared" si="346"/>
        <v>0</v>
      </c>
      <c r="W1260">
        <f t="shared" si="347"/>
        <v>1</v>
      </c>
      <c r="X1260">
        <f t="shared" si="348"/>
        <v>1</v>
      </c>
      <c r="Y1260">
        <f t="shared" si="349"/>
        <v>1</v>
      </c>
      <c r="Z1260">
        <f t="shared" si="350"/>
        <v>1</v>
      </c>
      <c r="AA1260">
        <f t="shared" si="351"/>
        <v>1</v>
      </c>
      <c r="AB1260">
        <f t="shared" si="352"/>
        <v>1</v>
      </c>
      <c r="AC1260">
        <f t="shared" si="353"/>
        <v>1</v>
      </c>
      <c r="AD1260">
        <f t="shared" si="354"/>
        <v>0</v>
      </c>
      <c r="AE1260">
        <f t="shared" si="355"/>
        <v>0</v>
      </c>
      <c r="AF1260">
        <f t="shared" si="356"/>
        <v>0</v>
      </c>
      <c r="AG1260">
        <f t="shared" si="357"/>
        <v>1</v>
      </c>
      <c r="AH1260">
        <f t="shared" si="358"/>
        <v>1</v>
      </c>
      <c r="AI1260">
        <f t="shared" si="359"/>
        <v>1</v>
      </c>
    </row>
    <row r="1261" spans="1:35" x14ac:dyDescent="0.2">
      <c r="A1261">
        <v>477</v>
      </c>
      <c r="B1261" t="s">
        <v>749</v>
      </c>
      <c r="C1261">
        <v>6</v>
      </c>
      <c r="D1261" t="s">
        <v>3500</v>
      </c>
      <c r="E1261" t="s">
        <v>18</v>
      </c>
      <c r="F1261" t="s">
        <v>20</v>
      </c>
      <c r="G1261" t="s">
        <v>18</v>
      </c>
      <c r="H1261" t="s">
        <v>19</v>
      </c>
      <c r="I1261">
        <v>4</v>
      </c>
      <c r="J1261">
        <v>3</v>
      </c>
      <c r="K1261">
        <v>1000</v>
      </c>
      <c r="L1261" t="s">
        <v>34</v>
      </c>
      <c r="M1261" t="s">
        <v>268</v>
      </c>
      <c r="N1261" t="s">
        <v>147</v>
      </c>
      <c r="O1261" t="s">
        <v>148</v>
      </c>
      <c r="P1261" t="s">
        <v>3501</v>
      </c>
      <c r="Q1261">
        <f t="shared" si="342"/>
        <v>4</v>
      </c>
      <c r="R1261">
        <f t="shared" si="343"/>
        <v>2</v>
      </c>
      <c r="S1261">
        <f t="shared" si="344"/>
        <v>4</v>
      </c>
      <c r="T1261">
        <f t="shared" si="345"/>
        <v>3</v>
      </c>
      <c r="U1261">
        <v>1000</v>
      </c>
      <c r="V1261">
        <f t="shared" si="346"/>
        <v>1</v>
      </c>
      <c r="W1261">
        <f t="shared" si="347"/>
        <v>0</v>
      </c>
      <c r="X1261">
        <f t="shared" si="348"/>
        <v>0</v>
      </c>
      <c r="Y1261">
        <f t="shared" si="349"/>
        <v>1</v>
      </c>
      <c r="Z1261">
        <f t="shared" si="350"/>
        <v>0</v>
      </c>
      <c r="AA1261">
        <f t="shared" si="351"/>
        <v>1</v>
      </c>
      <c r="AB1261">
        <f t="shared" si="352"/>
        <v>1</v>
      </c>
      <c r="AC1261">
        <f t="shared" si="353"/>
        <v>0</v>
      </c>
      <c r="AD1261">
        <f t="shared" si="354"/>
        <v>1</v>
      </c>
      <c r="AE1261">
        <f t="shared" si="355"/>
        <v>0</v>
      </c>
      <c r="AF1261">
        <f t="shared" si="356"/>
        <v>0</v>
      </c>
      <c r="AG1261">
        <f t="shared" si="357"/>
        <v>0</v>
      </c>
      <c r="AH1261">
        <f t="shared" si="358"/>
        <v>1</v>
      </c>
      <c r="AI1261">
        <f t="shared" si="359"/>
        <v>1</v>
      </c>
    </row>
    <row r="1262" spans="1:35" x14ac:dyDescent="0.2">
      <c r="A1262">
        <v>478</v>
      </c>
      <c r="B1262" t="s">
        <v>749</v>
      </c>
      <c r="C1262">
        <v>8</v>
      </c>
      <c r="D1262" t="s">
        <v>3502</v>
      </c>
      <c r="E1262" t="s">
        <v>20</v>
      </c>
      <c r="F1262" t="s">
        <v>18</v>
      </c>
      <c r="G1262" t="s">
        <v>19</v>
      </c>
      <c r="H1262" t="s">
        <v>20</v>
      </c>
      <c r="I1262">
        <v>4</v>
      </c>
      <c r="J1262">
        <v>3</v>
      </c>
      <c r="K1262" s="1">
        <v>300</v>
      </c>
      <c r="L1262" t="s">
        <v>98</v>
      </c>
      <c r="M1262" t="s">
        <v>291</v>
      </c>
      <c r="N1262" t="s">
        <v>24</v>
      </c>
      <c r="O1262" t="s">
        <v>504</v>
      </c>
      <c r="P1262" t="s">
        <v>3503</v>
      </c>
      <c r="Q1262">
        <f t="shared" si="342"/>
        <v>2</v>
      </c>
      <c r="R1262">
        <f t="shared" si="343"/>
        <v>4</v>
      </c>
      <c r="S1262">
        <f t="shared" si="344"/>
        <v>3</v>
      </c>
      <c r="T1262">
        <f t="shared" si="345"/>
        <v>2</v>
      </c>
      <c r="U1262">
        <v>300</v>
      </c>
      <c r="V1262">
        <f t="shared" si="346"/>
        <v>0</v>
      </c>
      <c r="W1262">
        <f t="shared" si="347"/>
        <v>1</v>
      </c>
      <c r="X1262">
        <f t="shared" si="348"/>
        <v>0</v>
      </c>
      <c r="Y1262">
        <f t="shared" si="349"/>
        <v>0</v>
      </c>
      <c r="Z1262">
        <f t="shared" si="350"/>
        <v>0</v>
      </c>
      <c r="AA1262">
        <f t="shared" si="351"/>
        <v>0</v>
      </c>
      <c r="AB1262">
        <f t="shared" si="352"/>
        <v>1</v>
      </c>
      <c r="AC1262">
        <f t="shared" si="353"/>
        <v>0</v>
      </c>
      <c r="AD1262">
        <f t="shared" si="354"/>
        <v>1</v>
      </c>
      <c r="AE1262">
        <f t="shared" si="355"/>
        <v>0</v>
      </c>
      <c r="AF1262">
        <f t="shared" si="356"/>
        <v>0</v>
      </c>
      <c r="AG1262">
        <f t="shared" si="357"/>
        <v>0</v>
      </c>
      <c r="AH1262">
        <f t="shared" si="358"/>
        <v>1</v>
      </c>
      <c r="AI1262">
        <f t="shared" si="359"/>
        <v>0</v>
      </c>
    </row>
    <row r="1263" spans="1:35" x14ac:dyDescent="0.2">
      <c r="A1263">
        <v>479</v>
      </c>
      <c r="B1263" t="s">
        <v>749</v>
      </c>
      <c r="C1263">
        <v>8</v>
      </c>
      <c r="D1263" t="s">
        <v>3504</v>
      </c>
      <c r="E1263" t="s">
        <v>20</v>
      </c>
      <c r="F1263" t="s">
        <v>18</v>
      </c>
      <c r="G1263" t="s">
        <v>19</v>
      </c>
      <c r="H1263" t="s">
        <v>20</v>
      </c>
      <c r="I1263">
        <v>3</v>
      </c>
      <c r="J1263">
        <v>2</v>
      </c>
      <c r="K1263" t="s">
        <v>3505</v>
      </c>
      <c r="L1263" t="s">
        <v>70</v>
      </c>
      <c r="M1263" t="s">
        <v>23</v>
      </c>
      <c r="N1263" t="s">
        <v>36</v>
      </c>
      <c r="O1263" t="s">
        <v>3506</v>
      </c>
      <c r="P1263" t="s">
        <v>3507</v>
      </c>
      <c r="Q1263">
        <f t="shared" si="342"/>
        <v>2</v>
      </c>
      <c r="R1263">
        <f t="shared" si="343"/>
        <v>4</v>
      </c>
      <c r="S1263">
        <f t="shared" si="344"/>
        <v>3</v>
      </c>
      <c r="T1263">
        <f t="shared" si="345"/>
        <v>2</v>
      </c>
      <c r="U1263">
        <v>50</v>
      </c>
      <c r="V1263">
        <f t="shared" si="346"/>
        <v>0</v>
      </c>
      <c r="W1263">
        <f t="shared" si="347"/>
        <v>0</v>
      </c>
      <c r="X1263">
        <f t="shared" si="348"/>
        <v>0</v>
      </c>
      <c r="Y1263">
        <f t="shared" si="349"/>
        <v>1</v>
      </c>
      <c r="Z1263">
        <f t="shared" si="350"/>
        <v>0</v>
      </c>
      <c r="AA1263">
        <f t="shared" si="351"/>
        <v>1</v>
      </c>
      <c r="AB1263">
        <f t="shared" si="352"/>
        <v>0</v>
      </c>
      <c r="AC1263">
        <f t="shared" si="353"/>
        <v>0</v>
      </c>
      <c r="AD1263">
        <f t="shared" si="354"/>
        <v>0</v>
      </c>
      <c r="AE1263">
        <f t="shared" si="355"/>
        <v>0</v>
      </c>
      <c r="AF1263">
        <f t="shared" si="356"/>
        <v>0</v>
      </c>
      <c r="AG1263">
        <f t="shared" si="357"/>
        <v>0</v>
      </c>
      <c r="AH1263">
        <f t="shared" si="358"/>
        <v>0</v>
      </c>
      <c r="AI1263">
        <f t="shared" si="359"/>
        <v>1</v>
      </c>
    </row>
    <row r="1264" spans="1:35" x14ac:dyDescent="0.2">
      <c r="A1264">
        <v>480</v>
      </c>
      <c r="B1264" t="s">
        <v>749</v>
      </c>
      <c r="C1264">
        <v>5</v>
      </c>
      <c r="D1264" t="s">
        <v>3508</v>
      </c>
      <c r="E1264" t="s">
        <v>20</v>
      </c>
      <c r="F1264" t="s">
        <v>19</v>
      </c>
      <c r="G1264" t="s">
        <v>19</v>
      </c>
      <c r="H1264" t="s">
        <v>20</v>
      </c>
      <c r="I1264">
        <v>2</v>
      </c>
      <c r="J1264">
        <v>3</v>
      </c>
      <c r="K1264">
        <v>0</v>
      </c>
      <c r="L1264" t="s">
        <v>41</v>
      </c>
      <c r="M1264" t="s">
        <v>115</v>
      </c>
      <c r="N1264" t="s">
        <v>36</v>
      </c>
      <c r="O1264" t="s">
        <v>3509</v>
      </c>
      <c r="P1264" t="s">
        <v>3510</v>
      </c>
      <c r="Q1264">
        <f t="shared" si="342"/>
        <v>2</v>
      </c>
      <c r="R1264">
        <f t="shared" si="343"/>
        <v>3</v>
      </c>
      <c r="S1264">
        <f t="shared" si="344"/>
        <v>3</v>
      </c>
      <c r="T1264">
        <f t="shared" si="345"/>
        <v>2</v>
      </c>
      <c r="U1264">
        <v>0</v>
      </c>
      <c r="V1264">
        <f t="shared" si="346"/>
        <v>0</v>
      </c>
      <c r="W1264">
        <f t="shared" si="347"/>
        <v>0</v>
      </c>
      <c r="X1264">
        <f t="shared" si="348"/>
        <v>0</v>
      </c>
      <c r="Y1264">
        <f t="shared" si="349"/>
        <v>0</v>
      </c>
      <c r="Z1264">
        <f t="shared" si="350"/>
        <v>1</v>
      </c>
      <c r="AA1264">
        <f t="shared" si="351"/>
        <v>0</v>
      </c>
      <c r="AB1264">
        <f t="shared" si="352"/>
        <v>0</v>
      </c>
      <c r="AC1264">
        <f t="shared" si="353"/>
        <v>1</v>
      </c>
      <c r="AD1264">
        <f t="shared" si="354"/>
        <v>0</v>
      </c>
      <c r="AE1264">
        <f t="shared" si="355"/>
        <v>0</v>
      </c>
      <c r="AF1264">
        <f t="shared" si="356"/>
        <v>0</v>
      </c>
      <c r="AG1264">
        <f t="shared" si="357"/>
        <v>0</v>
      </c>
      <c r="AH1264">
        <f t="shared" si="358"/>
        <v>0</v>
      </c>
      <c r="AI1264">
        <f t="shared" si="359"/>
        <v>1</v>
      </c>
    </row>
    <row r="1265" spans="1:35" x14ac:dyDescent="0.2">
      <c r="A1265">
        <v>481</v>
      </c>
      <c r="B1265" t="s">
        <v>749</v>
      </c>
      <c r="C1265">
        <v>10</v>
      </c>
      <c r="D1265" t="s">
        <v>3511</v>
      </c>
      <c r="E1265" t="s">
        <v>21</v>
      </c>
      <c r="F1265" t="s">
        <v>39</v>
      </c>
      <c r="G1265" t="s">
        <v>18</v>
      </c>
      <c r="H1265" t="s">
        <v>21</v>
      </c>
      <c r="I1265">
        <v>3</v>
      </c>
      <c r="J1265">
        <v>2</v>
      </c>
      <c r="K1265" s="1">
        <v>1000</v>
      </c>
      <c r="L1265" t="s">
        <v>41</v>
      </c>
      <c r="M1265" t="s">
        <v>48</v>
      </c>
      <c r="N1265" t="s">
        <v>36</v>
      </c>
      <c r="O1265" t="s">
        <v>817</v>
      </c>
      <c r="P1265" t="s">
        <v>3512</v>
      </c>
      <c r="Q1265">
        <f t="shared" si="342"/>
        <v>1</v>
      </c>
      <c r="R1265">
        <f t="shared" si="343"/>
        <v>5</v>
      </c>
      <c r="S1265">
        <f t="shared" si="344"/>
        <v>4</v>
      </c>
      <c r="T1265">
        <f t="shared" si="345"/>
        <v>1</v>
      </c>
      <c r="U1265">
        <v>1000</v>
      </c>
      <c r="V1265">
        <f t="shared" si="346"/>
        <v>0</v>
      </c>
      <c r="W1265">
        <f t="shared" si="347"/>
        <v>0</v>
      </c>
      <c r="X1265">
        <f t="shared" si="348"/>
        <v>0</v>
      </c>
      <c r="Y1265">
        <f t="shared" si="349"/>
        <v>0</v>
      </c>
      <c r="Z1265">
        <f t="shared" si="350"/>
        <v>1</v>
      </c>
      <c r="AA1265">
        <f t="shared" si="351"/>
        <v>1</v>
      </c>
      <c r="AB1265">
        <f t="shared" si="352"/>
        <v>1</v>
      </c>
      <c r="AC1265">
        <f t="shared" si="353"/>
        <v>1</v>
      </c>
      <c r="AD1265">
        <f t="shared" si="354"/>
        <v>0</v>
      </c>
      <c r="AE1265">
        <f t="shared" si="355"/>
        <v>0</v>
      </c>
      <c r="AF1265">
        <f t="shared" si="356"/>
        <v>0</v>
      </c>
      <c r="AG1265">
        <f t="shared" si="357"/>
        <v>0</v>
      </c>
      <c r="AH1265">
        <f t="shared" si="358"/>
        <v>0</v>
      </c>
      <c r="AI1265">
        <f t="shared" si="359"/>
        <v>1</v>
      </c>
    </row>
    <row r="1266" spans="1:35" x14ac:dyDescent="0.2">
      <c r="A1266">
        <v>482</v>
      </c>
      <c r="B1266" t="s">
        <v>749</v>
      </c>
      <c r="C1266">
        <v>2</v>
      </c>
      <c r="D1266" t="s">
        <v>3340</v>
      </c>
      <c r="E1266" t="s">
        <v>19</v>
      </c>
      <c r="F1266" t="s">
        <v>19</v>
      </c>
      <c r="G1266" t="s">
        <v>18</v>
      </c>
      <c r="H1266" t="s">
        <v>20</v>
      </c>
      <c r="I1266">
        <v>3</v>
      </c>
      <c r="J1266">
        <v>3</v>
      </c>
      <c r="K1266">
        <v>150</v>
      </c>
      <c r="L1266" t="s">
        <v>41</v>
      </c>
      <c r="M1266" t="s">
        <v>123</v>
      </c>
      <c r="N1266" t="s">
        <v>36</v>
      </c>
      <c r="O1266" t="s">
        <v>3513</v>
      </c>
      <c r="P1266" t="s">
        <v>3514</v>
      </c>
      <c r="Q1266">
        <f t="shared" si="342"/>
        <v>3</v>
      </c>
      <c r="R1266">
        <f t="shared" si="343"/>
        <v>3</v>
      </c>
      <c r="S1266">
        <f t="shared" si="344"/>
        <v>4</v>
      </c>
      <c r="T1266">
        <f t="shared" si="345"/>
        <v>2</v>
      </c>
      <c r="U1266">
        <v>150</v>
      </c>
      <c r="V1266">
        <f t="shared" si="346"/>
        <v>0</v>
      </c>
      <c r="W1266">
        <f t="shared" si="347"/>
        <v>0</v>
      </c>
      <c r="X1266">
        <f t="shared" si="348"/>
        <v>0</v>
      </c>
      <c r="Y1266">
        <f t="shared" si="349"/>
        <v>0</v>
      </c>
      <c r="Z1266">
        <f t="shared" si="350"/>
        <v>1</v>
      </c>
      <c r="AA1266">
        <f t="shared" si="351"/>
        <v>0</v>
      </c>
      <c r="AB1266">
        <f t="shared" si="352"/>
        <v>1</v>
      </c>
      <c r="AC1266">
        <f t="shared" si="353"/>
        <v>1</v>
      </c>
      <c r="AD1266">
        <f t="shared" si="354"/>
        <v>0</v>
      </c>
      <c r="AE1266">
        <f t="shared" si="355"/>
        <v>0</v>
      </c>
      <c r="AF1266">
        <f t="shared" si="356"/>
        <v>0</v>
      </c>
      <c r="AG1266">
        <f t="shared" si="357"/>
        <v>0</v>
      </c>
      <c r="AH1266">
        <f t="shared" si="358"/>
        <v>0</v>
      </c>
      <c r="AI1266">
        <f t="shared" si="359"/>
        <v>1</v>
      </c>
    </row>
    <row r="1267" spans="1:35" x14ac:dyDescent="0.2">
      <c r="A1267">
        <v>483</v>
      </c>
      <c r="B1267" t="s">
        <v>749</v>
      </c>
      <c r="C1267">
        <v>1</v>
      </c>
      <c r="D1267" t="s">
        <v>3515</v>
      </c>
      <c r="E1267" t="s">
        <v>18</v>
      </c>
      <c r="F1267" t="s">
        <v>20</v>
      </c>
      <c r="G1267" t="s">
        <v>18</v>
      </c>
      <c r="H1267" t="s">
        <v>39</v>
      </c>
      <c r="I1267">
        <v>3</v>
      </c>
      <c r="J1267">
        <v>2</v>
      </c>
      <c r="K1267">
        <v>50</v>
      </c>
      <c r="L1267" t="s">
        <v>494</v>
      </c>
      <c r="M1267" t="s">
        <v>161</v>
      </c>
      <c r="N1267" t="s">
        <v>49</v>
      </c>
      <c r="O1267" t="s">
        <v>3516</v>
      </c>
      <c r="P1267" t="s">
        <v>3517</v>
      </c>
      <c r="Q1267">
        <f t="shared" si="342"/>
        <v>4</v>
      </c>
      <c r="R1267">
        <f t="shared" si="343"/>
        <v>2</v>
      </c>
      <c r="S1267">
        <f t="shared" si="344"/>
        <v>4</v>
      </c>
      <c r="T1267">
        <f t="shared" si="345"/>
        <v>5</v>
      </c>
      <c r="U1267">
        <v>50</v>
      </c>
      <c r="V1267">
        <f t="shared" si="346"/>
        <v>0</v>
      </c>
      <c r="W1267">
        <f t="shared" si="347"/>
        <v>1</v>
      </c>
      <c r="X1267">
        <f t="shared" si="348"/>
        <v>1</v>
      </c>
      <c r="Y1267">
        <f t="shared" si="349"/>
        <v>1</v>
      </c>
      <c r="Z1267">
        <f t="shared" si="350"/>
        <v>1</v>
      </c>
      <c r="AA1267">
        <f t="shared" si="351"/>
        <v>1</v>
      </c>
      <c r="AB1267">
        <f t="shared" si="352"/>
        <v>1</v>
      </c>
      <c r="AC1267">
        <f t="shared" si="353"/>
        <v>1</v>
      </c>
      <c r="AD1267">
        <f t="shared" si="354"/>
        <v>1</v>
      </c>
      <c r="AE1267">
        <f t="shared" si="355"/>
        <v>0</v>
      </c>
      <c r="AF1267">
        <f t="shared" si="356"/>
        <v>0</v>
      </c>
      <c r="AG1267">
        <f t="shared" si="357"/>
        <v>1</v>
      </c>
      <c r="AH1267">
        <f t="shared" si="358"/>
        <v>1</v>
      </c>
      <c r="AI1267">
        <f t="shared" si="359"/>
        <v>0</v>
      </c>
    </row>
    <row r="1268" spans="1:35" ht="51" x14ac:dyDescent="0.2">
      <c r="A1268">
        <v>484</v>
      </c>
      <c r="B1268" t="s">
        <v>749</v>
      </c>
      <c r="C1268">
        <v>4</v>
      </c>
      <c r="D1268" s="3" t="s">
        <v>3518</v>
      </c>
      <c r="E1268" t="s">
        <v>20</v>
      </c>
      <c r="F1268" t="s">
        <v>18</v>
      </c>
      <c r="G1268" t="s">
        <v>18</v>
      </c>
      <c r="H1268" t="s">
        <v>21</v>
      </c>
      <c r="I1268">
        <v>3</v>
      </c>
      <c r="J1268">
        <v>3</v>
      </c>
      <c r="K1268">
        <v>1000</v>
      </c>
      <c r="L1268" t="s">
        <v>230</v>
      </c>
      <c r="M1268" t="s">
        <v>23</v>
      </c>
      <c r="N1268" t="s">
        <v>36</v>
      </c>
      <c r="O1268" t="s">
        <v>3519</v>
      </c>
      <c r="P1268" t="s">
        <v>3520</v>
      </c>
      <c r="Q1268">
        <f t="shared" si="342"/>
        <v>2</v>
      </c>
      <c r="R1268">
        <f t="shared" si="343"/>
        <v>4</v>
      </c>
      <c r="S1268">
        <f t="shared" si="344"/>
        <v>4</v>
      </c>
      <c r="T1268">
        <f t="shared" si="345"/>
        <v>1</v>
      </c>
      <c r="U1268">
        <v>1000</v>
      </c>
      <c r="V1268">
        <f t="shared" si="346"/>
        <v>1</v>
      </c>
      <c r="W1268">
        <f t="shared" si="347"/>
        <v>1</v>
      </c>
      <c r="X1268">
        <f t="shared" si="348"/>
        <v>1</v>
      </c>
      <c r="Y1268">
        <f t="shared" si="349"/>
        <v>1</v>
      </c>
      <c r="Z1268">
        <f t="shared" si="350"/>
        <v>1</v>
      </c>
      <c r="AA1268">
        <f t="shared" si="351"/>
        <v>1</v>
      </c>
      <c r="AB1268">
        <f t="shared" si="352"/>
        <v>0</v>
      </c>
      <c r="AC1268">
        <f t="shared" si="353"/>
        <v>0</v>
      </c>
      <c r="AD1268">
        <f t="shared" si="354"/>
        <v>0</v>
      </c>
      <c r="AE1268">
        <f t="shared" si="355"/>
        <v>0</v>
      </c>
      <c r="AF1268">
        <f t="shared" si="356"/>
        <v>0</v>
      </c>
      <c r="AG1268">
        <f t="shared" si="357"/>
        <v>0</v>
      </c>
      <c r="AH1268">
        <f t="shared" si="358"/>
        <v>0</v>
      </c>
      <c r="AI1268">
        <f t="shared" si="359"/>
        <v>1</v>
      </c>
    </row>
    <row r="1269" spans="1:35" x14ac:dyDescent="0.2">
      <c r="A1269">
        <v>485</v>
      </c>
      <c r="B1269" t="s">
        <v>749</v>
      </c>
      <c r="C1269">
        <v>7</v>
      </c>
      <c r="D1269" t="s">
        <v>3521</v>
      </c>
      <c r="E1269" t="s">
        <v>20</v>
      </c>
      <c r="F1269" t="s">
        <v>18</v>
      </c>
      <c r="G1269" t="s">
        <v>39</v>
      </c>
      <c r="H1269" t="s">
        <v>21</v>
      </c>
      <c r="I1269">
        <v>2</v>
      </c>
      <c r="J1269">
        <v>2</v>
      </c>
      <c r="K1269">
        <v>250</v>
      </c>
      <c r="L1269" t="s">
        <v>194</v>
      </c>
      <c r="M1269" t="s">
        <v>123</v>
      </c>
      <c r="N1269" t="s">
        <v>84</v>
      </c>
      <c r="O1269" t="s">
        <v>3522</v>
      </c>
      <c r="P1269" t="s">
        <v>3523</v>
      </c>
      <c r="Q1269">
        <f t="shared" si="342"/>
        <v>2</v>
      </c>
      <c r="R1269">
        <f t="shared" si="343"/>
        <v>4</v>
      </c>
      <c r="S1269">
        <f t="shared" si="344"/>
        <v>5</v>
      </c>
      <c r="T1269">
        <f t="shared" si="345"/>
        <v>1</v>
      </c>
      <c r="U1269">
        <v>250</v>
      </c>
      <c r="V1269">
        <f t="shared" si="346"/>
        <v>0</v>
      </c>
      <c r="W1269">
        <f t="shared" si="347"/>
        <v>0</v>
      </c>
      <c r="X1269">
        <f t="shared" si="348"/>
        <v>0</v>
      </c>
      <c r="Y1269">
        <f t="shared" si="349"/>
        <v>1</v>
      </c>
      <c r="Z1269">
        <f t="shared" si="350"/>
        <v>1</v>
      </c>
      <c r="AA1269">
        <f t="shared" si="351"/>
        <v>0</v>
      </c>
      <c r="AB1269">
        <f t="shared" si="352"/>
        <v>1</v>
      </c>
      <c r="AC1269">
        <f t="shared" si="353"/>
        <v>1</v>
      </c>
      <c r="AD1269">
        <f t="shared" si="354"/>
        <v>0</v>
      </c>
      <c r="AE1269">
        <f t="shared" si="355"/>
        <v>0</v>
      </c>
      <c r="AF1269">
        <f t="shared" si="356"/>
        <v>0</v>
      </c>
      <c r="AG1269">
        <f t="shared" si="357"/>
        <v>1</v>
      </c>
      <c r="AH1269">
        <f t="shared" si="358"/>
        <v>0</v>
      </c>
      <c r="AI1269">
        <f t="shared" si="359"/>
        <v>0</v>
      </c>
    </row>
    <row r="1270" spans="1:35" x14ac:dyDescent="0.2">
      <c r="A1270">
        <v>486</v>
      </c>
      <c r="B1270" t="s">
        <v>749</v>
      </c>
      <c r="C1270">
        <v>7</v>
      </c>
      <c r="D1270" t="s">
        <v>3524</v>
      </c>
      <c r="E1270" t="s">
        <v>20</v>
      </c>
      <c r="F1270" t="s">
        <v>18</v>
      </c>
      <c r="G1270" t="s">
        <v>39</v>
      </c>
      <c r="H1270" t="s">
        <v>20</v>
      </c>
      <c r="I1270">
        <v>4</v>
      </c>
      <c r="J1270">
        <v>3</v>
      </c>
      <c r="K1270">
        <v>150</v>
      </c>
      <c r="L1270" t="s">
        <v>714</v>
      </c>
      <c r="M1270" t="s">
        <v>23</v>
      </c>
      <c r="N1270" t="s">
        <v>84</v>
      </c>
      <c r="O1270" t="s">
        <v>3525</v>
      </c>
      <c r="P1270" t="s">
        <v>3526</v>
      </c>
      <c r="Q1270">
        <f t="shared" si="342"/>
        <v>2</v>
      </c>
      <c r="R1270">
        <f t="shared" si="343"/>
        <v>4</v>
      </c>
      <c r="S1270">
        <f t="shared" si="344"/>
        <v>5</v>
      </c>
      <c r="T1270">
        <f t="shared" si="345"/>
        <v>2</v>
      </c>
      <c r="U1270">
        <v>150</v>
      </c>
      <c r="V1270">
        <f t="shared" si="346"/>
        <v>0</v>
      </c>
      <c r="W1270">
        <f t="shared" si="347"/>
        <v>0</v>
      </c>
      <c r="X1270">
        <f t="shared" si="348"/>
        <v>1</v>
      </c>
      <c r="Y1270">
        <f t="shared" si="349"/>
        <v>1</v>
      </c>
      <c r="Z1270">
        <f t="shared" si="350"/>
        <v>1</v>
      </c>
      <c r="AA1270">
        <f t="shared" si="351"/>
        <v>1</v>
      </c>
      <c r="AB1270">
        <f t="shared" si="352"/>
        <v>0</v>
      </c>
      <c r="AC1270">
        <f t="shared" si="353"/>
        <v>0</v>
      </c>
      <c r="AD1270">
        <f t="shared" si="354"/>
        <v>0</v>
      </c>
      <c r="AE1270">
        <f t="shared" si="355"/>
        <v>0</v>
      </c>
      <c r="AF1270">
        <f t="shared" si="356"/>
        <v>0</v>
      </c>
      <c r="AG1270">
        <f t="shared" si="357"/>
        <v>1</v>
      </c>
      <c r="AH1270">
        <f t="shared" si="358"/>
        <v>0</v>
      </c>
      <c r="AI1270">
        <f t="shared" si="359"/>
        <v>0</v>
      </c>
    </row>
    <row r="1271" spans="1:35" x14ac:dyDescent="0.2">
      <c r="A1271">
        <v>487</v>
      </c>
      <c r="B1271" t="s">
        <v>749</v>
      </c>
      <c r="C1271">
        <v>4</v>
      </c>
      <c r="D1271" t="s">
        <v>3527</v>
      </c>
      <c r="E1271" t="s">
        <v>20</v>
      </c>
      <c r="F1271" t="s">
        <v>18</v>
      </c>
      <c r="G1271" t="s">
        <v>39</v>
      </c>
      <c r="H1271" t="s">
        <v>21</v>
      </c>
      <c r="I1271">
        <v>6</v>
      </c>
      <c r="J1271">
        <v>3</v>
      </c>
      <c r="K1271" s="1">
        <v>500</v>
      </c>
      <c r="L1271" t="s">
        <v>22</v>
      </c>
      <c r="M1271" t="s">
        <v>23</v>
      </c>
      <c r="N1271" t="s">
        <v>215</v>
      </c>
      <c r="O1271" t="s">
        <v>3528</v>
      </c>
      <c r="P1271" t="s">
        <v>3529</v>
      </c>
      <c r="Q1271">
        <f t="shared" si="342"/>
        <v>2</v>
      </c>
      <c r="R1271">
        <f t="shared" si="343"/>
        <v>4</v>
      </c>
      <c r="S1271">
        <f t="shared" si="344"/>
        <v>5</v>
      </c>
      <c r="T1271">
        <f t="shared" si="345"/>
        <v>1</v>
      </c>
      <c r="U1271">
        <v>500</v>
      </c>
      <c r="V1271">
        <f t="shared" si="346"/>
        <v>1</v>
      </c>
      <c r="W1271">
        <f t="shared" si="347"/>
        <v>0</v>
      </c>
      <c r="X1271">
        <f t="shared" si="348"/>
        <v>0</v>
      </c>
      <c r="Y1271">
        <f t="shared" si="349"/>
        <v>0</v>
      </c>
      <c r="Z1271">
        <f t="shared" si="350"/>
        <v>0</v>
      </c>
      <c r="AA1271">
        <f t="shared" si="351"/>
        <v>1</v>
      </c>
      <c r="AB1271">
        <f t="shared" si="352"/>
        <v>0</v>
      </c>
      <c r="AC1271">
        <f t="shared" si="353"/>
        <v>0</v>
      </c>
      <c r="AD1271">
        <f t="shared" si="354"/>
        <v>0</v>
      </c>
      <c r="AE1271">
        <f t="shared" si="355"/>
        <v>0</v>
      </c>
      <c r="AF1271">
        <f t="shared" si="356"/>
        <v>1</v>
      </c>
      <c r="AG1271">
        <f t="shared" si="357"/>
        <v>0</v>
      </c>
      <c r="AH1271">
        <f t="shared" si="358"/>
        <v>0</v>
      </c>
      <c r="AI1271">
        <f t="shared" si="359"/>
        <v>0</v>
      </c>
    </row>
    <row r="1272" spans="1:35" x14ac:dyDescent="0.2">
      <c r="A1272">
        <v>488</v>
      </c>
      <c r="B1272" t="s">
        <v>749</v>
      </c>
      <c r="C1272">
        <v>8</v>
      </c>
      <c r="D1272" t="s">
        <v>3530</v>
      </c>
      <c r="E1272" t="s">
        <v>18</v>
      </c>
      <c r="F1272" t="s">
        <v>18</v>
      </c>
      <c r="G1272" t="s">
        <v>18</v>
      </c>
      <c r="H1272" t="s">
        <v>20</v>
      </c>
      <c r="I1272">
        <v>7</v>
      </c>
      <c r="J1272">
        <v>6</v>
      </c>
      <c r="K1272">
        <v>400</v>
      </c>
      <c r="L1272" t="s">
        <v>776</v>
      </c>
      <c r="M1272" t="s">
        <v>123</v>
      </c>
      <c r="N1272" t="s">
        <v>782</v>
      </c>
      <c r="O1272" t="s">
        <v>3531</v>
      </c>
      <c r="P1272" t="s">
        <v>3532</v>
      </c>
      <c r="Q1272">
        <f t="shared" si="342"/>
        <v>4</v>
      </c>
      <c r="R1272">
        <f t="shared" si="343"/>
        <v>4</v>
      </c>
      <c r="S1272">
        <f t="shared" si="344"/>
        <v>4</v>
      </c>
      <c r="T1272">
        <f t="shared" si="345"/>
        <v>2</v>
      </c>
      <c r="U1272">
        <v>400</v>
      </c>
      <c r="V1272">
        <f t="shared" si="346"/>
        <v>0</v>
      </c>
      <c r="W1272">
        <f t="shared" si="347"/>
        <v>1</v>
      </c>
      <c r="X1272">
        <f t="shared" si="348"/>
        <v>0</v>
      </c>
      <c r="Y1272">
        <f t="shared" si="349"/>
        <v>1</v>
      </c>
      <c r="Z1272">
        <f t="shared" si="350"/>
        <v>0</v>
      </c>
      <c r="AA1272">
        <f t="shared" si="351"/>
        <v>0</v>
      </c>
      <c r="AB1272">
        <f t="shared" si="352"/>
        <v>1</v>
      </c>
      <c r="AC1272">
        <f t="shared" si="353"/>
        <v>1</v>
      </c>
      <c r="AD1272">
        <f t="shared" si="354"/>
        <v>0</v>
      </c>
      <c r="AE1272">
        <f t="shared" si="355"/>
        <v>0</v>
      </c>
      <c r="AF1272">
        <f t="shared" si="356"/>
        <v>0</v>
      </c>
      <c r="AG1272">
        <f t="shared" si="357"/>
        <v>1</v>
      </c>
      <c r="AH1272">
        <f t="shared" si="358"/>
        <v>1</v>
      </c>
      <c r="AI1272">
        <f t="shared" si="359"/>
        <v>1</v>
      </c>
    </row>
    <row r="1273" spans="1:35" x14ac:dyDescent="0.2">
      <c r="A1273">
        <v>489</v>
      </c>
      <c r="B1273" t="s">
        <v>749</v>
      </c>
      <c r="C1273">
        <v>7</v>
      </c>
      <c r="D1273" t="s">
        <v>3533</v>
      </c>
      <c r="E1273" t="s">
        <v>20</v>
      </c>
      <c r="F1273" t="s">
        <v>18</v>
      </c>
      <c r="G1273" t="s">
        <v>18</v>
      </c>
      <c r="H1273" t="s">
        <v>20</v>
      </c>
      <c r="I1273">
        <v>6</v>
      </c>
      <c r="J1273">
        <v>3</v>
      </c>
      <c r="K1273">
        <v>1000</v>
      </c>
      <c r="L1273" t="s">
        <v>41</v>
      </c>
      <c r="M1273" t="s">
        <v>123</v>
      </c>
      <c r="N1273" t="s">
        <v>84</v>
      </c>
      <c r="O1273" t="s">
        <v>3534</v>
      </c>
      <c r="P1273" t="s">
        <v>3535</v>
      </c>
      <c r="Q1273">
        <f t="shared" si="342"/>
        <v>2</v>
      </c>
      <c r="R1273">
        <f t="shared" si="343"/>
        <v>4</v>
      </c>
      <c r="S1273">
        <f t="shared" si="344"/>
        <v>4</v>
      </c>
      <c r="T1273">
        <f t="shared" si="345"/>
        <v>2</v>
      </c>
      <c r="U1273">
        <v>1000</v>
      </c>
      <c r="V1273">
        <f t="shared" si="346"/>
        <v>0</v>
      </c>
      <c r="W1273">
        <f t="shared" si="347"/>
        <v>0</v>
      </c>
      <c r="X1273">
        <f t="shared" si="348"/>
        <v>0</v>
      </c>
      <c r="Y1273">
        <f t="shared" si="349"/>
        <v>0</v>
      </c>
      <c r="Z1273">
        <f t="shared" si="350"/>
        <v>1</v>
      </c>
      <c r="AA1273">
        <f t="shared" si="351"/>
        <v>0</v>
      </c>
      <c r="AB1273">
        <f t="shared" si="352"/>
        <v>1</v>
      </c>
      <c r="AC1273">
        <f t="shared" si="353"/>
        <v>1</v>
      </c>
      <c r="AD1273">
        <f t="shared" si="354"/>
        <v>0</v>
      </c>
      <c r="AE1273">
        <f t="shared" si="355"/>
        <v>0</v>
      </c>
      <c r="AF1273">
        <f t="shared" si="356"/>
        <v>0</v>
      </c>
      <c r="AG1273">
        <f t="shared" si="357"/>
        <v>1</v>
      </c>
      <c r="AH1273">
        <f t="shared" si="358"/>
        <v>0</v>
      </c>
      <c r="AI1273">
        <f t="shared" si="359"/>
        <v>0</v>
      </c>
    </row>
    <row r="1274" spans="1:35" x14ac:dyDescent="0.2">
      <c r="A1274">
        <v>490</v>
      </c>
      <c r="B1274" t="s">
        <v>749</v>
      </c>
      <c r="C1274">
        <v>9</v>
      </c>
      <c r="D1274" t="s">
        <v>3536</v>
      </c>
      <c r="E1274" t="s">
        <v>20</v>
      </c>
      <c r="F1274" t="s">
        <v>39</v>
      </c>
      <c r="G1274" t="s">
        <v>39</v>
      </c>
      <c r="H1274" t="s">
        <v>20</v>
      </c>
      <c r="I1274">
        <v>7</v>
      </c>
      <c r="J1274">
        <v>5</v>
      </c>
      <c r="K1274" t="s">
        <v>3537</v>
      </c>
      <c r="L1274" t="s">
        <v>714</v>
      </c>
      <c r="M1274" t="s">
        <v>99</v>
      </c>
      <c r="N1274" t="s">
        <v>43</v>
      </c>
      <c r="O1274" t="s">
        <v>3538</v>
      </c>
      <c r="P1274" t="s">
        <v>3539</v>
      </c>
      <c r="Q1274">
        <f t="shared" si="342"/>
        <v>2</v>
      </c>
      <c r="R1274">
        <f t="shared" si="343"/>
        <v>5</v>
      </c>
      <c r="S1274">
        <f t="shared" si="344"/>
        <v>5</v>
      </c>
      <c r="T1274">
        <f t="shared" si="345"/>
        <v>2</v>
      </c>
      <c r="U1274">
        <v>200</v>
      </c>
      <c r="V1274">
        <f t="shared" si="346"/>
        <v>0</v>
      </c>
      <c r="W1274">
        <f t="shared" si="347"/>
        <v>0</v>
      </c>
      <c r="X1274">
        <f t="shared" si="348"/>
        <v>1</v>
      </c>
      <c r="Y1274">
        <f t="shared" si="349"/>
        <v>1</v>
      </c>
      <c r="Z1274">
        <f t="shared" si="350"/>
        <v>1</v>
      </c>
      <c r="AA1274">
        <f t="shared" si="351"/>
        <v>1</v>
      </c>
      <c r="AB1274">
        <f t="shared" si="352"/>
        <v>0</v>
      </c>
      <c r="AC1274">
        <f t="shared" si="353"/>
        <v>0</v>
      </c>
      <c r="AD1274">
        <f t="shared" si="354"/>
        <v>0</v>
      </c>
      <c r="AE1274">
        <f t="shared" si="355"/>
        <v>1</v>
      </c>
      <c r="AF1274">
        <f t="shared" si="356"/>
        <v>1</v>
      </c>
      <c r="AG1274">
        <f t="shared" si="357"/>
        <v>1</v>
      </c>
      <c r="AH1274">
        <f t="shared" si="358"/>
        <v>0</v>
      </c>
      <c r="AI1274">
        <f t="shared" si="359"/>
        <v>0</v>
      </c>
    </row>
    <row r="1275" spans="1:35" x14ac:dyDescent="0.2">
      <c r="A1275">
        <v>491</v>
      </c>
      <c r="B1275" t="s">
        <v>749</v>
      </c>
      <c r="C1275">
        <v>2</v>
      </c>
      <c r="D1275" t="s">
        <v>452</v>
      </c>
      <c r="E1275" t="s">
        <v>18</v>
      </c>
      <c r="F1275" t="s">
        <v>20</v>
      </c>
      <c r="G1275" t="s">
        <v>19</v>
      </c>
      <c r="H1275" t="s">
        <v>18</v>
      </c>
      <c r="I1275">
        <v>4</v>
      </c>
      <c r="J1275">
        <v>14</v>
      </c>
      <c r="K1275" t="s">
        <v>552</v>
      </c>
      <c r="L1275" t="s">
        <v>53</v>
      </c>
      <c r="M1275" t="s">
        <v>123</v>
      </c>
      <c r="N1275" t="s">
        <v>49</v>
      </c>
      <c r="O1275" t="s">
        <v>787</v>
      </c>
      <c r="P1275" t="s">
        <v>3540</v>
      </c>
      <c r="Q1275">
        <f t="shared" si="342"/>
        <v>4</v>
      </c>
      <c r="R1275">
        <f t="shared" si="343"/>
        <v>2</v>
      </c>
      <c r="S1275">
        <f t="shared" si="344"/>
        <v>3</v>
      </c>
      <c r="T1275">
        <f t="shared" si="345"/>
        <v>4</v>
      </c>
      <c r="U1275">
        <v>5</v>
      </c>
      <c r="V1275">
        <f t="shared" si="346"/>
        <v>0</v>
      </c>
      <c r="W1275">
        <f t="shared" si="347"/>
        <v>0</v>
      </c>
      <c r="X1275">
        <f t="shared" si="348"/>
        <v>1</v>
      </c>
      <c r="Y1275">
        <f t="shared" si="349"/>
        <v>0</v>
      </c>
      <c r="Z1275">
        <f t="shared" si="350"/>
        <v>0</v>
      </c>
      <c r="AA1275">
        <f t="shared" si="351"/>
        <v>0</v>
      </c>
      <c r="AB1275">
        <f t="shared" si="352"/>
        <v>1</v>
      </c>
      <c r="AC1275">
        <f t="shared" si="353"/>
        <v>1</v>
      </c>
      <c r="AD1275">
        <f t="shared" si="354"/>
        <v>0</v>
      </c>
      <c r="AE1275">
        <f t="shared" si="355"/>
        <v>0</v>
      </c>
      <c r="AF1275">
        <f t="shared" si="356"/>
        <v>0</v>
      </c>
      <c r="AG1275">
        <f t="shared" si="357"/>
        <v>1</v>
      </c>
      <c r="AH1275">
        <f t="shared" si="358"/>
        <v>1</v>
      </c>
      <c r="AI1275">
        <f t="shared" si="359"/>
        <v>0</v>
      </c>
    </row>
    <row r="1276" spans="1:35" x14ac:dyDescent="0.2">
      <c r="A1276">
        <v>492</v>
      </c>
      <c r="B1276" t="s">
        <v>749</v>
      </c>
      <c r="C1276">
        <v>7</v>
      </c>
      <c r="D1276" t="s">
        <v>3541</v>
      </c>
      <c r="E1276" t="s">
        <v>20</v>
      </c>
      <c r="F1276" t="s">
        <v>18</v>
      </c>
      <c r="G1276" t="s">
        <v>18</v>
      </c>
      <c r="H1276" t="s">
        <v>21</v>
      </c>
      <c r="I1276">
        <v>5</v>
      </c>
      <c r="J1276">
        <v>3</v>
      </c>
      <c r="K1276" t="s">
        <v>3542</v>
      </c>
      <c r="L1276" t="s">
        <v>194</v>
      </c>
      <c r="M1276" t="s">
        <v>587</v>
      </c>
      <c r="N1276" t="s">
        <v>847</v>
      </c>
      <c r="O1276" t="s">
        <v>3543</v>
      </c>
      <c r="P1276" t="s">
        <v>3544</v>
      </c>
      <c r="Q1276">
        <f t="shared" si="342"/>
        <v>2</v>
      </c>
      <c r="R1276">
        <f t="shared" si="343"/>
        <v>4</v>
      </c>
      <c r="S1276">
        <f t="shared" si="344"/>
        <v>4</v>
      </c>
      <c r="T1276">
        <f t="shared" si="345"/>
        <v>1</v>
      </c>
      <c r="U1276">
        <v>20000000</v>
      </c>
      <c r="V1276">
        <f t="shared" si="346"/>
        <v>0</v>
      </c>
      <c r="W1276">
        <f t="shared" si="347"/>
        <v>0</v>
      </c>
      <c r="X1276">
        <f t="shared" si="348"/>
        <v>0</v>
      </c>
      <c r="Y1276">
        <f t="shared" si="349"/>
        <v>1</v>
      </c>
      <c r="Z1276">
        <f t="shared" si="350"/>
        <v>1</v>
      </c>
      <c r="AA1276">
        <f t="shared" si="351"/>
        <v>0</v>
      </c>
      <c r="AB1276">
        <f t="shared" si="352"/>
        <v>1</v>
      </c>
      <c r="AC1276">
        <f t="shared" si="353"/>
        <v>0</v>
      </c>
      <c r="AD1276">
        <f t="shared" si="354"/>
        <v>1</v>
      </c>
      <c r="AE1276">
        <f t="shared" si="355"/>
        <v>1</v>
      </c>
      <c r="AF1276">
        <f t="shared" si="356"/>
        <v>1</v>
      </c>
      <c r="AG1276">
        <f t="shared" si="357"/>
        <v>0</v>
      </c>
      <c r="AH1276">
        <f t="shared" si="358"/>
        <v>0</v>
      </c>
      <c r="AI1276">
        <f t="shared" si="359"/>
        <v>1</v>
      </c>
    </row>
    <row r="1277" spans="1:35" x14ac:dyDescent="0.2">
      <c r="A1277">
        <v>493</v>
      </c>
      <c r="B1277" t="s">
        <v>749</v>
      </c>
      <c r="C1277">
        <v>4</v>
      </c>
      <c r="D1277" t="s">
        <v>3545</v>
      </c>
      <c r="E1277" t="s">
        <v>19</v>
      </c>
      <c r="F1277" t="s">
        <v>19</v>
      </c>
      <c r="G1277" t="s">
        <v>18</v>
      </c>
      <c r="H1277" t="s">
        <v>21</v>
      </c>
      <c r="I1277">
        <v>3</v>
      </c>
      <c r="J1277">
        <v>2</v>
      </c>
      <c r="K1277">
        <v>10</v>
      </c>
      <c r="L1277" t="s">
        <v>494</v>
      </c>
      <c r="M1277" t="s">
        <v>468</v>
      </c>
      <c r="N1277" t="s">
        <v>147</v>
      </c>
      <c r="O1277" t="s">
        <v>593</v>
      </c>
      <c r="P1277" t="s">
        <v>3546</v>
      </c>
      <c r="Q1277">
        <f t="shared" si="342"/>
        <v>3</v>
      </c>
      <c r="R1277">
        <f t="shared" si="343"/>
        <v>3</v>
      </c>
      <c r="S1277">
        <f t="shared" si="344"/>
        <v>4</v>
      </c>
      <c r="T1277">
        <f t="shared" si="345"/>
        <v>1</v>
      </c>
      <c r="U1277">
        <v>10</v>
      </c>
      <c r="V1277">
        <f t="shared" si="346"/>
        <v>0</v>
      </c>
      <c r="W1277">
        <f t="shared" si="347"/>
        <v>1</v>
      </c>
      <c r="X1277">
        <f t="shared" si="348"/>
        <v>1</v>
      </c>
      <c r="Y1277">
        <f t="shared" si="349"/>
        <v>1</v>
      </c>
      <c r="Z1277">
        <f t="shared" si="350"/>
        <v>1</v>
      </c>
      <c r="AA1277">
        <f t="shared" si="351"/>
        <v>1</v>
      </c>
      <c r="AB1277">
        <f t="shared" si="352"/>
        <v>1</v>
      </c>
      <c r="AC1277">
        <f t="shared" si="353"/>
        <v>1</v>
      </c>
      <c r="AD1277">
        <f t="shared" si="354"/>
        <v>1</v>
      </c>
      <c r="AE1277">
        <f t="shared" si="355"/>
        <v>1</v>
      </c>
      <c r="AF1277">
        <f t="shared" si="356"/>
        <v>0</v>
      </c>
      <c r="AG1277">
        <f t="shared" si="357"/>
        <v>0</v>
      </c>
      <c r="AH1277">
        <f t="shared" si="358"/>
        <v>1</v>
      </c>
      <c r="AI1277">
        <f t="shared" si="359"/>
        <v>1</v>
      </c>
    </row>
    <row r="1278" spans="1:35" x14ac:dyDescent="0.2">
      <c r="A1278">
        <v>494</v>
      </c>
      <c r="B1278" t="s">
        <v>749</v>
      </c>
      <c r="C1278">
        <v>7</v>
      </c>
      <c r="D1278" t="s">
        <v>3547</v>
      </c>
      <c r="E1278" t="s">
        <v>19</v>
      </c>
      <c r="F1278" t="s">
        <v>18</v>
      </c>
      <c r="G1278" t="s">
        <v>18</v>
      </c>
      <c r="H1278" t="s">
        <v>19</v>
      </c>
      <c r="I1278">
        <v>5</v>
      </c>
      <c r="J1278">
        <v>4</v>
      </c>
      <c r="K1278" t="s">
        <v>2714</v>
      </c>
      <c r="L1278" t="s">
        <v>714</v>
      </c>
      <c r="M1278" t="s">
        <v>48</v>
      </c>
      <c r="N1278" t="s">
        <v>822</v>
      </c>
      <c r="O1278" t="s">
        <v>3548</v>
      </c>
      <c r="P1278" t="s">
        <v>3549</v>
      </c>
      <c r="Q1278">
        <f t="shared" si="342"/>
        <v>3</v>
      </c>
      <c r="R1278">
        <f t="shared" si="343"/>
        <v>4</v>
      </c>
      <c r="S1278">
        <f t="shared" si="344"/>
        <v>4</v>
      </c>
      <c r="T1278">
        <f t="shared" si="345"/>
        <v>3</v>
      </c>
      <c r="U1278">
        <v>100000000</v>
      </c>
      <c r="V1278">
        <f t="shared" si="346"/>
        <v>0</v>
      </c>
      <c r="W1278">
        <f t="shared" si="347"/>
        <v>0</v>
      </c>
      <c r="X1278">
        <f t="shared" si="348"/>
        <v>1</v>
      </c>
      <c r="Y1278">
        <f t="shared" si="349"/>
        <v>1</v>
      </c>
      <c r="Z1278">
        <f t="shared" si="350"/>
        <v>1</v>
      </c>
      <c r="AA1278">
        <f t="shared" si="351"/>
        <v>1</v>
      </c>
      <c r="AB1278">
        <f t="shared" si="352"/>
        <v>1</v>
      </c>
      <c r="AC1278">
        <f t="shared" si="353"/>
        <v>1</v>
      </c>
      <c r="AD1278">
        <f t="shared" si="354"/>
        <v>0</v>
      </c>
      <c r="AE1278">
        <f t="shared" si="355"/>
        <v>0</v>
      </c>
      <c r="AF1278">
        <f t="shared" si="356"/>
        <v>1</v>
      </c>
      <c r="AG1278">
        <f t="shared" si="357"/>
        <v>1</v>
      </c>
      <c r="AH1278">
        <f t="shared" si="358"/>
        <v>1</v>
      </c>
      <c r="AI1278">
        <f t="shared" si="359"/>
        <v>0</v>
      </c>
    </row>
    <row r="1279" spans="1:35" x14ac:dyDescent="0.2">
      <c r="A1279">
        <v>495</v>
      </c>
      <c r="B1279" t="s">
        <v>749</v>
      </c>
      <c r="C1279">
        <v>5</v>
      </c>
      <c r="D1279" t="s">
        <v>3550</v>
      </c>
      <c r="E1279" t="s">
        <v>18</v>
      </c>
      <c r="F1279" t="s">
        <v>18</v>
      </c>
      <c r="G1279" t="s">
        <v>18</v>
      </c>
      <c r="H1279" t="s">
        <v>19</v>
      </c>
      <c r="I1279">
        <v>3</v>
      </c>
      <c r="J1279">
        <v>3</v>
      </c>
      <c r="K1279">
        <v>5000</v>
      </c>
      <c r="L1279" t="s">
        <v>53</v>
      </c>
      <c r="M1279" t="s">
        <v>219</v>
      </c>
      <c r="N1279" t="s">
        <v>84</v>
      </c>
      <c r="O1279" t="s">
        <v>3551</v>
      </c>
      <c r="P1279" t="s">
        <v>3552</v>
      </c>
      <c r="Q1279">
        <f t="shared" si="342"/>
        <v>4</v>
      </c>
      <c r="R1279">
        <f t="shared" si="343"/>
        <v>4</v>
      </c>
      <c r="S1279">
        <f t="shared" si="344"/>
        <v>4</v>
      </c>
      <c r="T1279">
        <f t="shared" si="345"/>
        <v>3</v>
      </c>
      <c r="U1279">
        <v>5000</v>
      </c>
      <c r="V1279">
        <f t="shared" si="346"/>
        <v>0</v>
      </c>
      <c r="W1279">
        <f t="shared" si="347"/>
        <v>0</v>
      </c>
      <c r="X1279">
        <f t="shared" si="348"/>
        <v>1</v>
      </c>
      <c r="Y1279">
        <f t="shared" si="349"/>
        <v>0</v>
      </c>
      <c r="Z1279">
        <f t="shared" si="350"/>
        <v>0</v>
      </c>
      <c r="AA1279">
        <f t="shared" si="351"/>
        <v>0</v>
      </c>
      <c r="AB1279">
        <f t="shared" si="352"/>
        <v>0</v>
      </c>
      <c r="AC1279">
        <f t="shared" si="353"/>
        <v>0</v>
      </c>
      <c r="AD1279">
        <f t="shared" si="354"/>
        <v>0</v>
      </c>
      <c r="AE1279">
        <f t="shared" si="355"/>
        <v>1</v>
      </c>
      <c r="AF1279">
        <f t="shared" si="356"/>
        <v>0</v>
      </c>
      <c r="AG1279">
        <f t="shared" si="357"/>
        <v>1</v>
      </c>
      <c r="AH1279">
        <f t="shared" si="358"/>
        <v>0</v>
      </c>
      <c r="AI1279">
        <f t="shared" si="359"/>
        <v>0</v>
      </c>
    </row>
    <row r="1280" spans="1:35" x14ac:dyDescent="0.2">
      <c r="A1280">
        <v>496</v>
      </c>
      <c r="B1280" t="s">
        <v>749</v>
      </c>
      <c r="C1280">
        <v>6</v>
      </c>
      <c r="D1280" t="s">
        <v>3553</v>
      </c>
      <c r="E1280" t="s">
        <v>19</v>
      </c>
      <c r="F1280" t="s">
        <v>18</v>
      </c>
      <c r="G1280" t="s">
        <v>18</v>
      </c>
      <c r="H1280" t="s">
        <v>19</v>
      </c>
      <c r="I1280">
        <v>2</v>
      </c>
      <c r="J1280">
        <v>2</v>
      </c>
      <c r="K1280">
        <v>40</v>
      </c>
      <c r="L1280" t="s">
        <v>70</v>
      </c>
      <c r="M1280" t="s">
        <v>42</v>
      </c>
      <c r="N1280" t="s">
        <v>36</v>
      </c>
      <c r="O1280" t="s">
        <v>593</v>
      </c>
      <c r="P1280" t="s">
        <v>3554</v>
      </c>
      <c r="Q1280">
        <f t="shared" si="342"/>
        <v>3</v>
      </c>
      <c r="R1280">
        <f t="shared" si="343"/>
        <v>4</v>
      </c>
      <c r="S1280">
        <f t="shared" si="344"/>
        <v>4</v>
      </c>
      <c r="T1280">
        <f t="shared" si="345"/>
        <v>3</v>
      </c>
      <c r="U1280">
        <v>40</v>
      </c>
      <c r="V1280">
        <f t="shared" si="346"/>
        <v>0</v>
      </c>
      <c r="W1280">
        <f t="shared" si="347"/>
        <v>0</v>
      </c>
      <c r="X1280">
        <f t="shared" si="348"/>
        <v>0</v>
      </c>
      <c r="Y1280">
        <f t="shared" si="349"/>
        <v>1</v>
      </c>
      <c r="Z1280">
        <f t="shared" si="350"/>
        <v>0</v>
      </c>
      <c r="AA1280">
        <f t="shared" si="351"/>
        <v>0</v>
      </c>
      <c r="AB1280">
        <f t="shared" si="352"/>
        <v>1</v>
      </c>
      <c r="AC1280">
        <f t="shared" si="353"/>
        <v>0</v>
      </c>
      <c r="AD1280">
        <f t="shared" si="354"/>
        <v>0</v>
      </c>
      <c r="AE1280">
        <f t="shared" si="355"/>
        <v>0</v>
      </c>
      <c r="AF1280">
        <f t="shared" si="356"/>
        <v>0</v>
      </c>
      <c r="AG1280">
        <f t="shared" si="357"/>
        <v>0</v>
      </c>
      <c r="AH1280">
        <f t="shared" si="358"/>
        <v>0</v>
      </c>
      <c r="AI1280">
        <f t="shared" si="359"/>
        <v>1</v>
      </c>
    </row>
    <row r="1281" spans="1:35" x14ac:dyDescent="0.2">
      <c r="A1281">
        <v>497</v>
      </c>
      <c r="B1281" t="s">
        <v>749</v>
      </c>
      <c r="C1281">
        <v>4</v>
      </c>
      <c r="D1281" t="s">
        <v>3555</v>
      </c>
      <c r="E1281" t="s">
        <v>20</v>
      </c>
      <c r="F1281" t="s">
        <v>39</v>
      </c>
      <c r="G1281" t="s">
        <v>39</v>
      </c>
      <c r="H1281" t="s">
        <v>20</v>
      </c>
      <c r="I1281">
        <v>5</v>
      </c>
      <c r="J1281">
        <v>16</v>
      </c>
      <c r="K1281">
        <v>1000000</v>
      </c>
      <c r="L1281" t="s">
        <v>601</v>
      </c>
      <c r="M1281" t="s">
        <v>48</v>
      </c>
      <c r="N1281" t="s">
        <v>822</v>
      </c>
      <c r="O1281" t="s">
        <v>3556</v>
      </c>
      <c r="P1281" t="s">
        <v>3557</v>
      </c>
      <c r="Q1281">
        <f t="shared" si="342"/>
        <v>2</v>
      </c>
      <c r="R1281">
        <f t="shared" si="343"/>
        <v>5</v>
      </c>
      <c r="S1281">
        <f t="shared" si="344"/>
        <v>5</v>
      </c>
      <c r="T1281">
        <f t="shared" si="345"/>
        <v>2</v>
      </c>
      <c r="U1281">
        <v>1000000</v>
      </c>
      <c r="V1281">
        <f t="shared" si="346"/>
        <v>0</v>
      </c>
      <c r="W1281">
        <f t="shared" si="347"/>
        <v>1</v>
      </c>
      <c r="X1281">
        <f t="shared" si="348"/>
        <v>0</v>
      </c>
      <c r="Y1281">
        <f t="shared" si="349"/>
        <v>1</v>
      </c>
      <c r="Z1281">
        <f t="shared" si="350"/>
        <v>1</v>
      </c>
      <c r="AA1281">
        <f t="shared" si="351"/>
        <v>1</v>
      </c>
      <c r="AB1281">
        <f t="shared" si="352"/>
        <v>1</v>
      </c>
      <c r="AC1281">
        <f t="shared" si="353"/>
        <v>1</v>
      </c>
      <c r="AD1281">
        <f t="shared" si="354"/>
        <v>0</v>
      </c>
      <c r="AE1281">
        <f t="shared" si="355"/>
        <v>0</v>
      </c>
      <c r="AF1281">
        <f t="shared" si="356"/>
        <v>1</v>
      </c>
      <c r="AG1281">
        <f t="shared" si="357"/>
        <v>1</v>
      </c>
      <c r="AH1281">
        <f t="shared" si="358"/>
        <v>1</v>
      </c>
      <c r="AI1281">
        <f t="shared" si="359"/>
        <v>0</v>
      </c>
    </row>
    <row r="1282" spans="1:35" x14ac:dyDescent="0.2">
      <c r="A1282">
        <v>498</v>
      </c>
      <c r="B1282" t="s">
        <v>749</v>
      </c>
      <c r="C1282">
        <v>7</v>
      </c>
      <c r="D1282" t="s">
        <v>3558</v>
      </c>
      <c r="E1282" t="s">
        <v>19</v>
      </c>
      <c r="F1282" t="s">
        <v>18</v>
      </c>
      <c r="G1282" t="s">
        <v>18</v>
      </c>
      <c r="H1282" t="s">
        <v>20</v>
      </c>
      <c r="I1282">
        <v>3</v>
      </c>
      <c r="J1282">
        <v>4</v>
      </c>
      <c r="K1282">
        <v>50</v>
      </c>
      <c r="L1282" t="s">
        <v>230</v>
      </c>
      <c r="M1282" t="s">
        <v>48</v>
      </c>
      <c r="N1282" t="s">
        <v>847</v>
      </c>
      <c r="O1282" t="s">
        <v>205</v>
      </c>
      <c r="P1282" t="s">
        <v>3559</v>
      </c>
      <c r="Q1282">
        <f t="shared" si="342"/>
        <v>3</v>
      </c>
      <c r="R1282">
        <f t="shared" si="343"/>
        <v>4</v>
      </c>
      <c r="S1282">
        <f t="shared" si="344"/>
        <v>4</v>
      </c>
      <c r="T1282">
        <f t="shared" si="345"/>
        <v>2</v>
      </c>
      <c r="U1282">
        <v>50</v>
      </c>
      <c r="V1282">
        <f t="shared" si="346"/>
        <v>1</v>
      </c>
      <c r="W1282">
        <f t="shared" si="347"/>
        <v>1</v>
      </c>
      <c r="X1282">
        <f t="shared" si="348"/>
        <v>1</v>
      </c>
      <c r="Y1282">
        <f t="shared" si="349"/>
        <v>1</v>
      </c>
      <c r="Z1282">
        <f t="shared" si="350"/>
        <v>1</v>
      </c>
      <c r="AA1282">
        <f t="shared" si="351"/>
        <v>1</v>
      </c>
      <c r="AB1282">
        <f t="shared" si="352"/>
        <v>1</v>
      </c>
      <c r="AC1282">
        <f t="shared" si="353"/>
        <v>1</v>
      </c>
      <c r="AD1282">
        <f t="shared" si="354"/>
        <v>0</v>
      </c>
      <c r="AE1282">
        <f t="shared" si="355"/>
        <v>0</v>
      </c>
      <c r="AF1282">
        <f t="shared" si="356"/>
        <v>1</v>
      </c>
      <c r="AG1282">
        <f t="shared" si="357"/>
        <v>0</v>
      </c>
      <c r="AH1282">
        <f t="shared" si="358"/>
        <v>0</v>
      </c>
      <c r="AI1282">
        <f t="shared" si="359"/>
        <v>1</v>
      </c>
    </row>
    <row r="1283" spans="1:35" x14ac:dyDescent="0.2">
      <c r="A1283">
        <v>499</v>
      </c>
      <c r="B1283" t="s">
        <v>749</v>
      </c>
      <c r="C1283">
        <v>3</v>
      </c>
      <c r="D1283" t="s">
        <v>1418</v>
      </c>
      <c r="E1283" t="s">
        <v>19</v>
      </c>
      <c r="F1283" t="s">
        <v>18</v>
      </c>
      <c r="G1283" t="s">
        <v>18</v>
      </c>
      <c r="H1283" t="s">
        <v>20</v>
      </c>
      <c r="I1283">
        <v>100</v>
      </c>
      <c r="J1283">
        <v>7</v>
      </c>
      <c r="K1283" t="s">
        <v>3560</v>
      </c>
      <c r="L1283" t="s">
        <v>230</v>
      </c>
      <c r="M1283" t="s">
        <v>468</v>
      </c>
      <c r="N1283" t="s">
        <v>84</v>
      </c>
      <c r="O1283" t="s">
        <v>378</v>
      </c>
      <c r="P1283" t="s">
        <v>3561</v>
      </c>
      <c r="Q1283">
        <f t="shared" ref="Q1283:Q1346" si="360">IF(E1283="", "", LEFT(E1283, 1) * 1)</f>
        <v>3</v>
      </c>
      <c r="R1283">
        <f t="shared" ref="R1283:R1346" si="361">IF(F1283="","",VALUE(LEFT(F1283,FIND(" ",F1283)-1)))</f>
        <v>4</v>
      </c>
      <c r="S1283">
        <f t="shared" ref="S1283:S1346" si="362">IF(G1283="","",VALUE(LEFT(G1283,FIND(" ",G1283)-1)))</f>
        <v>4</v>
      </c>
      <c r="T1283">
        <f t="shared" ref="T1283:T1346" si="363">IF(H1283="","",VALUE(LEFT(H1283,FIND(" ",H1283)-1)))</f>
        <v>2</v>
      </c>
      <c r="U1283">
        <v>9.9999999999999998E+23</v>
      </c>
      <c r="V1283">
        <f t="shared" ref="V1283:V1346" si="364">IF(L1283="",0,IF(ISNUMBER(SEARCH("Bathroom",L1283)),1,0))</f>
        <v>1</v>
      </c>
      <c r="W1283">
        <f t="shared" ref="W1283:W1346" si="365">IF(L1283="",0,IF(ISNUMBER(SEARCH("Dining room",L1283)),1,0))</f>
        <v>1</v>
      </c>
      <c r="X1283">
        <f t="shared" ref="X1283:X1346" si="366">IF(L1283="",0,IF(ISNUMBER(SEARCH("Office",L1283)),1,0))</f>
        <v>1</v>
      </c>
      <c r="Y1283">
        <f t="shared" ref="Y1283:Y1346" si="367">IF(L1283="",0,IF(ISNUMBER(SEARCH("Bedroom",L1283)),1,0))</f>
        <v>1</v>
      </c>
      <c r="Z1283">
        <f t="shared" ref="Z1283:Z1346" si="368">IF(L1283="",0,IF(ISNUMBER(SEARCH("Living room",L1283)),1,0))</f>
        <v>1</v>
      </c>
      <c r="AA1283">
        <f t="shared" ref="AA1283:AA1346" si="369">IF(M1283="",0, IF(ISNUMBER(SEARCH("By yourself",M1283)), 1, 0))</f>
        <v>1</v>
      </c>
      <c r="AB1283">
        <f t="shared" ref="AB1283:AB1346" si="370">IF(M1283="", 0, IF(ISNUMBER(SEARCH("Friends", M1283)), 1, 0))</f>
        <v>1</v>
      </c>
      <c r="AC1283">
        <f t="shared" ref="AC1283:AC1346" si="371">IF(M1283="",0,IF(ISNUMBER(SEARCH("Family members", M1283)), 1, 0))</f>
        <v>1</v>
      </c>
      <c r="AD1283">
        <f t="shared" ref="AD1283:AD1346" si="372">IF(M1283="", 0, IF(ISNUMBER(SEARCH("Coworkers/Classmates", M1283)), 1, 0))</f>
        <v>1</v>
      </c>
      <c r="AE1283">
        <f t="shared" ref="AE1283:AE1346" si="373">IF(M1283="", 0, IF(ISNUMBER(SEARCH("Strangers", M1283)), 1, 0))</f>
        <v>1</v>
      </c>
      <c r="AF1283">
        <f t="shared" ref="AF1283:AF1346" si="374">IF(N1283="", 0, IF(ISNUMBER(SEARCH("Spring", N1283)), 1, 0))</f>
        <v>0</v>
      </c>
      <c r="AG1283">
        <f t="shared" ref="AG1283:AG1346" si="375">IF(N1283="", 0, IF(ISNUMBER(SEARCH("Summer", N1283)), 1, 0))</f>
        <v>1</v>
      </c>
      <c r="AH1283">
        <f t="shared" ref="AH1283:AH1346" si="376">IF(N1283="", 0, IF(ISNUMBER(SEARCH("Fall", N1283)), 1, 0))</f>
        <v>0</v>
      </c>
      <c r="AI1283">
        <f t="shared" ref="AI1283:AI1346" si="377">IF(N1283="", 0, IF(ISNUMBER(SEARCH("Winter", N1283)), 1, 0))</f>
        <v>0</v>
      </c>
    </row>
    <row r="1284" spans="1:35" x14ac:dyDescent="0.2">
      <c r="A1284">
        <v>500</v>
      </c>
      <c r="B1284" t="s">
        <v>749</v>
      </c>
      <c r="C1284">
        <v>7</v>
      </c>
      <c r="D1284" t="s">
        <v>3562</v>
      </c>
      <c r="E1284" t="s">
        <v>18</v>
      </c>
      <c r="F1284" t="s">
        <v>20</v>
      </c>
      <c r="G1284" t="s">
        <v>21</v>
      </c>
      <c r="H1284" t="s">
        <v>18</v>
      </c>
      <c r="I1284">
        <v>2</v>
      </c>
      <c r="J1284">
        <v>10</v>
      </c>
      <c r="K1284" t="s">
        <v>3563</v>
      </c>
      <c r="L1284" t="s">
        <v>22</v>
      </c>
      <c r="M1284" t="s">
        <v>219</v>
      </c>
      <c r="N1284" t="s">
        <v>84</v>
      </c>
      <c r="O1284" t="s">
        <v>1143</v>
      </c>
      <c r="P1284" t="s">
        <v>3564</v>
      </c>
      <c r="Q1284">
        <f t="shared" si="360"/>
        <v>4</v>
      </c>
      <c r="R1284">
        <f t="shared" si="361"/>
        <v>2</v>
      </c>
      <c r="S1284">
        <f t="shared" si="362"/>
        <v>1</v>
      </c>
      <c r="T1284">
        <f t="shared" si="363"/>
        <v>4</v>
      </c>
      <c r="U1284">
        <v>2</v>
      </c>
      <c r="V1284">
        <f t="shared" si="364"/>
        <v>1</v>
      </c>
      <c r="W1284">
        <f t="shared" si="365"/>
        <v>0</v>
      </c>
      <c r="X1284">
        <f t="shared" si="366"/>
        <v>0</v>
      </c>
      <c r="Y1284">
        <f t="shared" si="367"/>
        <v>0</v>
      </c>
      <c r="Z1284">
        <f t="shared" si="368"/>
        <v>0</v>
      </c>
      <c r="AA1284">
        <f t="shared" si="369"/>
        <v>0</v>
      </c>
      <c r="AB1284">
        <f t="shared" si="370"/>
        <v>0</v>
      </c>
      <c r="AC1284">
        <f t="shared" si="371"/>
        <v>0</v>
      </c>
      <c r="AD1284">
        <f t="shared" si="372"/>
        <v>0</v>
      </c>
      <c r="AE1284">
        <f t="shared" si="373"/>
        <v>1</v>
      </c>
      <c r="AF1284">
        <f t="shared" si="374"/>
        <v>0</v>
      </c>
      <c r="AG1284">
        <f t="shared" si="375"/>
        <v>1</v>
      </c>
      <c r="AH1284">
        <f t="shared" si="376"/>
        <v>0</v>
      </c>
      <c r="AI1284">
        <f t="shared" si="377"/>
        <v>0</v>
      </c>
    </row>
    <row r="1285" spans="1:35" x14ac:dyDescent="0.2">
      <c r="A1285">
        <v>501</v>
      </c>
      <c r="B1285" t="s">
        <v>749</v>
      </c>
      <c r="C1285">
        <v>7</v>
      </c>
      <c r="D1285" t="s">
        <v>3565</v>
      </c>
      <c r="E1285" t="s">
        <v>18</v>
      </c>
      <c r="F1285" t="s">
        <v>19</v>
      </c>
      <c r="G1285" t="s">
        <v>39</v>
      </c>
      <c r="H1285" t="s">
        <v>20</v>
      </c>
      <c r="I1285">
        <v>3</v>
      </c>
      <c r="J1285">
        <v>2</v>
      </c>
      <c r="K1285" s="2">
        <v>2000000</v>
      </c>
      <c r="L1285" t="s">
        <v>98</v>
      </c>
      <c r="M1285" t="s">
        <v>42</v>
      </c>
      <c r="N1285" t="s">
        <v>215</v>
      </c>
      <c r="O1285" t="s">
        <v>3566</v>
      </c>
      <c r="P1285" t="s">
        <v>3567</v>
      </c>
      <c r="Q1285">
        <f t="shared" si="360"/>
        <v>4</v>
      </c>
      <c r="R1285">
        <f t="shared" si="361"/>
        <v>3</v>
      </c>
      <c r="S1285">
        <f t="shared" si="362"/>
        <v>5</v>
      </c>
      <c r="T1285">
        <f t="shared" si="363"/>
        <v>2</v>
      </c>
      <c r="U1285">
        <v>2000000</v>
      </c>
      <c r="V1285">
        <f t="shared" si="364"/>
        <v>0</v>
      </c>
      <c r="W1285">
        <f t="shared" si="365"/>
        <v>1</v>
      </c>
      <c r="X1285">
        <f t="shared" si="366"/>
        <v>0</v>
      </c>
      <c r="Y1285">
        <f t="shared" si="367"/>
        <v>0</v>
      </c>
      <c r="Z1285">
        <f t="shared" si="368"/>
        <v>0</v>
      </c>
      <c r="AA1285">
        <f t="shared" si="369"/>
        <v>0</v>
      </c>
      <c r="AB1285">
        <f t="shared" si="370"/>
        <v>1</v>
      </c>
      <c r="AC1285">
        <f t="shared" si="371"/>
        <v>0</v>
      </c>
      <c r="AD1285">
        <f t="shared" si="372"/>
        <v>0</v>
      </c>
      <c r="AE1285">
        <f t="shared" si="373"/>
        <v>0</v>
      </c>
      <c r="AF1285">
        <f t="shared" si="374"/>
        <v>1</v>
      </c>
      <c r="AG1285">
        <f t="shared" si="375"/>
        <v>0</v>
      </c>
      <c r="AH1285">
        <f t="shared" si="376"/>
        <v>0</v>
      </c>
      <c r="AI1285">
        <f t="shared" si="377"/>
        <v>0</v>
      </c>
    </row>
    <row r="1286" spans="1:35" x14ac:dyDescent="0.2">
      <c r="A1286">
        <v>502</v>
      </c>
      <c r="B1286" t="s">
        <v>749</v>
      </c>
      <c r="C1286">
        <v>2</v>
      </c>
      <c r="D1286" t="s">
        <v>3568</v>
      </c>
      <c r="E1286" t="s">
        <v>21</v>
      </c>
      <c r="F1286" t="s">
        <v>18</v>
      </c>
      <c r="G1286" t="s">
        <v>18</v>
      </c>
      <c r="H1286" t="s">
        <v>20</v>
      </c>
      <c r="I1286">
        <v>3</v>
      </c>
      <c r="J1286">
        <v>5</v>
      </c>
      <c r="K1286" t="s">
        <v>3569</v>
      </c>
      <c r="L1286" t="s">
        <v>53</v>
      </c>
      <c r="M1286" t="s">
        <v>268</v>
      </c>
      <c r="N1286" t="s">
        <v>84</v>
      </c>
      <c r="O1286" t="s">
        <v>3570</v>
      </c>
      <c r="P1286" t="s">
        <v>3571</v>
      </c>
      <c r="Q1286">
        <f t="shared" si="360"/>
        <v>1</v>
      </c>
      <c r="R1286">
        <f t="shared" si="361"/>
        <v>4</v>
      </c>
      <c r="S1286">
        <f t="shared" si="362"/>
        <v>4</v>
      </c>
      <c r="T1286">
        <f t="shared" si="363"/>
        <v>2</v>
      </c>
      <c r="U1286">
        <v>50</v>
      </c>
      <c r="V1286">
        <f t="shared" si="364"/>
        <v>0</v>
      </c>
      <c r="W1286">
        <f t="shared" si="365"/>
        <v>0</v>
      </c>
      <c r="X1286">
        <f t="shared" si="366"/>
        <v>1</v>
      </c>
      <c r="Y1286">
        <f t="shared" si="367"/>
        <v>0</v>
      </c>
      <c r="Z1286">
        <f t="shared" si="368"/>
        <v>0</v>
      </c>
      <c r="AA1286">
        <f t="shared" si="369"/>
        <v>1</v>
      </c>
      <c r="AB1286">
        <f t="shared" si="370"/>
        <v>1</v>
      </c>
      <c r="AC1286">
        <f t="shared" si="371"/>
        <v>0</v>
      </c>
      <c r="AD1286">
        <f t="shared" si="372"/>
        <v>1</v>
      </c>
      <c r="AE1286">
        <f t="shared" si="373"/>
        <v>0</v>
      </c>
      <c r="AF1286">
        <f t="shared" si="374"/>
        <v>0</v>
      </c>
      <c r="AG1286">
        <f t="shared" si="375"/>
        <v>1</v>
      </c>
      <c r="AH1286">
        <f t="shared" si="376"/>
        <v>0</v>
      </c>
      <c r="AI1286">
        <f t="shared" si="377"/>
        <v>0</v>
      </c>
    </row>
    <row r="1287" spans="1:35" x14ac:dyDescent="0.2">
      <c r="A1287">
        <v>503</v>
      </c>
      <c r="B1287" t="s">
        <v>749</v>
      </c>
      <c r="C1287">
        <v>3</v>
      </c>
      <c r="D1287" t="s">
        <v>3572</v>
      </c>
      <c r="E1287" t="s">
        <v>18</v>
      </c>
      <c r="F1287" t="s">
        <v>20</v>
      </c>
      <c r="G1287" t="s">
        <v>21</v>
      </c>
      <c r="H1287" t="s">
        <v>39</v>
      </c>
      <c r="I1287">
        <v>3</v>
      </c>
      <c r="J1287">
        <v>4</v>
      </c>
      <c r="K1287" t="s">
        <v>2191</v>
      </c>
      <c r="L1287" t="s">
        <v>34</v>
      </c>
      <c r="M1287" t="s">
        <v>23</v>
      </c>
      <c r="N1287" t="s">
        <v>847</v>
      </c>
      <c r="O1287" t="s">
        <v>185</v>
      </c>
      <c r="P1287" t="s">
        <v>3573</v>
      </c>
      <c r="Q1287">
        <f t="shared" si="360"/>
        <v>4</v>
      </c>
      <c r="R1287">
        <f t="shared" si="361"/>
        <v>2</v>
      </c>
      <c r="S1287">
        <f t="shared" si="362"/>
        <v>1</v>
      </c>
      <c r="T1287">
        <f t="shared" si="363"/>
        <v>5</v>
      </c>
      <c r="U1287">
        <v>10</v>
      </c>
      <c r="V1287">
        <f t="shared" si="364"/>
        <v>1</v>
      </c>
      <c r="W1287">
        <f t="shared" si="365"/>
        <v>0</v>
      </c>
      <c r="X1287">
        <f t="shared" si="366"/>
        <v>0</v>
      </c>
      <c r="Y1287">
        <f t="shared" si="367"/>
        <v>1</v>
      </c>
      <c r="Z1287">
        <f t="shared" si="368"/>
        <v>0</v>
      </c>
      <c r="AA1287">
        <f t="shared" si="369"/>
        <v>1</v>
      </c>
      <c r="AB1287">
        <f t="shared" si="370"/>
        <v>0</v>
      </c>
      <c r="AC1287">
        <f t="shared" si="371"/>
        <v>0</v>
      </c>
      <c r="AD1287">
        <f t="shared" si="372"/>
        <v>0</v>
      </c>
      <c r="AE1287">
        <f t="shared" si="373"/>
        <v>0</v>
      </c>
      <c r="AF1287">
        <f t="shared" si="374"/>
        <v>1</v>
      </c>
      <c r="AG1287">
        <f t="shared" si="375"/>
        <v>0</v>
      </c>
      <c r="AH1287">
        <f t="shared" si="376"/>
        <v>0</v>
      </c>
      <c r="AI1287">
        <f t="shared" si="377"/>
        <v>1</v>
      </c>
    </row>
    <row r="1288" spans="1:35" x14ac:dyDescent="0.2">
      <c r="A1288">
        <v>504</v>
      </c>
      <c r="B1288" t="s">
        <v>749</v>
      </c>
      <c r="C1288">
        <v>8</v>
      </c>
      <c r="D1288" t="s">
        <v>976</v>
      </c>
      <c r="E1288" t="s">
        <v>21</v>
      </c>
      <c r="F1288" t="s">
        <v>18</v>
      </c>
      <c r="G1288" t="s">
        <v>39</v>
      </c>
      <c r="H1288" t="s">
        <v>21</v>
      </c>
      <c r="I1288">
        <v>3</v>
      </c>
      <c r="J1288">
        <v>1</v>
      </c>
      <c r="K1288">
        <v>150</v>
      </c>
      <c r="L1288" t="s">
        <v>41</v>
      </c>
      <c r="M1288" t="s">
        <v>115</v>
      </c>
      <c r="N1288" t="s">
        <v>36</v>
      </c>
      <c r="O1288" t="s">
        <v>778</v>
      </c>
      <c r="P1288" t="s">
        <v>3574</v>
      </c>
      <c r="Q1288">
        <f t="shared" si="360"/>
        <v>1</v>
      </c>
      <c r="R1288">
        <f t="shared" si="361"/>
        <v>4</v>
      </c>
      <c r="S1288">
        <f t="shared" si="362"/>
        <v>5</v>
      </c>
      <c r="T1288">
        <f t="shared" si="363"/>
        <v>1</v>
      </c>
      <c r="U1288">
        <v>150</v>
      </c>
      <c r="V1288">
        <f t="shared" si="364"/>
        <v>0</v>
      </c>
      <c r="W1288">
        <f t="shared" si="365"/>
        <v>0</v>
      </c>
      <c r="X1288">
        <f t="shared" si="366"/>
        <v>0</v>
      </c>
      <c r="Y1288">
        <f t="shared" si="367"/>
        <v>0</v>
      </c>
      <c r="Z1288">
        <f t="shared" si="368"/>
        <v>1</v>
      </c>
      <c r="AA1288">
        <f t="shared" si="369"/>
        <v>0</v>
      </c>
      <c r="AB1288">
        <f t="shared" si="370"/>
        <v>0</v>
      </c>
      <c r="AC1288">
        <f t="shared" si="371"/>
        <v>1</v>
      </c>
      <c r="AD1288">
        <f t="shared" si="372"/>
        <v>0</v>
      </c>
      <c r="AE1288">
        <f t="shared" si="373"/>
        <v>0</v>
      </c>
      <c r="AF1288">
        <f t="shared" si="374"/>
        <v>0</v>
      </c>
      <c r="AG1288">
        <f t="shared" si="375"/>
        <v>0</v>
      </c>
      <c r="AH1288">
        <f t="shared" si="376"/>
        <v>0</v>
      </c>
      <c r="AI1288">
        <f t="shared" si="377"/>
        <v>1</v>
      </c>
    </row>
    <row r="1289" spans="1:35" x14ac:dyDescent="0.2">
      <c r="A1289">
        <v>505</v>
      </c>
      <c r="B1289" t="s">
        <v>749</v>
      </c>
      <c r="C1289">
        <v>3</v>
      </c>
      <c r="D1289" t="s">
        <v>3575</v>
      </c>
      <c r="E1289" t="s">
        <v>20</v>
      </c>
      <c r="F1289" t="s">
        <v>39</v>
      </c>
      <c r="G1289" t="s">
        <v>39</v>
      </c>
      <c r="H1289" t="s">
        <v>21</v>
      </c>
      <c r="I1289">
        <v>3</v>
      </c>
      <c r="J1289">
        <v>4</v>
      </c>
      <c r="K1289">
        <v>100</v>
      </c>
      <c r="L1289" t="s">
        <v>70</v>
      </c>
      <c r="M1289" t="s">
        <v>115</v>
      </c>
      <c r="N1289" t="s">
        <v>84</v>
      </c>
      <c r="O1289" t="s">
        <v>3576</v>
      </c>
      <c r="P1289" t="s">
        <v>3577</v>
      </c>
      <c r="Q1289">
        <f t="shared" si="360"/>
        <v>2</v>
      </c>
      <c r="R1289">
        <f t="shared" si="361"/>
        <v>5</v>
      </c>
      <c r="S1289">
        <f t="shared" si="362"/>
        <v>5</v>
      </c>
      <c r="T1289">
        <f t="shared" si="363"/>
        <v>1</v>
      </c>
      <c r="U1289">
        <v>100</v>
      </c>
      <c r="V1289">
        <f t="shared" si="364"/>
        <v>0</v>
      </c>
      <c r="W1289">
        <f t="shared" si="365"/>
        <v>0</v>
      </c>
      <c r="X1289">
        <f t="shared" si="366"/>
        <v>0</v>
      </c>
      <c r="Y1289">
        <f t="shared" si="367"/>
        <v>1</v>
      </c>
      <c r="Z1289">
        <f t="shared" si="368"/>
        <v>0</v>
      </c>
      <c r="AA1289">
        <f t="shared" si="369"/>
        <v>0</v>
      </c>
      <c r="AB1289">
        <f t="shared" si="370"/>
        <v>0</v>
      </c>
      <c r="AC1289">
        <f t="shared" si="371"/>
        <v>1</v>
      </c>
      <c r="AD1289">
        <f t="shared" si="372"/>
        <v>0</v>
      </c>
      <c r="AE1289">
        <f t="shared" si="373"/>
        <v>0</v>
      </c>
      <c r="AF1289">
        <f t="shared" si="374"/>
        <v>0</v>
      </c>
      <c r="AG1289">
        <f t="shared" si="375"/>
        <v>1</v>
      </c>
      <c r="AH1289">
        <f t="shared" si="376"/>
        <v>0</v>
      </c>
      <c r="AI1289">
        <f t="shared" si="377"/>
        <v>0</v>
      </c>
    </row>
    <row r="1290" spans="1:35" x14ac:dyDescent="0.2">
      <c r="A1290">
        <v>506</v>
      </c>
      <c r="B1290" t="s">
        <v>749</v>
      </c>
      <c r="C1290">
        <v>3</v>
      </c>
      <c r="D1290" t="s">
        <v>3578</v>
      </c>
      <c r="E1290" t="s">
        <v>20</v>
      </c>
      <c r="F1290" t="s">
        <v>20</v>
      </c>
      <c r="G1290" t="s">
        <v>18</v>
      </c>
      <c r="H1290" t="s">
        <v>20</v>
      </c>
      <c r="I1290">
        <v>2</v>
      </c>
      <c r="J1290">
        <v>1</v>
      </c>
      <c r="K1290">
        <v>0</v>
      </c>
      <c r="L1290" t="s">
        <v>230</v>
      </c>
      <c r="M1290" t="s">
        <v>781</v>
      </c>
      <c r="N1290" t="s">
        <v>36</v>
      </c>
      <c r="O1290" t="s">
        <v>955</v>
      </c>
      <c r="P1290" t="s">
        <v>3579</v>
      </c>
      <c r="Q1290">
        <f t="shared" si="360"/>
        <v>2</v>
      </c>
      <c r="R1290">
        <f t="shared" si="361"/>
        <v>2</v>
      </c>
      <c r="S1290">
        <f t="shared" si="362"/>
        <v>4</v>
      </c>
      <c r="T1290">
        <f t="shared" si="363"/>
        <v>2</v>
      </c>
      <c r="U1290">
        <v>0</v>
      </c>
      <c r="V1290">
        <f t="shared" si="364"/>
        <v>1</v>
      </c>
      <c r="W1290">
        <f t="shared" si="365"/>
        <v>1</v>
      </c>
      <c r="X1290">
        <f t="shared" si="366"/>
        <v>1</v>
      </c>
      <c r="Y1290">
        <f t="shared" si="367"/>
        <v>1</v>
      </c>
      <c r="Z1290">
        <f t="shared" si="368"/>
        <v>1</v>
      </c>
      <c r="AA1290">
        <f t="shared" si="369"/>
        <v>0</v>
      </c>
      <c r="AB1290">
        <f t="shared" si="370"/>
        <v>1</v>
      </c>
      <c r="AC1290">
        <f t="shared" si="371"/>
        <v>1</v>
      </c>
      <c r="AD1290">
        <f t="shared" si="372"/>
        <v>1</v>
      </c>
      <c r="AE1290">
        <f t="shared" si="373"/>
        <v>1</v>
      </c>
      <c r="AF1290">
        <f t="shared" si="374"/>
        <v>0</v>
      </c>
      <c r="AG1290">
        <f t="shared" si="375"/>
        <v>0</v>
      </c>
      <c r="AH1290">
        <f t="shared" si="376"/>
        <v>0</v>
      </c>
      <c r="AI1290">
        <f t="shared" si="377"/>
        <v>1</v>
      </c>
    </row>
    <row r="1291" spans="1:35" x14ac:dyDescent="0.2">
      <c r="A1291">
        <v>507</v>
      </c>
      <c r="B1291" t="s">
        <v>749</v>
      </c>
      <c r="C1291">
        <v>8</v>
      </c>
      <c r="D1291" t="s">
        <v>3580</v>
      </c>
      <c r="E1291" t="s">
        <v>21</v>
      </c>
      <c r="F1291" t="s">
        <v>39</v>
      </c>
      <c r="G1291" t="s">
        <v>39</v>
      </c>
      <c r="H1291" t="s">
        <v>21</v>
      </c>
      <c r="I1291">
        <v>4</v>
      </c>
      <c r="J1291">
        <v>5</v>
      </c>
      <c r="K1291" t="s">
        <v>3581</v>
      </c>
      <c r="L1291" t="s">
        <v>601</v>
      </c>
      <c r="M1291" t="s">
        <v>268</v>
      </c>
      <c r="N1291" t="s">
        <v>84</v>
      </c>
      <c r="O1291" t="s">
        <v>3582</v>
      </c>
      <c r="P1291" t="s">
        <v>3583</v>
      </c>
      <c r="Q1291">
        <f t="shared" si="360"/>
        <v>1</v>
      </c>
      <c r="R1291">
        <f t="shared" si="361"/>
        <v>5</v>
      </c>
      <c r="S1291">
        <f t="shared" si="362"/>
        <v>5</v>
      </c>
      <c r="T1291">
        <f t="shared" si="363"/>
        <v>1</v>
      </c>
      <c r="U1291">
        <v>1032</v>
      </c>
      <c r="V1291">
        <f t="shared" si="364"/>
        <v>0</v>
      </c>
      <c r="W1291">
        <f t="shared" si="365"/>
        <v>1</v>
      </c>
      <c r="X1291">
        <f t="shared" si="366"/>
        <v>0</v>
      </c>
      <c r="Y1291">
        <f t="shared" si="367"/>
        <v>1</v>
      </c>
      <c r="Z1291">
        <f t="shared" si="368"/>
        <v>1</v>
      </c>
      <c r="AA1291">
        <f t="shared" si="369"/>
        <v>1</v>
      </c>
      <c r="AB1291">
        <f t="shared" si="370"/>
        <v>1</v>
      </c>
      <c r="AC1291">
        <f t="shared" si="371"/>
        <v>0</v>
      </c>
      <c r="AD1291">
        <f t="shared" si="372"/>
        <v>1</v>
      </c>
      <c r="AE1291">
        <f t="shared" si="373"/>
        <v>0</v>
      </c>
      <c r="AF1291">
        <f t="shared" si="374"/>
        <v>0</v>
      </c>
      <c r="AG1291">
        <f t="shared" si="375"/>
        <v>1</v>
      </c>
      <c r="AH1291">
        <f t="shared" si="376"/>
        <v>0</v>
      </c>
      <c r="AI1291">
        <f t="shared" si="377"/>
        <v>0</v>
      </c>
    </row>
    <row r="1292" spans="1:35" x14ac:dyDescent="0.2">
      <c r="A1292">
        <v>508</v>
      </c>
      <c r="B1292" t="s">
        <v>749</v>
      </c>
      <c r="C1292">
        <v>4</v>
      </c>
      <c r="D1292" t="s">
        <v>3584</v>
      </c>
      <c r="E1292" t="s">
        <v>20</v>
      </c>
      <c r="F1292" t="s">
        <v>19</v>
      </c>
      <c r="G1292" t="s">
        <v>18</v>
      </c>
      <c r="H1292" t="s">
        <v>20</v>
      </c>
      <c r="I1292">
        <v>5</v>
      </c>
      <c r="J1292">
        <v>4</v>
      </c>
      <c r="K1292">
        <v>600</v>
      </c>
      <c r="L1292" t="s">
        <v>128</v>
      </c>
      <c r="M1292" t="s">
        <v>1354</v>
      </c>
      <c r="N1292" t="s">
        <v>215</v>
      </c>
      <c r="O1292" t="s">
        <v>3585</v>
      </c>
      <c r="P1292" t="s">
        <v>3586</v>
      </c>
      <c r="Q1292">
        <f t="shared" si="360"/>
        <v>2</v>
      </c>
      <c r="R1292">
        <f t="shared" si="361"/>
        <v>3</v>
      </c>
      <c r="S1292">
        <f t="shared" si="362"/>
        <v>4</v>
      </c>
      <c r="T1292">
        <f t="shared" si="363"/>
        <v>2</v>
      </c>
      <c r="U1292">
        <v>600</v>
      </c>
      <c r="V1292">
        <f t="shared" si="364"/>
        <v>1</v>
      </c>
      <c r="W1292">
        <f t="shared" si="365"/>
        <v>0</v>
      </c>
      <c r="X1292">
        <f t="shared" si="366"/>
        <v>1</v>
      </c>
      <c r="Y1292">
        <f t="shared" si="367"/>
        <v>0</v>
      </c>
      <c r="Z1292">
        <f t="shared" si="368"/>
        <v>0</v>
      </c>
      <c r="AA1292">
        <f t="shared" si="369"/>
        <v>0</v>
      </c>
      <c r="AB1292">
        <f t="shared" si="370"/>
        <v>1</v>
      </c>
      <c r="AC1292">
        <f t="shared" si="371"/>
        <v>1</v>
      </c>
      <c r="AD1292">
        <f t="shared" si="372"/>
        <v>0</v>
      </c>
      <c r="AE1292">
        <f t="shared" si="373"/>
        <v>1</v>
      </c>
      <c r="AF1292">
        <f t="shared" si="374"/>
        <v>1</v>
      </c>
      <c r="AG1292">
        <f t="shared" si="375"/>
        <v>0</v>
      </c>
      <c r="AH1292">
        <f t="shared" si="376"/>
        <v>0</v>
      </c>
      <c r="AI1292">
        <f t="shared" si="377"/>
        <v>0</v>
      </c>
    </row>
    <row r="1293" spans="1:35" x14ac:dyDescent="0.2">
      <c r="A1293">
        <v>509</v>
      </c>
      <c r="B1293" t="s">
        <v>749</v>
      </c>
      <c r="C1293">
        <v>6</v>
      </c>
      <c r="D1293" t="s">
        <v>3587</v>
      </c>
      <c r="E1293" t="s">
        <v>21</v>
      </c>
      <c r="F1293" t="s">
        <v>20</v>
      </c>
      <c r="G1293" t="s">
        <v>39</v>
      </c>
      <c r="H1293" t="s">
        <v>21</v>
      </c>
      <c r="I1293">
        <v>4</v>
      </c>
      <c r="J1293">
        <v>5</v>
      </c>
      <c r="K1293">
        <v>35</v>
      </c>
      <c r="L1293" t="s">
        <v>66</v>
      </c>
      <c r="M1293" t="s">
        <v>23</v>
      </c>
      <c r="N1293" t="s">
        <v>36</v>
      </c>
      <c r="O1293" t="s">
        <v>3588</v>
      </c>
      <c r="P1293" t="s">
        <v>3589</v>
      </c>
      <c r="Q1293">
        <f t="shared" si="360"/>
        <v>1</v>
      </c>
      <c r="R1293">
        <f t="shared" si="361"/>
        <v>2</v>
      </c>
      <c r="S1293">
        <f t="shared" si="362"/>
        <v>5</v>
      </c>
      <c r="T1293">
        <f t="shared" si="363"/>
        <v>1</v>
      </c>
      <c r="U1293">
        <v>35</v>
      </c>
      <c r="V1293">
        <f t="shared" si="364"/>
        <v>0</v>
      </c>
      <c r="W1293">
        <f t="shared" si="365"/>
        <v>1</v>
      </c>
      <c r="X1293">
        <f t="shared" si="366"/>
        <v>1</v>
      </c>
      <c r="Y1293">
        <f t="shared" si="367"/>
        <v>0</v>
      </c>
      <c r="Z1293">
        <f t="shared" si="368"/>
        <v>0</v>
      </c>
      <c r="AA1293">
        <f t="shared" si="369"/>
        <v>1</v>
      </c>
      <c r="AB1293">
        <f t="shared" si="370"/>
        <v>0</v>
      </c>
      <c r="AC1293">
        <f t="shared" si="371"/>
        <v>0</v>
      </c>
      <c r="AD1293">
        <f t="shared" si="372"/>
        <v>0</v>
      </c>
      <c r="AE1293">
        <f t="shared" si="373"/>
        <v>0</v>
      </c>
      <c r="AF1293">
        <f t="shared" si="374"/>
        <v>0</v>
      </c>
      <c r="AG1293">
        <f t="shared" si="375"/>
        <v>0</v>
      </c>
      <c r="AH1293">
        <f t="shared" si="376"/>
        <v>0</v>
      </c>
      <c r="AI1293">
        <f t="shared" si="377"/>
        <v>1</v>
      </c>
    </row>
    <row r="1294" spans="1:35" x14ac:dyDescent="0.2">
      <c r="A1294">
        <v>510</v>
      </c>
      <c r="B1294" t="s">
        <v>749</v>
      </c>
      <c r="C1294">
        <v>8</v>
      </c>
      <c r="D1294" t="s">
        <v>1130</v>
      </c>
      <c r="E1294" t="s">
        <v>20</v>
      </c>
      <c r="F1294" t="s">
        <v>18</v>
      </c>
      <c r="G1294" t="s">
        <v>18</v>
      </c>
      <c r="H1294" t="s">
        <v>19</v>
      </c>
      <c r="I1294">
        <v>6</v>
      </c>
      <c r="J1294">
        <v>6</v>
      </c>
      <c r="K1294">
        <v>100</v>
      </c>
      <c r="L1294" t="s">
        <v>22</v>
      </c>
      <c r="M1294" t="s">
        <v>48</v>
      </c>
      <c r="N1294" t="s">
        <v>36</v>
      </c>
      <c r="O1294" t="s">
        <v>3590</v>
      </c>
      <c r="P1294" t="s">
        <v>3591</v>
      </c>
      <c r="Q1294">
        <f t="shared" si="360"/>
        <v>2</v>
      </c>
      <c r="R1294">
        <f t="shared" si="361"/>
        <v>4</v>
      </c>
      <c r="S1294">
        <f t="shared" si="362"/>
        <v>4</v>
      </c>
      <c r="T1294">
        <f t="shared" si="363"/>
        <v>3</v>
      </c>
      <c r="U1294">
        <v>100</v>
      </c>
      <c r="V1294">
        <f t="shared" si="364"/>
        <v>1</v>
      </c>
      <c r="W1294">
        <f t="shared" si="365"/>
        <v>0</v>
      </c>
      <c r="X1294">
        <f t="shared" si="366"/>
        <v>0</v>
      </c>
      <c r="Y1294">
        <f t="shared" si="367"/>
        <v>0</v>
      </c>
      <c r="Z1294">
        <f t="shared" si="368"/>
        <v>0</v>
      </c>
      <c r="AA1294">
        <f t="shared" si="369"/>
        <v>1</v>
      </c>
      <c r="AB1294">
        <f t="shared" si="370"/>
        <v>1</v>
      </c>
      <c r="AC1294">
        <f t="shared" si="371"/>
        <v>1</v>
      </c>
      <c r="AD1294">
        <f t="shared" si="372"/>
        <v>0</v>
      </c>
      <c r="AE1294">
        <f t="shared" si="373"/>
        <v>0</v>
      </c>
      <c r="AF1294">
        <f t="shared" si="374"/>
        <v>0</v>
      </c>
      <c r="AG1294">
        <f t="shared" si="375"/>
        <v>0</v>
      </c>
      <c r="AH1294">
        <f t="shared" si="376"/>
        <v>0</v>
      </c>
      <c r="AI1294">
        <f t="shared" si="377"/>
        <v>1</v>
      </c>
    </row>
    <row r="1295" spans="1:35" x14ac:dyDescent="0.2">
      <c r="A1295">
        <v>511</v>
      </c>
      <c r="B1295" t="s">
        <v>749</v>
      </c>
      <c r="C1295">
        <v>8</v>
      </c>
      <c r="D1295" t="s">
        <v>3592</v>
      </c>
      <c r="E1295" t="s">
        <v>18</v>
      </c>
      <c r="F1295" t="s">
        <v>20</v>
      </c>
      <c r="G1295" t="s">
        <v>20</v>
      </c>
      <c r="H1295" t="s">
        <v>18</v>
      </c>
      <c r="I1295">
        <v>4</v>
      </c>
      <c r="J1295">
        <v>3</v>
      </c>
      <c r="K1295" t="s">
        <v>3593</v>
      </c>
      <c r="L1295" t="s">
        <v>70</v>
      </c>
      <c r="M1295" t="s">
        <v>23</v>
      </c>
      <c r="N1295" t="s">
        <v>36</v>
      </c>
      <c r="O1295" t="s">
        <v>3594</v>
      </c>
      <c r="P1295" t="s">
        <v>3595</v>
      </c>
      <c r="Q1295">
        <f t="shared" si="360"/>
        <v>4</v>
      </c>
      <c r="R1295">
        <f t="shared" si="361"/>
        <v>2</v>
      </c>
      <c r="S1295">
        <f t="shared" si="362"/>
        <v>2</v>
      </c>
      <c r="T1295">
        <f t="shared" si="363"/>
        <v>4</v>
      </c>
      <c r="U1295">
        <v>450000000</v>
      </c>
      <c r="V1295">
        <f t="shared" si="364"/>
        <v>0</v>
      </c>
      <c r="W1295">
        <f t="shared" si="365"/>
        <v>0</v>
      </c>
      <c r="X1295">
        <f t="shared" si="366"/>
        <v>0</v>
      </c>
      <c r="Y1295">
        <f t="shared" si="367"/>
        <v>1</v>
      </c>
      <c r="Z1295">
        <f t="shared" si="368"/>
        <v>0</v>
      </c>
      <c r="AA1295">
        <f t="shared" si="369"/>
        <v>1</v>
      </c>
      <c r="AB1295">
        <f t="shared" si="370"/>
        <v>0</v>
      </c>
      <c r="AC1295">
        <f t="shared" si="371"/>
        <v>0</v>
      </c>
      <c r="AD1295">
        <f t="shared" si="372"/>
        <v>0</v>
      </c>
      <c r="AE1295">
        <f t="shared" si="373"/>
        <v>0</v>
      </c>
      <c r="AF1295">
        <f t="shared" si="374"/>
        <v>0</v>
      </c>
      <c r="AG1295">
        <f t="shared" si="375"/>
        <v>0</v>
      </c>
      <c r="AH1295">
        <f t="shared" si="376"/>
        <v>0</v>
      </c>
      <c r="AI1295">
        <f t="shared" si="377"/>
        <v>1</v>
      </c>
    </row>
    <row r="1296" spans="1:35" x14ac:dyDescent="0.2">
      <c r="A1296">
        <v>512</v>
      </c>
      <c r="B1296" t="s">
        <v>749</v>
      </c>
      <c r="C1296">
        <v>6</v>
      </c>
      <c r="D1296" t="s">
        <v>3596</v>
      </c>
      <c r="E1296" t="s">
        <v>18</v>
      </c>
      <c r="F1296" t="s">
        <v>20</v>
      </c>
      <c r="G1296" t="s">
        <v>18</v>
      </c>
      <c r="H1296" t="s">
        <v>19</v>
      </c>
      <c r="I1296">
        <v>3</v>
      </c>
      <c r="J1296">
        <v>3</v>
      </c>
      <c r="K1296">
        <v>100</v>
      </c>
      <c r="L1296" t="s">
        <v>41</v>
      </c>
      <c r="M1296" t="s">
        <v>115</v>
      </c>
      <c r="N1296" t="s">
        <v>36</v>
      </c>
      <c r="O1296" t="s">
        <v>3597</v>
      </c>
      <c r="P1296" t="s">
        <v>3598</v>
      </c>
      <c r="Q1296">
        <f t="shared" si="360"/>
        <v>4</v>
      </c>
      <c r="R1296">
        <f t="shared" si="361"/>
        <v>2</v>
      </c>
      <c r="S1296">
        <f t="shared" si="362"/>
        <v>4</v>
      </c>
      <c r="T1296">
        <f t="shared" si="363"/>
        <v>3</v>
      </c>
      <c r="U1296">
        <v>100</v>
      </c>
      <c r="V1296">
        <f t="shared" si="364"/>
        <v>0</v>
      </c>
      <c r="W1296">
        <f t="shared" si="365"/>
        <v>0</v>
      </c>
      <c r="X1296">
        <f t="shared" si="366"/>
        <v>0</v>
      </c>
      <c r="Y1296">
        <f t="shared" si="367"/>
        <v>0</v>
      </c>
      <c r="Z1296">
        <f t="shared" si="368"/>
        <v>1</v>
      </c>
      <c r="AA1296">
        <f t="shared" si="369"/>
        <v>0</v>
      </c>
      <c r="AB1296">
        <f t="shared" si="370"/>
        <v>0</v>
      </c>
      <c r="AC1296">
        <f t="shared" si="371"/>
        <v>1</v>
      </c>
      <c r="AD1296">
        <f t="shared" si="372"/>
        <v>0</v>
      </c>
      <c r="AE1296">
        <f t="shared" si="373"/>
        <v>0</v>
      </c>
      <c r="AF1296">
        <f t="shared" si="374"/>
        <v>0</v>
      </c>
      <c r="AG1296">
        <f t="shared" si="375"/>
        <v>0</v>
      </c>
      <c r="AH1296">
        <f t="shared" si="376"/>
        <v>0</v>
      </c>
      <c r="AI1296">
        <f t="shared" si="377"/>
        <v>1</v>
      </c>
    </row>
    <row r="1297" spans="1:35" x14ac:dyDescent="0.2">
      <c r="A1297">
        <v>513</v>
      </c>
      <c r="B1297" t="s">
        <v>749</v>
      </c>
      <c r="C1297">
        <v>9</v>
      </c>
      <c r="D1297" t="s">
        <v>3599</v>
      </c>
      <c r="E1297" t="s">
        <v>18</v>
      </c>
      <c r="F1297" t="s">
        <v>39</v>
      </c>
      <c r="G1297" t="s">
        <v>39</v>
      </c>
      <c r="H1297" t="s">
        <v>19</v>
      </c>
      <c r="I1297">
        <v>3</v>
      </c>
      <c r="J1297">
        <v>2</v>
      </c>
      <c r="K1297" t="s">
        <v>3600</v>
      </c>
      <c r="L1297" t="s">
        <v>562</v>
      </c>
      <c r="M1297" t="s">
        <v>468</v>
      </c>
      <c r="N1297" t="s">
        <v>36</v>
      </c>
      <c r="O1297" t="s">
        <v>3601</v>
      </c>
      <c r="P1297" t="s">
        <v>3602</v>
      </c>
      <c r="Q1297">
        <f t="shared" si="360"/>
        <v>4</v>
      </c>
      <c r="R1297">
        <f t="shared" si="361"/>
        <v>5</v>
      </c>
      <c r="S1297">
        <f t="shared" si="362"/>
        <v>5</v>
      </c>
      <c r="T1297">
        <f t="shared" si="363"/>
        <v>3</v>
      </c>
      <c r="U1297">
        <v>500</v>
      </c>
      <c r="V1297">
        <f t="shared" si="364"/>
        <v>0</v>
      </c>
      <c r="W1297">
        <f t="shared" si="365"/>
        <v>1</v>
      </c>
      <c r="X1297">
        <f t="shared" si="366"/>
        <v>1</v>
      </c>
      <c r="Y1297">
        <f t="shared" si="367"/>
        <v>0</v>
      </c>
      <c r="Z1297">
        <f t="shared" si="368"/>
        <v>1</v>
      </c>
      <c r="AA1297">
        <f t="shared" si="369"/>
        <v>1</v>
      </c>
      <c r="AB1297">
        <f t="shared" si="370"/>
        <v>1</v>
      </c>
      <c r="AC1297">
        <f t="shared" si="371"/>
        <v>1</v>
      </c>
      <c r="AD1297">
        <f t="shared" si="372"/>
        <v>1</v>
      </c>
      <c r="AE1297">
        <f t="shared" si="373"/>
        <v>1</v>
      </c>
      <c r="AF1297">
        <f t="shared" si="374"/>
        <v>0</v>
      </c>
      <c r="AG1297">
        <f t="shared" si="375"/>
        <v>0</v>
      </c>
      <c r="AH1297">
        <f t="shared" si="376"/>
        <v>0</v>
      </c>
      <c r="AI1297">
        <f t="shared" si="377"/>
        <v>1</v>
      </c>
    </row>
    <row r="1298" spans="1:35" x14ac:dyDescent="0.2">
      <c r="A1298">
        <v>514</v>
      </c>
      <c r="B1298" t="s">
        <v>749</v>
      </c>
      <c r="C1298">
        <v>8</v>
      </c>
      <c r="D1298" t="s">
        <v>3603</v>
      </c>
      <c r="E1298" t="s">
        <v>21</v>
      </c>
      <c r="F1298" t="s">
        <v>18</v>
      </c>
      <c r="G1298" t="s">
        <v>20</v>
      </c>
      <c r="H1298" t="s">
        <v>20</v>
      </c>
      <c r="I1298">
        <v>2</v>
      </c>
      <c r="J1298">
        <v>3</v>
      </c>
      <c r="K1298">
        <v>150</v>
      </c>
      <c r="L1298" t="s">
        <v>41</v>
      </c>
      <c r="M1298" t="s">
        <v>35</v>
      </c>
      <c r="N1298" t="s">
        <v>24</v>
      </c>
      <c r="O1298" t="s">
        <v>3604</v>
      </c>
      <c r="P1298" t="s">
        <v>3605</v>
      </c>
      <c r="Q1298">
        <f t="shared" si="360"/>
        <v>1</v>
      </c>
      <c r="R1298">
        <f t="shared" si="361"/>
        <v>4</v>
      </c>
      <c r="S1298">
        <f t="shared" si="362"/>
        <v>2</v>
      </c>
      <c r="T1298">
        <f t="shared" si="363"/>
        <v>2</v>
      </c>
      <c r="U1298">
        <v>150</v>
      </c>
      <c r="V1298">
        <f t="shared" si="364"/>
        <v>0</v>
      </c>
      <c r="W1298">
        <f t="shared" si="365"/>
        <v>0</v>
      </c>
      <c r="X1298">
        <f t="shared" si="366"/>
        <v>0</v>
      </c>
      <c r="Y1298">
        <f t="shared" si="367"/>
        <v>0</v>
      </c>
      <c r="Z1298">
        <f t="shared" si="368"/>
        <v>1</v>
      </c>
      <c r="AA1298">
        <f t="shared" si="369"/>
        <v>0</v>
      </c>
      <c r="AB1298">
        <f t="shared" si="370"/>
        <v>0</v>
      </c>
      <c r="AC1298">
        <f t="shared" si="371"/>
        <v>0</v>
      </c>
      <c r="AD1298">
        <f t="shared" si="372"/>
        <v>1</v>
      </c>
      <c r="AE1298">
        <f t="shared" si="373"/>
        <v>0</v>
      </c>
      <c r="AF1298">
        <f t="shared" si="374"/>
        <v>0</v>
      </c>
      <c r="AG1298">
        <f t="shared" si="375"/>
        <v>0</v>
      </c>
      <c r="AH1298">
        <f t="shared" si="376"/>
        <v>1</v>
      </c>
      <c r="AI1298">
        <f t="shared" si="377"/>
        <v>0</v>
      </c>
    </row>
    <row r="1299" spans="1:35" x14ac:dyDescent="0.2">
      <c r="A1299">
        <v>515</v>
      </c>
      <c r="B1299" t="s">
        <v>749</v>
      </c>
      <c r="C1299">
        <v>10</v>
      </c>
      <c r="D1299" t="s">
        <v>3606</v>
      </c>
      <c r="E1299" t="s">
        <v>21</v>
      </c>
      <c r="F1299" t="s">
        <v>18</v>
      </c>
      <c r="G1299" t="s">
        <v>39</v>
      </c>
      <c r="H1299" t="s">
        <v>21</v>
      </c>
      <c r="I1299">
        <v>15</v>
      </c>
      <c r="J1299">
        <v>4</v>
      </c>
      <c r="K1299" s="1">
        <v>100</v>
      </c>
      <c r="L1299" t="s">
        <v>53</v>
      </c>
      <c r="M1299" t="s">
        <v>23</v>
      </c>
      <c r="N1299" t="s">
        <v>215</v>
      </c>
      <c r="O1299" t="s">
        <v>3607</v>
      </c>
      <c r="P1299" t="s">
        <v>3608</v>
      </c>
      <c r="Q1299">
        <f t="shared" si="360"/>
        <v>1</v>
      </c>
      <c r="R1299">
        <f t="shared" si="361"/>
        <v>4</v>
      </c>
      <c r="S1299">
        <f t="shared" si="362"/>
        <v>5</v>
      </c>
      <c r="T1299">
        <f t="shared" si="363"/>
        <v>1</v>
      </c>
      <c r="U1299">
        <v>100</v>
      </c>
      <c r="V1299">
        <f t="shared" si="364"/>
        <v>0</v>
      </c>
      <c r="W1299">
        <f t="shared" si="365"/>
        <v>0</v>
      </c>
      <c r="X1299">
        <f t="shared" si="366"/>
        <v>1</v>
      </c>
      <c r="Y1299">
        <f t="shared" si="367"/>
        <v>0</v>
      </c>
      <c r="Z1299">
        <f t="shared" si="368"/>
        <v>0</v>
      </c>
      <c r="AA1299">
        <f t="shared" si="369"/>
        <v>1</v>
      </c>
      <c r="AB1299">
        <f t="shared" si="370"/>
        <v>0</v>
      </c>
      <c r="AC1299">
        <f t="shared" si="371"/>
        <v>0</v>
      </c>
      <c r="AD1299">
        <f t="shared" si="372"/>
        <v>0</v>
      </c>
      <c r="AE1299">
        <f t="shared" si="373"/>
        <v>0</v>
      </c>
      <c r="AF1299">
        <f t="shared" si="374"/>
        <v>1</v>
      </c>
      <c r="AG1299">
        <f t="shared" si="375"/>
        <v>0</v>
      </c>
      <c r="AH1299">
        <f t="shared" si="376"/>
        <v>0</v>
      </c>
      <c r="AI1299">
        <f t="shared" si="377"/>
        <v>0</v>
      </c>
    </row>
    <row r="1300" spans="1:35" ht="51" x14ac:dyDescent="0.2">
      <c r="A1300">
        <v>516</v>
      </c>
      <c r="B1300" t="s">
        <v>749</v>
      </c>
      <c r="C1300">
        <v>6</v>
      </c>
      <c r="D1300" t="s">
        <v>3609</v>
      </c>
      <c r="E1300" t="s">
        <v>20</v>
      </c>
      <c r="F1300" t="s">
        <v>18</v>
      </c>
      <c r="G1300" t="s">
        <v>18</v>
      </c>
      <c r="H1300" t="s">
        <v>20</v>
      </c>
      <c r="I1300">
        <v>6</v>
      </c>
      <c r="J1300">
        <v>5</v>
      </c>
      <c r="K1300" s="1">
        <v>50</v>
      </c>
      <c r="L1300" t="s">
        <v>41</v>
      </c>
      <c r="M1300" t="s">
        <v>1354</v>
      </c>
      <c r="N1300" t="s">
        <v>84</v>
      </c>
      <c r="O1300" s="3" t="s">
        <v>3610</v>
      </c>
      <c r="P1300" t="s">
        <v>3611</v>
      </c>
      <c r="Q1300">
        <f t="shared" si="360"/>
        <v>2</v>
      </c>
      <c r="R1300">
        <f t="shared" si="361"/>
        <v>4</v>
      </c>
      <c r="S1300">
        <f t="shared" si="362"/>
        <v>4</v>
      </c>
      <c r="T1300">
        <f t="shared" si="363"/>
        <v>2</v>
      </c>
      <c r="U1300">
        <v>50</v>
      </c>
      <c r="V1300">
        <f t="shared" si="364"/>
        <v>0</v>
      </c>
      <c r="W1300">
        <f t="shared" si="365"/>
        <v>0</v>
      </c>
      <c r="X1300">
        <f t="shared" si="366"/>
        <v>0</v>
      </c>
      <c r="Y1300">
        <f t="shared" si="367"/>
        <v>0</v>
      </c>
      <c r="Z1300">
        <f t="shared" si="368"/>
        <v>1</v>
      </c>
      <c r="AA1300">
        <f t="shared" si="369"/>
        <v>0</v>
      </c>
      <c r="AB1300">
        <f t="shared" si="370"/>
        <v>1</v>
      </c>
      <c r="AC1300">
        <f t="shared" si="371"/>
        <v>1</v>
      </c>
      <c r="AD1300">
        <f t="shared" si="372"/>
        <v>0</v>
      </c>
      <c r="AE1300">
        <f t="shared" si="373"/>
        <v>1</v>
      </c>
      <c r="AF1300">
        <f t="shared" si="374"/>
        <v>0</v>
      </c>
      <c r="AG1300">
        <f t="shared" si="375"/>
        <v>1</v>
      </c>
      <c r="AH1300">
        <f t="shared" si="376"/>
        <v>0</v>
      </c>
      <c r="AI1300">
        <f t="shared" si="377"/>
        <v>0</v>
      </c>
    </row>
    <row r="1301" spans="1:35" x14ac:dyDescent="0.2">
      <c r="A1301">
        <v>517</v>
      </c>
      <c r="B1301" t="s">
        <v>749</v>
      </c>
      <c r="C1301">
        <v>6</v>
      </c>
      <c r="D1301" t="s">
        <v>3612</v>
      </c>
      <c r="E1301" t="s">
        <v>18</v>
      </c>
      <c r="F1301" t="s">
        <v>20</v>
      </c>
      <c r="G1301" t="s">
        <v>18</v>
      </c>
      <c r="H1301" t="s">
        <v>21</v>
      </c>
      <c r="I1301">
        <v>3</v>
      </c>
      <c r="J1301">
        <v>2</v>
      </c>
      <c r="K1301">
        <v>20</v>
      </c>
      <c r="L1301" t="s">
        <v>562</v>
      </c>
      <c r="M1301" t="s">
        <v>468</v>
      </c>
      <c r="N1301" t="s">
        <v>847</v>
      </c>
      <c r="O1301" t="s">
        <v>3613</v>
      </c>
      <c r="P1301" t="s">
        <v>3614</v>
      </c>
      <c r="Q1301">
        <f t="shared" si="360"/>
        <v>4</v>
      </c>
      <c r="R1301">
        <f t="shared" si="361"/>
        <v>2</v>
      </c>
      <c r="S1301">
        <f t="shared" si="362"/>
        <v>4</v>
      </c>
      <c r="T1301">
        <f t="shared" si="363"/>
        <v>1</v>
      </c>
      <c r="U1301">
        <v>20</v>
      </c>
      <c r="V1301">
        <f t="shared" si="364"/>
        <v>0</v>
      </c>
      <c r="W1301">
        <f t="shared" si="365"/>
        <v>1</v>
      </c>
      <c r="X1301">
        <f t="shared" si="366"/>
        <v>1</v>
      </c>
      <c r="Y1301">
        <f t="shared" si="367"/>
        <v>0</v>
      </c>
      <c r="Z1301">
        <f t="shared" si="368"/>
        <v>1</v>
      </c>
      <c r="AA1301">
        <f t="shared" si="369"/>
        <v>1</v>
      </c>
      <c r="AB1301">
        <f t="shared" si="370"/>
        <v>1</v>
      </c>
      <c r="AC1301">
        <f t="shared" si="371"/>
        <v>1</v>
      </c>
      <c r="AD1301">
        <f t="shared" si="372"/>
        <v>1</v>
      </c>
      <c r="AE1301">
        <f t="shared" si="373"/>
        <v>1</v>
      </c>
      <c r="AF1301">
        <f t="shared" si="374"/>
        <v>1</v>
      </c>
      <c r="AG1301">
        <f t="shared" si="375"/>
        <v>0</v>
      </c>
      <c r="AH1301">
        <f t="shared" si="376"/>
        <v>0</v>
      </c>
      <c r="AI1301">
        <f t="shared" si="377"/>
        <v>1</v>
      </c>
    </row>
    <row r="1302" spans="1:35" x14ac:dyDescent="0.2">
      <c r="A1302">
        <v>518</v>
      </c>
      <c r="B1302" t="s">
        <v>749</v>
      </c>
      <c r="C1302">
        <v>6</v>
      </c>
      <c r="D1302" t="s">
        <v>3615</v>
      </c>
      <c r="E1302" t="s">
        <v>21</v>
      </c>
      <c r="F1302" t="s">
        <v>19</v>
      </c>
      <c r="G1302" t="s">
        <v>18</v>
      </c>
      <c r="H1302" t="s">
        <v>20</v>
      </c>
      <c r="I1302">
        <v>6</v>
      </c>
      <c r="J1302">
        <v>3</v>
      </c>
      <c r="K1302" s="5">
        <v>280</v>
      </c>
      <c r="L1302" t="s">
        <v>194</v>
      </c>
      <c r="M1302" t="s">
        <v>115</v>
      </c>
      <c r="N1302" t="s">
        <v>215</v>
      </c>
      <c r="O1302" t="s">
        <v>2625</v>
      </c>
      <c r="P1302" t="s">
        <v>3616</v>
      </c>
      <c r="Q1302">
        <f t="shared" si="360"/>
        <v>1</v>
      </c>
      <c r="R1302">
        <f t="shared" si="361"/>
        <v>3</v>
      </c>
      <c r="S1302">
        <f t="shared" si="362"/>
        <v>4</v>
      </c>
      <c r="T1302">
        <f t="shared" si="363"/>
        <v>2</v>
      </c>
      <c r="U1302">
        <v>280</v>
      </c>
      <c r="V1302">
        <f t="shared" si="364"/>
        <v>0</v>
      </c>
      <c r="W1302">
        <f t="shared" si="365"/>
        <v>0</v>
      </c>
      <c r="X1302">
        <f t="shared" si="366"/>
        <v>0</v>
      </c>
      <c r="Y1302">
        <f t="shared" si="367"/>
        <v>1</v>
      </c>
      <c r="Z1302">
        <f t="shared" si="368"/>
        <v>1</v>
      </c>
      <c r="AA1302">
        <f t="shared" si="369"/>
        <v>0</v>
      </c>
      <c r="AB1302">
        <f t="shared" si="370"/>
        <v>0</v>
      </c>
      <c r="AC1302">
        <f t="shared" si="371"/>
        <v>1</v>
      </c>
      <c r="AD1302">
        <f t="shared" si="372"/>
        <v>0</v>
      </c>
      <c r="AE1302">
        <f t="shared" si="373"/>
        <v>0</v>
      </c>
      <c r="AF1302">
        <f t="shared" si="374"/>
        <v>1</v>
      </c>
      <c r="AG1302">
        <f t="shared" si="375"/>
        <v>0</v>
      </c>
      <c r="AH1302">
        <f t="shared" si="376"/>
        <v>0</v>
      </c>
      <c r="AI1302">
        <f t="shared" si="377"/>
        <v>0</v>
      </c>
    </row>
    <row r="1303" spans="1:35" ht="68" x14ac:dyDescent="0.2">
      <c r="A1303">
        <v>519</v>
      </c>
      <c r="B1303" t="s">
        <v>749</v>
      </c>
      <c r="C1303">
        <v>8</v>
      </c>
      <c r="D1303" t="s">
        <v>3617</v>
      </c>
      <c r="E1303" t="s">
        <v>20</v>
      </c>
      <c r="F1303" t="s">
        <v>18</v>
      </c>
      <c r="G1303" t="s">
        <v>18</v>
      </c>
      <c r="H1303" t="s">
        <v>21</v>
      </c>
      <c r="I1303">
        <v>5</v>
      </c>
      <c r="J1303">
        <v>3</v>
      </c>
      <c r="K1303" s="3" t="s">
        <v>3618</v>
      </c>
      <c r="L1303" t="s">
        <v>41</v>
      </c>
      <c r="M1303" t="s">
        <v>48</v>
      </c>
      <c r="N1303" t="s">
        <v>36</v>
      </c>
      <c r="O1303" t="s">
        <v>3619</v>
      </c>
      <c r="P1303" t="s">
        <v>3620</v>
      </c>
      <c r="Q1303">
        <f t="shared" si="360"/>
        <v>2</v>
      </c>
      <c r="R1303">
        <f t="shared" si="361"/>
        <v>4</v>
      </c>
      <c r="S1303">
        <f t="shared" si="362"/>
        <v>4</v>
      </c>
      <c r="T1303">
        <f t="shared" si="363"/>
        <v>1</v>
      </c>
      <c r="U1303">
        <v>1000</v>
      </c>
      <c r="V1303">
        <f t="shared" si="364"/>
        <v>0</v>
      </c>
      <c r="W1303">
        <f t="shared" si="365"/>
        <v>0</v>
      </c>
      <c r="X1303">
        <f t="shared" si="366"/>
        <v>0</v>
      </c>
      <c r="Y1303">
        <f t="shared" si="367"/>
        <v>0</v>
      </c>
      <c r="Z1303">
        <f t="shared" si="368"/>
        <v>1</v>
      </c>
      <c r="AA1303">
        <f t="shared" si="369"/>
        <v>1</v>
      </c>
      <c r="AB1303">
        <f t="shared" si="370"/>
        <v>1</v>
      </c>
      <c r="AC1303">
        <f t="shared" si="371"/>
        <v>1</v>
      </c>
      <c r="AD1303">
        <f t="shared" si="372"/>
        <v>0</v>
      </c>
      <c r="AE1303">
        <f t="shared" si="373"/>
        <v>0</v>
      </c>
      <c r="AF1303">
        <f t="shared" si="374"/>
        <v>0</v>
      </c>
      <c r="AG1303">
        <f t="shared" si="375"/>
        <v>0</v>
      </c>
      <c r="AH1303">
        <f t="shared" si="376"/>
        <v>0</v>
      </c>
      <c r="AI1303">
        <f t="shared" si="377"/>
        <v>1</v>
      </c>
    </row>
    <row r="1304" spans="1:35" x14ac:dyDescent="0.2">
      <c r="A1304">
        <v>520</v>
      </c>
      <c r="B1304" t="s">
        <v>749</v>
      </c>
      <c r="C1304">
        <v>6</v>
      </c>
      <c r="D1304" t="s">
        <v>3621</v>
      </c>
      <c r="E1304" t="s">
        <v>21</v>
      </c>
      <c r="F1304" t="s">
        <v>18</v>
      </c>
      <c r="G1304" t="s">
        <v>39</v>
      </c>
      <c r="H1304" t="s">
        <v>20</v>
      </c>
      <c r="I1304">
        <v>4</v>
      </c>
      <c r="J1304">
        <v>3</v>
      </c>
      <c r="K1304" s="2">
        <v>1000</v>
      </c>
      <c r="L1304" t="s">
        <v>53</v>
      </c>
      <c r="M1304" t="s">
        <v>115</v>
      </c>
      <c r="N1304" t="s">
        <v>622</v>
      </c>
      <c r="O1304" t="s">
        <v>3622</v>
      </c>
      <c r="P1304" t="s">
        <v>3623</v>
      </c>
      <c r="Q1304">
        <f t="shared" si="360"/>
        <v>1</v>
      </c>
      <c r="R1304">
        <f t="shared" si="361"/>
        <v>4</v>
      </c>
      <c r="S1304">
        <f t="shared" si="362"/>
        <v>5</v>
      </c>
      <c r="T1304">
        <f t="shared" si="363"/>
        <v>2</v>
      </c>
      <c r="U1304">
        <v>1000</v>
      </c>
      <c r="V1304">
        <f t="shared" si="364"/>
        <v>0</v>
      </c>
      <c r="W1304">
        <f t="shared" si="365"/>
        <v>0</v>
      </c>
      <c r="X1304">
        <f t="shared" si="366"/>
        <v>1</v>
      </c>
      <c r="Y1304">
        <f t="shared" si="367"/>
        <v>0</v>
      </c>
      <c r="Z1304">
        <f t="shared" si="368"/>
        <v>0</v>
      </c>
      <c r="AA1304">
        <f t="shared" si="369"/>
        <v>0</v>
      </c>
      <c r="AB1304">
        <f t="shared" si="370"/>
        <v>0</v>
      </c>
      <c r="AC1304">
        <f t="shared" si="371"/>
        <v>1</v>
      </c>
      <c r="AD1304">
        <f t="shared" si="372"/>
        <v>0</v>
      </c>
      <c r="AE1304">
        <f t="shared" si="373"/>
        <v>0</v>
      </c>
      <c r="AF1304">
        <f t="shared" si="374"/>
        <v>0</v>
      </c>
      <c r="AG1304">
        <f t="shared" si="375"/>
        <v>1</v>
      </c>
      <c r="AH1304">
        <f t="shared" si="376"/>
        <v>0</v>
      </c>
      <c r="AI1304">
        <f t="shared" si="377"/>
        <v>1</v>
      </c>
    </row>
    <row r="1305" spans="1:35" x14ac:dyDescent="0.2">
      <c r="A1305">
        <v>521</v>
      </c>
      <c r="B1305" t="s">
        <v>749</v>
      </c>
      <c r="C1305">
        <v>6</v>
      </c>
      <c r="D1305" t="s">
        <v>3624</v>
      </c>
      <c r="E1305" t="s">
        <v>18</v>
      </c>
      <c r="F1305" t="s">
        <v>21</v>
      </c>
      <c r="G1305" t="s">
        <v>18</v>
      </c>
      <c r="H1305" t="s">
        <v>18</v>
      </c>
      <c r="I1305">
        <v>3</v>
      </c>
      <c r="J1305">
        <v>2</v>
      </c>
      <c r="K1305" t="s">
        <v>3625</v>
      </c>
      <c r="L1305" t="s">
        <v>70</v>
      </c>
      <c r="M1305" t="s">
        <v>23</v>
      </c>
      <c r="N1305" t="s">
        <v>36</v>
      </c>
      <c r="O1305" t="s">
        <v>3626</v>
      </c>
      <c r="P1305" t="s">
        <v>3627</v>
      </c>
      <c r="Q1305">
        <f t="shared" si="360"/>
        <v>4</v>
      </c>
      <c r="R1305">
        <f t="shared" si="361"/>
        <v>1</v>
      </c>
      <c r="S1305">
        <f t="shared" si="362"/>
        <v>4</v>
      </c>
      <c r="T1305">
        <f t="shared" si="363"/>
        <v>4</v>
      </c>
      <c r="U1305">
        <v>0</v>
      </c>
      <c r="V1305">
        <f t="shared" si="364"/>
        <v>0</v>
      </c>
      <c r="W1305">
        <f t="shared" si="365"/>
        <v>0</v>
      </c>
      <c r="X1305">
        <f t="shared" si="366"/>
        <v>0</v>
      </c>
      <c r="Y1305">
        <f t="shared" si="367"/>
        <v>1</v>
      </c>
      <c r="Z1305">
        <f t="shared" si="368"/>
        <v>0</v>
      </c>
      <c r="AA1305">
        <f t="shared" si="369"/>
        <v>1</v>
      </c>
      <c r="AB1305">
        <f t="shared" si="370"/>
        <v>0</v>
      </c>
      <c r="AC1305">
        <f t="shared" si="371"/>
        <v>0</v>
      </c>
      <c r="AD1305">
        <f t="shared" si="372"/>
        <v>0</v>
      </c>
      <c r="AE1305">
        <f t="shared" si="373"/>
        <v>0</v>
      </c>
      <c r="AF1305">
        <f t="shared" si="374"/>
        <v>0</v>
      </c>
      <c r="AG1305">
        <f t="shared" si="375"/>
        <v>0</v>
      </c>
      <c r="AH1305">
        <f t="shared" si="376"/>
        <v>0</v>
      </c>
      <c r="AI1305">
        <f t="shared" si="377"/>
        <v>1</v>
      </c>
    </row>
    <row r="1306" spans="1:35" ht="409.6" x14ac:dyDescent="0.2">
      <c r="A1306">
        <v>522</v>
      </c>
      <c r="B1306" t="s">
        <v>749</v>
      </c>
      <c r="C1306">
        <v>7</v>
      </c>
      <c r="D1306" t="s">
        <v>3628</v>
      </c>
      <c r="E1306" t="s">
        <v>20</v>
      </c>
      <c r="F1306" t="s">
        <v>18</v>
      </c>
      <c r="G1306" t="s">
        <v>18</v>
      </c>
      <c r="H1306" t="s">
        <v>20</v>
      </c>
      <c r="I1306">
        <v>5</v>
      </c>
      <c r="J1306">
        <v>5</v>
      </c>
      <c r="K1306" s="1">
        <v>750</v>
      </c>
      <c r="L1306" t="s">
        <v>230</v>
      </c>
      <c r="M1306" t="s">
        <v>468</v>
      </c>
      <c r="N1306" t="s">
        <v>36</v>
      </c>
      <c r="O1306" t="s">
        <v>1077</v>
      </c>
      <c r="P1306" s="3" t="s">
        <v>3629</v>
      </c>
      <c r="Q1306">
        <f t="shared" si="360"/>
        <v>2</v>
      </c>
      <c r="R1306">
        <f t="shared" si="361"/>
        <v>4</v>
      </c>
      <c r="S1306">
        <f t="shared" si="362"/>
        <v>4</v>
      </c>
      <c r="T1306">
        <f t="shared" si="363"/>
        <v>2</v>
      </c>
      <c r="U1306">
        <v>750</v>
      </c>
      <c r="V1306">
        <f t="shared" si="364"/>
        <v>1</v>
      </c>
      <c r="W1306">
        <f t="shared" si="365"/>
        <v>1</v>
      </c>
      <c r="X1306">
        <f t="shared" si="366"/>
        <v>1</v>
      </c>
      <c r="Y1306">
        <f t="shared" si="367"/>
        <v>1</v>
      </c>
      <c r="Z1306">
        <f t="shared" si="368"/>
        <v>1</v>
      </c>
      <c r="AA1306">
        <f t="shared" si="369"/>
        <v>1</v>
      </c>
      <c r="AB1306">
        <f t="shared" si="370"/>
        <v>1</v>
      </c>
      <c r="AC1306">
        <f t="shared" si="371"/>
        <v>1</v>
      </c>
      <c r="AD1306">
        <f t="shared" si="372"/>
        <v>1</v>
      </c>
      <c r="AE1306">
        <f t="shared" si="373"/>
        <v>1</v>
      </c>
      <c r="AF1306">
        <f t="shared" si="374"/>
        <v>0</v>
      </c>
      <c r="AG1306">
        <f t="shared" si="375"/>
        <v>0</v>
      </c>
      <c r="AH1306">
        <f t="shared" si="376"/>
        <v>0</v>
      </c>
      <c r="AI1306">
        <f t="shared" si="377"/>
        <v>1</v>
      </c>
    </row>
    <row r="1307" spans="1:35" x14ac:dyDescent="0.2">
      <c r="A1307">
        <v>523</v>
      </c>
      <c r="B1307" t="s">
        <v>749</v>
      </c>
      <c r="C1307">
        <v>4</v>
      </c>
      <c r="D1307" t="s">
        <v>3630</v>
      </c>
      <c r="E1307" t="s">
        <v>18</v>
      </c>
      <c r="F1307" t="s">
        <v>19</v>
      </c>
      <c r="G1307" t="s">
        <v>18</v>
      </c>
      <c r="H1307" t="s">
        <v>20</v>
      </c>
      <c r="I1307">
        <v>3</v>
      </c>
      <c r="J1307">
        <v>3</v>
      </c>
      <c r="K1307" s="1">
        <v>20</v>
      </c>
      <c r="L1307" t="s">
        <v>47</v>
      </c>
      <c r="M1307" t="s">
        <v>1098</v>
      </c>
      <c r="N1307" t="s">
        <v>147</v>
      </c>
      <c r="O1307" t="s">
        <v>3631</v>
      </c>
      <c r="P1307" t="s">
        <v>3632</v>
      </c>
      <c r="Q1307">
        <f t="shared" si="360"/>
        <v>4</v>
      </c>
      <c r="R1307">
        <f t="shared" si="361"/>
        <v>3</v>
      </c>
      <c r="S1307">
        <f t="shared" si="362"/>
        <v>4</v>
      </c>
      <c r="T1307">
        <f t="shared" si="363"/>
        <v>2</v>
      </c>
      <c r="U1307">
        <v>20</v>
      </c>
      <c r="V1307">
        <f t="shared" si="364"/>
        <v>0</v>
      </c>
      <c r="W1307">
        <f t="shared" si="365"/>
        <v>0</v>
      </c>
      <c r="X1307">
        <f t="shared" si="366"/>
        <v>1</v>
      </c>
      <c r="Y1307">
        <f t="shared" si="367"/>
        <v>0</v>
      </c>
      <c r="Z1307">
        <f t="shared" si="368"/>
        <v>1</v>
      </c>
      <c r="AA1307">
        <f t="shared" si="369"/>
        <v>1</v>
      </c>
      <c r="AB1307">
        <f t="shared" si="370"/>
        <v>1</v>
      </c>
      <c r="AC1307">
        <f t="shared" si="371"/>
        <v>1</v>
      </c>
      <c r="AD1307">
        <f t="shared" si="372"/>
        <v>0</v>
      </c>
      <c r="AE1307">
        <f t="shared" si="373"/>
        <v>1</v>
      </c>
      <c r="AF1307">
        <f t="shared" si="374"/>
        <v>0</v>
      </c>
      <c r="AG1307">
        <f t="shared" si="375"/>
        <v>0</v>
      </c>
      <c r="AH1307">
        <f t="shared" si="376"/>
        <v>1</v>
      </c>
      <c r="AI1307">
        <f t="shared" si="377"/>
        <v>1</v>
      </c>
    </row>
    <row r="1308" spans="1:35" x14ac:dyDescent="0.2">
      <c r="A1308">
        <v>524</v>
      </c>
      <c r="B1308" t="s">
        <v>749</v>
      </c>
      <c r="C1308">
        <v>7</v>
      </c>
      <c r="D1308" t="s">
        <v>3633</v>
      </c>
      <c r="E1308" t="s">
        <v>18</v>
      </c>
      <c r="F1308" t="s">
        <v>18</v>
      </c>
      <c r="G1308" t="s">
        <v>39</v>
      </c>
      <c r="H1308" t="s">
        <v>21</v>
      </c>
      <c r="I1308">
        <v>3</v>
      </c>
      <c r="J1308">
        <v>3</v>
      </c>
      <c r="K1308">
        <v>5000</v>
      </c>
      <c r="L1308" t="s">
        <v>494</v>
      </c>
      <c r="M1308" t="s">
        <v>468</v>
      </c>
      <c r="N1308" t="s">
        <v>847</v>
      </c>
      <c r="O1308" t="s">
        <v>943</v>
      </c>
      <c r="P1308" t="s">
        <v>3634</v>
      </c>
      <c r="Q1308">
        <f t="shared" si="360"/>
        <v>4</v>
      </c>
      <c r="R1308">
        <f t="shared" si="361"/>
        <v>4</v>
      </c>
      <c r="S1308">
        <f t="shared" si="362"/>
        <v>5</v>
      </c>
      <c r="T1308">
        <f t="shared" si="363"/>
        <v>1</v>
      </c>
      <c r="U1308">
        <v>5000</v>
      </c>
      <c r="V1308">
        <f t="shared" si="364"/>
        <v>0</v>
      </c>
      <c r="W1308">
        <f t="shared" si="365"/>
        <v>1</v>
      </c>
      <c r="X1308">
        <f t="shared" si="366"/>
        <v>1</v>
      </c>
      <c r="Y1308">
        <f t="shared" si="367"/>
        <v>1</v>
      </c>
      <c r="Z1308">
        <f t="shared" si="368"/>
        <v>1</v>
      </c>
      <c r="AA1308">
        <f t="shared" si="369"/>
        <v>1</v>
      </c>
      <c r="AB1308">
        <f t="shared" si="370"/>
        <v>1</v>
      </c>
      <c r="AC1308">
        <f t="shared" si="371"/>
        <v>1</v>
      </c>
      <c r="AD1308">
        <f t="shared" si="372"/>
        <v>1</v>
      </c>
      <c r="AE1308">
        <f t="shared" si="373"/>
        <v>1</v>
      </c>
      <c r="AF1308">
        <f t="shared" si="374"/>
        <v>1</v>
      </c>
      <c r="AG1308">
        <f t="shared" si="375"/>
        <v>0</v>
      </c>
      <c r="AH1308">
        <f t="shared" si="376"/>
        <v>0</v>
      </c>
      <c r="AI1308">
        <f t="shared" si="377"/>
        <v>1</v>
      </c>
    </row>
    <row r="1309" spans="1:35" x14ac:dyDescent="0.2">
      <c r="A1309">
        <v>525</v>
      </c>
      <c r="B1309" t="s">
        <v>749</v>
      </c>
      <c r="C1309">
        <v>10</v>
      </c>
      <c r="D1309" t="s">
        <v>3635</v>
      </c>
      <c r="E1309" t="s">
        <v>39</v>
      </c>
      <c r="F1309" t="s">
        <v>39</v>
      </c>
      <c r="G1309" t="s">
        <v>39</v>
      </c>
      <c r="H1309" t="s">
        <v>21</v>
      </c>
      <c r="I1309">
        <v>4</v>
      </c>
      <c r="J1309">
        <v>10</v>
      </c>
      <c r="K1309">
        <v>500</v>
      </c>
      <c r="L1309" t="s">
        <v>70</v>
      </c>
      <c r="M1309" t="s">
        <v>1982</v>
      </c>
      <c r="N1309" t="s">
        <v>847</v>
      </c>
      <c r="O1309" t="s">
        <v>3636</v>
      </c>
      <c r="P1309" t="s">
        <v>3637</v>
      </c>
      <c r="Q1309">
        <f t="shared" si="360"/>
        <v>5</v>
      </c>
      <c r="R1309">
        <f t="shared" si="361"/>
        <v>5</v>
      </c>
      <c r="S1309">
        <f t="shared" si="362"/>
        <v>5</v>
      </c>
      <c r="T1309">
        <f t="shared" si="363"/>
        <v>1</v>
      </c>
      <c r="U1309">
        <v>500</v>
      </c>
      <c r="V1309">
        <f t="shared" si="364"/>
        <v>0</v>
      </c>
      <c r="W1309">
        <f t="shared" si="365"/>
        <v>0</v>
      </c>
      <c r="X1309">
        <f t="shared" si="366"/>
        <v>0</v>
      </c>
      <c r="Y1309">
        <f t="shared" si="367"/>
        <v>1</v>
      </c>
      <c r="Z1309">
        <f t="shared" si="368"/>
        <v>0</v>
      </c>
      <c r="AA1309">
        <f t="shared" si="369"/>
        <v>1</v>
      </c>
      <c r="AB1309">
        <f t="shared" si="370"/>
        <v>1</v>
      </c>
      <c r="AC1309">
        <f t="shared" si="371"/>
        <v>0</v>
      </c>
      <c r="AD1309">
        <f t="shared" si="372"/>
        <v>1</v>
      </c>
      <c r="AE1309">
        <f t="shared" si="373"/>
        <v>1</v>
      </c>
      <c r="AF1309">
        <f t="shared" si="374"/>
        <v>1</v>
      </c>
      <c r="AG1309">
        <f t="shared" si="375"/>
        <v>0</v>
      </c>
      <c r="AH1309">
        <f t="shared" si="376"/>
        <v>0</v>
      </c>
      <c r="AI1309">
        <f t="shared" si="377"/>
        <v>1</v>
      </c>
    </row>
    <row r="1310" spans="1:35" x14ac:dyDescent="0.2">
      <c r="A1310">
        <v>526</v>
      </c>
      <c r="B1310" t="s">
        <v>749</v>
      </c>
      <c r="C1310">
        <v>8</v>
      </c>
      <c r="D1310" t="s">
        <v>3638</v>
      </c>
      <c r="E1310" t="s">
        <v>39</v>
      </c>
      <c r="F1310" t="s">
        <v>20</v>
      </c>
      <c r="G1310" t="s">
        <v>20</v>
      </c>
      <c r="H1310" t="s">
        <v>18</v>
      </c>
      <c r="I1310">
        <v>2</v>
      </c>
      <c r="J1310">
        <v>3</v>
      </c>
      <c r="K1310">
        <v>100</v>
      </c>
      <c r="L1310" t="s">
        <v>194</v>
      </c>
      <c r="M1310" t="s">
        <v>777</v>
      </c>
      <c r="N1310" t="s">
        <v>84</v>
      </c>
      <c r="O1310" t="s">
        <v>2116</v>
      </c>
      <c r="P1310" t="s">
        <v>3639</v>
      </c>
      <c r="Q1310">
        <f t="shared" si="360"/>
        <v>5</v>
      </c>
      <c r="R1310">
        <f t="shared" si="361"/>
        <v>2</v>
      </c>
      <c r="S1310">
        <f t="shared" si="362"/>
        <v>2</v>
      </c>
      <c r="T1310">
        <f t="shared" si="363"/>
        <v>4</v>
      </c>
      <c r="U1310">
        <v>100</v>
      </c>
      <c r="V1310">
        <f t="shared" si="364"/>
        <v>0</v>
      </c>
      <c r="W1310">
        <f t="shared" si="365"/>
        <v>0</v>
      </c>
      <c r="X1310">
        <f t="shared" si="366"/>
        <v>0</v>
      </c>
      <c r="Y1310">
        <f t="shared" si="367"/>
        <v>1</v>
      </c>
      <c r="Z1310">
        <f t="shared" si="368"/>
        <v>1</v>
      </c>
      <c r="AA1310">
        <f t="shared" si="369"/>
        <v>0</v>
      </c>
      <c r="AB1310">
        <f t="shared" si="370"/>
        <v>1</v>
      </c>
      <c r="AC1310">
        <f t="shared" si="371"/>
        <v>0</v>
      </c>
      <c r="AD1310">
        <f t="shared" si="372"/>
        <v>0</v>
      </c>
      <c r="AE1310">
        <f t="shared" si="373"/>
        <v>1</v>
      </c>
      <c r="AF1310">
        <f t="shared" si="374"/>
        <v>0</v>
      </c>
      <c r="AG1310">
        <f t="shared" si="375"/>
        <v>1</v>
      </c>
      <c r="AH1310">
        <f t="shared" si="376"/>
        <v>0</v>
      </c>
      <c r="AI1310">
        <f t="shared" si="377"/>
        <v>0</v>
      </c>
    </row>
    <row r="1311" spans="1:35" x14ac:dyDescent="0.2">
      <c r="A1311">
        <v>527</v>
      </c>
      <c r="B1311" t="s">
        <v>749</v>
      </c>
      <c r="C1311">
        <v>7</v>
      </c>
      <c r="D1311" t="s">
        <v>3640</v>
      </c>
      <c r="E1311" t="s">
        <v>18</v>
      </c>
      <c r="F1311" t="s">
        <v>20</v>
      </c>
      <c r="G1311" t="s">
        <v>20</v>
      </c>
      <c r="H1311" t="s">
        <v>18</v>
      </c>
      <c r="I1311">
        <v>5</v>
      </c>
      <c r="J1311">
        <v>3</v>
      </c>
      <c r="K1311">
        <v>100</v>
      </c>
      <c r="L1311" t="s">
        <v>79</v>
      </c>
      <c r="M1311" t="s">
        <v>219</v>
      </c>
      <c r="N1311" t="s">
        <v>36</v>
      </c>
      <c r="O1311" t="s">
        <v>3641</v>
      </c>
      <c r="P1311" t="s">
        <v>3642</v>
      </c>
      <c r="Q1311">
        <f t="shared" si="360"/>
        <v>4</v>
      </c>
      <c r="R1311">
        <f t="shared" si="361"/>
        <v>2</v>
      </c>
      <c r="S1311">
        <f t="shared" si="362"/>
        <v>2</v>
      </c>
      <c r="T1311">
        <f t="shared" si="363"/>
        <v>4</v>
      </c>
      <c r="U1311">
        <v>100</v>
      </c>
      <c r="V1311">
        <f t="shared" si="364"/>
        <v>0</v>
      </c>
      <c r="W1311">
        <f t="shared" si="365"/>
        <v>1</v>
      </c>
      <c r="X1311">
        <f t="shared" si="366"/>
        <v>0</v>
      </c>
      <c r="Y1311">
        <f t="shared" si="367"/>
        <v>0</v>
      </c>
      <c r="Z1311">
        <f t="shared" si="368"/>
        <v>1</v>
      </c>
      <c r="AA1311">
        <f t="shared" si="369"/>
        <v>0</v>
      </c>
      <c r="AB1311">
        <f t="shared" si="370"/>
        <v>0</v>
      </c>
      <c r="AC1311">
        <f t="shared" si="371"/>
        <v>0</v>
      </c>
      <c r="AD1311">
        <f t="shared" si="372"/>
        <v>0</v>
      </c>
      <c r="AE1311">
        <f t="shared" si="373"/>
        <v>1</v>
      </c>
      <c r="AF1311">
        <f t="shared" si="374"/>
        <v>0</v>
      </c>
      <c r="AG1311">
        <f t="shared" si="375"/>
        <v>0</v>
      </c>
      <c r="AH1311">
        <f t="shared" si="376"/>
        <v>0</v>
      </c>
      <c r="AI1311">
        <f t="shared" si="377"/>
        <v>1</v>
      </c>
    </row>
    <row r="1312" spans="1:35" x14ac:dyDescent="0.2">
      <c r="A1312">
        <v>528</v>
      </c>
      <c r="B1312" t="s">
        <v>749</v>
      </c>
      <c r="C1312">
        <v>4</v>
      </c>
      <c r="D1312" t="s">
        <v>3643</v>
      </c>
      <c r="E1312" t="s">
        <v>20</v>
      </c>
      <c r="F1312" t="s">
        <v>19</v>
      </c>
      <c r="G1312" t="s">
        <v>39</v>
      </c>
      <c r="H1312" t="s">
        <v>21</v>
      </c>
      <c r="I1312">
        <v>3</v>
      </c>
      <c r="J1312">
        <v>0</v>
      </c>
      <c r="K1312" s="1">
        <v>10000</v>
      </c>
      <c r="L1312" t="s">
        <v>98</v>
      </c>
      <c r="M1312" t="s">
        <v>115</v>
      </c>
      <c r="N1312" t="s">
        <v>36</v>
      </c>
      <c r="O1312" t="s">
        <v>3644</v>
      </c>
      <c r="P1312" t="s">
        <v>3645</v>
      </c>
      <c r="Q1312">
        <f t="shared" si="360"/>
        <v>2</v>
      </c>
      <c r="R1312">
        <f t="shared" si="361"/>
        <v>3</v>
      </c>
      <c r="S1312">
        <f t="shared" si="362"/>
        <v>5</v>
      </c>
      <c r="T1312">
        <f t="shared" si="363"/>
        <v>1</v>
      </c>
      <c r="U1312">
        <v>10000</v>
      </c>
      <c r="V1312">
        <f t="shared" si="364"/>
        <v>0</v>
      </c>
      <c r="W1312">
        <f t="shared" si="365"/>
        <v>1</v>
      </c>
      <c r="X1312">
        <f t="shared" si="366"/>
        <v>0</v>
      </c>
      <c r="Y1312">
        <f t="shared" si="367"/>
        <v>0</v>
      </c>
      <c r="Z1312">
        <f t="shared" si="368"/>
        <v>0</v>
      </c>
      <c r="AA1312">
        <f t="shared" si="369"/>
        <v>0</v>
      </c>
      <c r="AB1312">
        <f t="shared" si="370"/>
        <v>0</v>
      </c>
      <c r="AC1312">
        <f t="shared" si="371"/>
        <v>1</v>
      </c>
      <c r="AD1312">
        <f t="shared" si="372"/>
        <v>0</v>
      </c>
      <c r="AE1312">
        <f t="shared" si="373"/>
        <v>0</v>
      </c>
      <c r="AF1312">
        <f t="shared" si="374"/>
        <v>0</v>
      </c>
      <c r="AG1312">
        <f t="shared" si="375"/>
        <v>0</v>
      </c>
      <c r="AH1312">
        <f t="shared" si="376"/>
        <v>0</v>
      </c>
      <c r="AI1312">
        <f t="shared" si="377"/>
        <v>1</v>
      </c>
    </row>
    <row r="1313" spans="1:35" x14ac:dyDescent="0.2">
      <c r="A1313">
        <v>529</v>
      </c>
      <c r="B1313" t="s">
        <v>749</v>
      </c>
      <c r="C1313">
        <v>7</v>
      </c>
      <c r="D1313" t="s">
        <v>3646</v>
      </c>
      <c r="E1313" t="s">
        <v>21</v>
      </c>
      <c r="F1313" t="s">
        <v>18</v>
      </c>
      <c r="G1313" t="s">
        <v>39</v>
      </c>
      <c r="H1313" t="s">
        <v>21</v>
      </c>
      <c r="I1313">
        <v>4</v>
      </c>
      <c r="J1313">
        <v>6</v>
      </c>
      <c r="K1313">
        <v>100</v>
      </c>
      <c r="L1313" t="s">
        <v>276</v>
      </c>
      <c r="M1313" t="s">
        <v>468</v>
      </c>
      <c r="N1313" t="s">
        <v>147</v>
      </c>
      <c r="O1313" t="s">
        <v>3647</v>
      </c>
      <c r="P1313" t="s">
        <v>3648</v>
      </c>
      <c r="Q1313">
        <f t="shared" si="360"/>
        <v>1</v>
      </c>
      <c r="R1313">
        <f t="shared" si="361"/>
        <v>4</v>
      </c>
      <c r="S1313">
        <f t="shared" si="362"/>
        <v>5</v>
      </c>
      <c r="T1313">
        <f t="shared" si="363"/>
        <v>1</v>
      </c>
      <c r="U1313">
        <v>100</v>
      </c>
      <c r="V1313">
        <f t="shared" si="364"/>
        <v>1</v>
      </c>
      <c r="W1313">
        <f t="shared" si="365"/>
        <v>1</v>
      </c>
      <c r="X1313">
        <f t="shared" si="366"/>
        <v>0</v>
      </c>
      <c r="Y1313">
        <f t="shared" si="367"/>
        <v>1</v>
      </c>
      <c r="Z1313">
        <f t="shared" si="368"/>
        <v>1</v>
      </c>
      <c r="AA1313">
        <f t="shared" si="369"/>
        <v>1</v>
      </c>
      <c r="AB1313">
        <f t="shared" si="370"/>
        <v>1</v>
      </c>
      <c r="AC1313">
        <f t="shared" si="371"/>
        <v>1</v>
      </c>
      <c r="AD1313">
        <f t="shared" si="372"/>
        <v>1</v>
      </c>
      <c r="AE1313">
        <f t="shared" si="373"/>
        <v>1</v>
      </c>
      <c r="AF1313">
        <f t="shared" si="374"/>
        <v>0</v>
      </c>
      <c r="AG1313">
        <f t="shared" si="375"/>
        <v>0</v>
      </c>
      <c r="AH1313">
        <f t="shared" si="376"/>
        <v>1</v>
      </c>
      <c r="AI1313">
        <f t="shared" si="377"/>
        <v>1</v>
      </c>
    </row>
    <row r="1314" spans="1:35" x14ac:dyDescent="0.2">
      <c r="A1314">
        <v>530</v>
      </c>
      <c r="B1314" t="s">
        <v>749</v>
      </c>
      <c r="C1314">
        <v>4</v>
      </c>
      <c r="D1314" t="s">
        <v>3649</v>
      </c>
      <c r="E1314" t="s">
        <v>20</v>
      </c>
      <c r="F1314" t="s">
        <v>20</v>
      </c>
      <c r="G1314" t="s">
        <v>19</v>
      </c>
      <c r="H1314" t="s">
        <v>20</v>
      </c>
      <c r="I1314">
        <v>5</v>
      </c>
      <c r="J1314">
        <v>4</v>
      </c>
      <c r="K1314">
        <v>200</v>
      </c>
      <c r="L1314" t="s">
        <v>70</v>
      </c>
      <c r="M1314" t="s">
        <v>23</v>
      </c>
      <c r="N1314" t="s">
        <v>622</v>
      </c>
      <c r="O1314" t="s">
        <v>2386</v>
      </c>
      <c r="P1314" t="s">
        <v>3650</v>
      </c>
      <c r="Q1314">
        <f t="shared" si="360"/>
        <v>2</v>
      </c>
      <c r="R1314">
        <f t="shared" si="361"/>
        <v>2</v>
      </c>
      <c r="S1314">
        <f t="shared" si="362"/>
        <v>3</v>
      </c>
      <c r="T1314">
        <f t="shared" si="363"/>
        <v>2</v>
      </c>
      <c r="U1314">
        <v>200</v>
      </c>
      <c r="V1314">
        <f t="shared" si="364"/>
        <v>0</v>
      </c>
      <c r="W1314">
        <f t="shared" si="365"/>
        <v>0</v>
      </c>
      <c r="X1314">
        <f t="shared" si="366"/>
        <v>0</v>
      </c>
      <c r="Y1314">
        <f t="shared" si="367"/>
        <v>1</v>
      </c>
      <c r="Z1314">
        <f t="shared" si="368"/>
        <v>0</v>
      </c>
      <c r="AA1314">
        <f t="shared" si="369"/>
        <v>1</v>
      </c>
      <c r="AB1314">
        <f t="shared" si="370"/>
        <v>0</v>
      </c>
      <c r="AC1314">
        <f t="shared" si="371"/>
        <v>0</v>
      </c>
      <c r="AD1314">
        <f t="shared" si="372"/>
        <v>0</v>
      </c>
      <c r="AE1314">
        <f t="shared" si="373"/>
        <v>0</v>
      </c>
      <c r="AF1314">
        <f t="shared" si="374"/>
        <v>0</v>
      </c>
      <c r="AG1314">
        <f t="shared" si="375"/>
        <v>1</v>
      </c>
      <c r="AH1314">
        <f t="shared" si="376"/>
        <v>0</v>
      </c>
      <c r="AI1314">
        <f t="shared" si="377"/>
        <v>1</v>
      </c>
    </row>
    <row r="1315" spans="1:35" x14ac:dyDescent="0.2">
      <c r="A1315">
        <v>531</v>
      </c>
      <c r="B1315" t="s">
        <v>749</v>
      </c>
      <c r="C1315">
        <v>9</v>
      </c>
      <c r="D1315" t="s">
        <v>3651</v>
      </c>
      <c r="E1315" t="s">
        <v>19</v>
      </c>
      <c r="F1315" t="s">
        <v>18</v>
      </c>
      <c r="G1315" t="s">
        <v>19</v>
      </c>
      <c r="H1315" t="s">
        <v>20</v>
      </c>
      <c r="I1315">
        <v>6</v>
      </c>
      <c r="J1315">
        <v>7</v>
      </c>
      <c r="K1315">
        <v>40</v>
      </c>
      <c r="L1315" t="s">
        <v>714</v>
      </c>
      <c r="M1315" t="s">
        <v>268</v>
      </c>
      <c r="N1315" t="s">
        <v>763</v>
      </c>
      <c r="O1315" t="s">
        <v>3652</v>
      </c>
      <c r="P1315" t="s">
        <v>3653</v>
      </c>
      <c r="Q1315">
        <f t="shared" si="360"/>
        <v>3</v>
      </c>
      <c r="R1315">
        <f t="shared" si="361"/>
        <v>4</v>
      </c>
      <c r="S1315">
        <f t="shared" si="362"/>
        <v>3</v>
      </c>
      <c r="T1315">
        <f t="shared" si="363"/>
        <v>2</v>
      </c>
      <c r="U1315">
        <v>40</v>
      </c>
      <c r="V1315">
        <f t="shared" si="364"/>
        <v>0</v>
      </c>
      <c r="W1315">
        <f t="shared" si="365"/>
        <v>0</v>
      </c>
      <c r="X1315">
        <f t="shared" si="366"/>
        <v>1</v>
      </c>
      <c r="Y1315">
        <f t="shared" si="367"/>
        <v>1</v>
      </c>
      <c r="Z1315">
        <f t="shared" si="368"/>
        <v>1</v>
      </c>
      <c r="AA1315">
        <f t="shared" si="369"/>
        <v>1</v>
      </c>
      <c r="AB1315">
        <f t="shared" si="370"/>
        <v>1</v>
      </c>
      <c r="AC1315">
        <f t="shared" si="371"/>
        <v>0</v>
      </c>
      <c r="AD1315">
        <f t="shared" si="372"/>
        <v>1</v>
      </c>
      <c r="AE1315">
        <f t="shared" si="373"/>
        <v>0</v>
      </c>
      <c r="AF1315">
        <f t="shared" si="374"/>
        <v>1</v>
      </c>
      <c r="AG1315">
        <f t="shared" si="375"/>
        <v>1</v>
      </c>
      <c r="AH1315">
        <f t="shared" si="376"/>
        <v>1</v>
      </c>
      <c r="AI1315">
        <f t="shared" si="377"/>
        <v>1</v>
      </c>
    </row>
    <row r="1316" spans="1:35" x14ac:dyDescent="0.2">
      <c r="A1316">
        <v>532</v>
      </c>
      <c r="B1316" t="s">
        <v>749</v>
      </c>
      <c r="C1316">
        <v>5</v>
      </c>
      <c r="D1316" t="s">
        <v>3654</v>
      </c>
      <c r="E1316" t="s">
        <v>19</v>
      </c>
      <c r="F1316" t="s">
        <v>18</v>
      </c>
      <c r="G1316" t="s">
        <v>18</v>
      </c>
      <c r="H1316" t="s">
        <v>21</v>
      </c>
      <c r="I1316">
        <v>3</v>
      </c>
      <c r="J1316">
        <v>10</v>
      </c>
      <c r="K1316">
        <v>300</v>
      </c>
      <c r="L1316" t="s">
        <v>194</v>
      </c>
      <c r="M1316" t="s">
        <v>23</v>
      </c>
      <c r="N1316" t="s">
        <v>36</v>
      </c>
      <c r="O1316" t="s">
        <v>3655</v>
      </c>
      <c r="P1316" t="s">
        <v>3656</v>
      </c>
      <c r="Q1316">
        <f t="shared" si="360"/>
        <v>3</v>
      </c>
      <c r="R1316">
        <f t="shared" si="361"/>
        <v>4</v>
      </c>
      <c r="S1316">
        <f t="shared" si="362"/>
        <v>4</v>
      </c>
      <c r="T1316">
        <f t="shared" si="363"/>
        <v>1</v>
      </c>
      <c r="U1316">
        <v>300</v>
      </c>
      <c r="V1316">
        <f t="shared" si="364"/>
        <v>0</v>
      </c>
      <c r="W1316">
        <f t="shared" si="365"/>
        <v>0</v>
      </c>
      <c r="X1316">
        <f t="shared" si="366"/>
        <v>0</v>
      </c>
      <c r="Y1316">
        <f t="shared" si="367"/>
        <v>1</v>
      </c>
      <c r="Z1316">
        <f t="shared" si="368"/>
        <v>1</v>
      </c>
      <c r="AA1316">
        <f t="shared" si="369"/>
        <v>1</v>
      </c>
      <c r="AB1316">
        <f t="shared" si="370"/>
        <v>0</v>
      </c>
      <c r="AC1316">
        <f t="shared" si="371"/>
        <v>0</v>
      </c>
      <c r="AD1316">
        <f t="shared" si="372"/>
        <v>0</v>
      </c>
      <c r="AE1316">
        <f t="shared" si="373"/>
        <v>0</v>
      </c>
      <c r="AF1316">
        <f t="shared" si="374"/>
        <v>0</v>
      </c>
      <c r="AG1316">
        <f t="shared" si="375"/>
        <v>0</v>
      </c>
      <c r="AH1316">
        <f t="shared" si="376"/>
        <v>0</v>
      </c>
      <c r="AI1316">
        <f t="shared" si="377"/>
        <v>1</v>
      </c>
    </row>
    <row r="1317" spans="1:35" x14ac:dyDescent="0.2">
      <c r="A1317">
        <v>533</v>
      </c>
      <c r="B1317" t="s">
        <v>749</v>
      </c>
      <c r="C1317">
        <v>7</v>
      </c>
      <c r="D1317" t="s">
        <v>3657</v>
      </c>
      <c r="E1317" t="s">
        <v>18</v>
      </c>
      <c r="F1317" t="s">
        <v>20</v>
      </c>
      <c r="G1317" t="s">
        <v>20</v>
      </c>
      <c r="H1317" t="s">
        <v>18</v>
      </c>
      <c r="I1317">
        <v>3</v>
      </c>
      <c r="J1317">
        <v>2</v>
      </c>
      <c r="K1317">
        <v>1000</v>
      </c>
      <c r="L1317" t="s">
        <v>98</v>
      </c>
      <c r="M1317" t="s">
        <v>219</v>
      </c>
      <c r="N1317" t="s">
        <v>36</v>
      </c>
      <c r="O1317" t="s">
        <v>3658</v>
      </c>
      <c r="P1317" t="s">
        <v>3659</v>
      </c>
      <c r="Q1317">
        <f t="shared" si="360"/>
        <v>4</v>
      </c>
      <c r="R1317">
        <f t="shared" si="361"/>
        <v>2</v>
      </c>
      <c r="S1317">
        <f t="shared" si="362"/>
        <v>2</v>
      </c>
      <c r="T1317">
        <f t="shared" si="363"/>
        <v>4</v>
      </c>
      <c r="U1317">
        <v>1000</v>
      </c>
      <c r="V1317">
        <f t="shared" si="364"/>
        <v>0</v>
      </c>
      <c r="W1317">
        <f t="shared" si="365"/>
        <v>1</v>
      </c>
      <c r="X1317">
        <f t="shared" si="366"/>
        <v>0</v>
      </c>
      <c r="Y1317">
        <f t="shared" si="367"/>
        <v>0</v>
      </c>
      <c r="Z1317">
        <f t="shared" si="368"/>
        <v>0</v>
      </c>
      <c r="AA1317">
        <f t="shared" si="369"/>
        <v>0</v>
      </c>
      <c r="AB1317">
        <f t="shared" si="370"/>
        <v>0</v>
      </c>
      <c r="AC1317">
        <f t="shared" si="371"/>
        <v>0</v>
      </c>
      <c r="AD1317">
        <f t="shared" si="372"/>
        <v>0</v>
      </c>
      <c r="AE1317">
        <f t="shared" si="373"/>
        <v>1</v>
      </c>
      <c r="AF1317">
        <f t="shared" si="374"/>
        <v>0</v>
      </c>
      <c r="AG1317">
        <f t="shared" si="375"/>
        <v>0</v>
      </c>
      <c r="AH1317">
        <f t="shared" si="376"/>
        <v>0</v>
      </c>
      <c r="AI1317">
        <f t="shared" si="377"/>
        <v>1</v>
      </c>
    </row>
    <row r="1318" spans="1:35" x14ac:dyDescent="0.2">
      <c r="A1318">
        <v>534</v>
      </c>
      <c r="B1318" t="s">
        <v>749</v>
      </c>
      <c r="C1318">
        <v>9</v>
      </c>
      <c r="D1318" t="s">
        <v>861</v>
      </c>
      <c r="E1318" t="s">
        <v>20</v>
      </c>
      <c r="F1318" t="s">
        <v>18</v>
      </c>
      <c r="G1318" t="s">
        <v>18</v>
      </c>
      <c r="H1318" t="s">
        <v>20</v>
      </c>
      <c r="I1318">
        <v>2</v>
      </c>
      <c r="J1318">
        <v>2</v>
      </c>
      <c r="K1318">
        <v>20</v>
      </c>
      <c r="L1318" t="s">
        <v>70</v>
      </c>
      <c r="M1318" t="s">
        <v>23</v>
      </c>
      <c r="N1318" t="s">
        <v>36</v>
      </c>
      <c r="O1318" t="s">
        <v>3660</v>
      </c>
      <c r="P1318" t="s">
        <v>3661</v>
      </c>
      <c r="Q1318">
        <f t="shared" si="360"/>
        <v>2</v>
      </c>
      <c r="R1318">
        <f t="shared" si="361"/>
        <v>4</v>
      </c>
      <c r="S1318">
        <f t="shared" si="362"/>
        <v>4</v>
      </c>
      <c r="T1318">
        <f t="shared" si="363"/>
        <v>2</v>
      </c>
      <c r="U1318">
        <v>20</v>
      </c>
      <c r="V1318">
        <f t="shared" si="364"/>
        <v>0</v>
      </c>
      <c r="W1318">
        <f t="shared" si="365"/>
        <v>0</v>
      </c>
      <c r="X1318">
        <f t="shared" si="366"/>
        <v>0</v>
      </c>
      <c r="Y1318">
        <f t="shared" si="367"/>
        <v>1</v>
      </c>
      <c r="Z1318">
        <f t="shared" si="368"/>
        <v>0</v>
      </c>
      <c r="AA1318">
        <f t="shared" si="369"/>
        <v>1</v>
      </c>
      <c r="AB1318">
        <f t="shared" si="370"/>
        <v>0</v>
      </c>
      <c r="AC1318">
        <f t="shared" si="371"/>
        <v>0</v>
      </c>
      <c r="AD1318">
        <f t="shared" si="372"/>
        <v>0</v>
      </c>
      <c r="AE1318">
        <f t="shared" si="373"/>
        <v>0</v>
      </c>
      <c r="AF1318">
        <f t="shared" si="374"/>
        <v>0</v>
      </c>
      <c r="AG1318">
        <f t="shared" si="375"/>
        <v>0</v>
      </c>
      <c r="AH1318">
        <f t="shared" si="376"/>
        <v>0</v>
      </c>
      <c r="AI1318">
        <f t="shared" si="377"/>
        <v>1</v>
      </c>
    </row>
    <row r="1319" spans="1:35" x14ac:dyDescent="0.2">
      <c r="A1319">
        <v>535</v>
      </c>
      <c r="B1319" t="s">
        <v>749</v>
      </c>
      <c r="C1319">
        <v>9.5</v>
      </c>
      <c r="D1319" t="s">
        <v>1431</v>
      </c>
      <c r="E1319" t="s">
        <v>20</v>
      </c>
      <c r="F1319" t="s">
        <v>18</v>
      </c>
      <c r="G1319" t="s">
        <v>39</v>
      </c>
      <c r="H1319" t="s">
        <v>20</v>
      </c>
      <c r="I1319">
        <v>5</v>
      </c>
      <c r="J1319">
        <v>2</v>
      </c>
      <c r="K1319">
        <v>150</v>
      </c>
      <c r="L1319" t="s">
        <v>601</v>
      </c>
      <c r="M1319" t="s">
        <v>781</v>
      </c>
      <c r="N1319" t="s">
        <v>147</v>
      </c>
      <c r="O1319" t="s">
        <v>504</v>
      </c>
      <c r="P1319" t="s">
        <v>3662</v>
      </c>
      <c r="Q1319">
        <f t="shared" si="360"/>
        <v>2</v>
      </c>
      <c r="R1319">
        <f t="shared" si="361"/>
        <v>4</v>
      </c>
      <c r="S1319">
        <f t="shared" si="362"/>
        <v>5</v>
      </c>
      <c r="T1319">
        <f t="shared" si="363"/>
        <v>2</v>
      </c>
      <c r="U1319">
        <v>150</v>
      </c>
      <c r="V1319">
        <f t="shared" si="364"/>
        <v>0</v>
      </c>
      <c r="W1319">
        <f t="shared" si="365"/>
        <v>1</v>
      </c>
      <c r="X1319">
        <f t="shared" si="366"/>
        <v>0</v>
      </c>
      <c r="Y1319">
        <f t="shared" si="367"/>
        <v>1</v>
      </c>
      <c r="Z1319">
        <f t="shared" si="368"/>
        <v>1</v>
      </c>
      <c r="AA1319">
        <f t="shared" si="369"/>
        <v>0</v>
      </c>
      <c r="AB1319">
        <f t="shared" si="370"/>
        <v>1</v>
      </c>
      <c r="AC1319">
        <f t="shared" si="371"/>
        <v>1</v>
      </c>
      <c r="AD1319">
        <f t="shared" si="372"/>
        <v>1</v>
      </c>
      <c r="AE1319">
        <f t="shared" si="373"/>
        <v>1</v>
      </c>
      <c r="AF1319">
        <f t="shared" si="374"/>
        <v>0</v>
      </c>
      <c r="AG1319">
        <f t="shared" si="375"/>
        <v>0</v>
      </c>
      <c r="AH1319">
        <f t="shared" si="376"/>
        <v>1</v>
      </c>
      <c r="AI1319">
        <f t="shared" si="377"/>
        <v>1</v>
      </c>
    </row>
    <row r="1320" spans="1:35" x14ac:dyDescent="0.2">
      <c r="A1320">
        <v>536</v>
      </c>
      <c r="B1320" t="s">
        <v>749</v>
      </c>
      <c r="C1320">
        <v>10</v>
      </c>
      <c r="D1320" t="s">
        <v>3663</v>
      </c>
      <c r="E1320" t="s">
        <v>39</v>
      </c>
      <c r="F1320" t="s">
        <v>39</v>
      </c>
      <c r="G1320" t="s">
        <v>21</v>
      </c>
      <c r="H1320" t="s">
        <v>39</v>
      </c>
      <c r="I1320">
        <v>3</v>
      </c>
      <c r="J1320">
        <v>2</v>
      </c>
      <c r="K1320" s="1">
        <v>1000</v>
      </c>
      <c r="L1320" t="s">
        <v>47</v>
      </c>
      <c r="M1320" t="s">
        <v>704</v>
      </c>
      <c r="N1320" t="s">
        <v>36</v>
      </c>
      <c r="O1320" t="s">
        <v>185</v>
      </c>
      <c r="P1320" t="s">
        <v>3664</v>
      </c>
      <c r="Q1320">
        <f t="shared" si="360"/>
        <v>5</v>
      </c>
      <c r="R1320">
        <f t="shared" si="361"/>
        <v>5</v>
      </c>
      <c r="S1320">
        <f t="shared" si="362"/>
        <v>1</v>
      </c>
      <c r="T1320">
        <f t="shared" si="363"/>
        <v>5</v>
      </c>
      <c r="U1320">
        <v>1000</v>
      </c>
      <c r="V1320">
        <f t="shared" si="364"/>
        <v>0</v>
      </c>
      <c r="W1320">
        <f t="shared" si="365"/>
        <v>0</v>
      </c>
      <c r="X1320">
        <f t="shared" si="366"/>
        <v>1</v>
      </c>
      <c r="Y1320">
        <f t="shared" si="367"/>
        <v>0</v>
      </c>
      <c r="Z1320">
        <f t="shared" si="368"/>
        <v>1</v>
      </c>
      <c r="AA1320">
        <f t="shared" si="369"/>
        <v>0</v>
      </c>
      <c r="AB1320">
        <f t="shared" si="370"/>
        <v>0</v>
      </c>
      <c r="AC1320">
        <f t="shared" si="371"/>
        <v>1</v>
      </c>
      <c r="AD1320">
        <f t="shared" si="372"/>
        <v>1</v>
      </c>
      <c r="AE1320">
        <f t="shared" si="373"/>
        <v>0</v>
      </c>
      <c r="AF1320">
        <f t="shared" si="374"/>
        <v>0</v>
      </c>
      <c r="AG1320">
        <f t="shared" si="375"/>
        <v>0</v>
      </c>
      <c r="AH1320">
        <f t="shared" si="376"/>
        <v>0</v>
      </c>
      <c r="AI1320">
        <f t="shared" si="377"/>
        <v>1</v>
      </c>
    </row>
    <row r="1321" spans="1:35" x14ac:dyDescent="0.2">
      <c r="A1321">
        <v>537</v>
      </c>
      <c r="B1321" t="s">
        <v>749</v>
      </c>
      <c r="C1321">
        <v>3</v>
      </c>
      <c r="D1321" t="s">
        <v>3665</v>
      </c>
      <c r="E1321" t="s">
        <v>19</v>
      </c>
      <c r="F1321" t="s">
        <v>19</v>
      </c>
      <c r="G1321" t="s">
        <v>18</v>
      </c>
      <c r="H1321" t="s">
        <v>20</v>
      </c>
      <c r="I1321">
        <v>3</v>
      </c>
      <c r="J1321">
        <v>3</v>
      </c>
      <c r="K1321" s="1">
        <v>1000</v>
      </c>
      <c r="L1321" t="s">
        <v>47</v>
      </c>
      <c r="M1321" t="s">
        <v>123</v>
      </c>
      <c r="N1321" t="s">
        <v>36</v>
      </c>
      <c r="O1321" t="s">
        <v>817</v>
      </c>
      <c r="P1321" t="s">
        <v>3666</v>
      </c>
      <c r="Q1321">
        <f t="shared" si="360"/>
        <v>3</v>
      </c>
      <c r="R1321">
        <f t="shared" si="361"/>
        <v>3</v>
      </c>
      <c r="S1321">
        <f t="shared" si="362"/>
        <v>4</v>
      </c>
      <c r="T1321">
        <f t="shared" si="363"/>
        <v>2</v>
      </c>
      <c r="U1321">
        <v>1000</v>
      </c>
      <c r="V1321">
        <f t="shared" si="364"/>
        <v>0</v>
      </c>
      <c r="W1321">
        <f t="shared" si="365"/>
        <v>0</v>
      </c>
      <c r="X1321">
        <f t="shared" si="366"/>
        <v>1</v>
      </c>
      <c r="Y1321">
        <f t="shared" si="367"/>
        <v>0</v>
      </c>
      <c r="Z1321">
        <f t="shared" si="368"/>
        <v>1</v>
      </c>
      <c r="AA1321">
        <f t="shared" si="369"/>
        <v>0</v>
      </c>
      <c r="AB1321">
        <f t="shared" si="370"/>
        <v>1</v>
      </c>
      <c r="AC1321">
        <f t="shared" si="371"/>
        <v>1</v>
      </c>
      <c r="AD1321">
        <f t="shared" si="372"/>
        <v>0</v>
      </c>
      <c r="AE1321">
        <f t="shared" si="373"/>
        <v>0</v>
      </c>
      <c r="AF1321">
        <f t="shared" si="374"/>
        <v>0</v>
      </c>
      <c r="AG1321">
        <f t="shared" si="375"/>
        <v>0</v>
      </c>
      <c r="AH1321">
        <f t="shared" si="376"/>
        <v>0</v>
      </c>
      <c r="AI1321">
        <f t="shared" si="377"/>
        <v>1</v>
      </c>
    </row>
    <row r="1322" spans="1:35" x14ac:dyDescent="0.2">
      <c r="A1322">
        <v>538</v>
      </c>
      <c r="B1322" t="s">
        <v>749</v>
      </c>
      <c r="C1322">
        <v>5</v>
      </c>
      <c r="D1322" t="s">
        <v>3667</v>
      </c>
      <c r="E1322" t="s">
        <v>19</v>
      </c>
      <c r="F1322" t="s">
        <v>19</v>
      </c>
      <c r="G1322" t="s">
        <v>18</v>
      </c>
      <c r="H1322" t="s">
        <v>20</v>
      </c>
      <c r="I1322">
        <v>2</v>
      </c>
      <c r="J1322">
        <v>3</v>
      </c>
      <c r="K1322">
        <v>400</v>
      </c>
      <c r="L1322" t="s">
        <v>41</v>
      </c>
      <c r="M1322" t="s">
        <v>280</v>
      </c>
      <c r="N1322" t="s">
        <v>36</v>
      </c>
      <c r="O1322" t="s">
        <v>3668</v>
      </c>
      <c r="P1322" t="s">
        <v>3669</v>
      </c>
      <c r="Q1322">
        <f t="shared" si="360"/>
        <v>3</v>
      </c>
      <c r="R1322">
        <f t="shared" si="361"/>
        <v>3</v>
      </c>
      <c r="S1322">
        <f t="shared" si="362"/>
        <v>4</v>
      </c>
      <c r="T1322">
        <f t="shared" si="363"/>
        <v>2</v>
      </c>
      <c r="U1322">
        <v>400</v>
      </c>
      <c r="V1322">
        <f t="shared" si="364"/>
        <v>0</v>
      </c>
      <c r="W1322">
        <f t="shared" si="365"/>
        <v>0</v>
      </c>
      <c r="X1322">
        <f t="shared" si="366"/>
        <v>0</v>
      </c>
      <c r="Y1322">
        <f t="shared" si="367"/>
        <v>0</v>
      </c>
      <c r="Z1322">
        <f t="shared" si="368"/>
        <v>1</v>
      </c>
      <c r="AA1322">
        <f t="shared" si="369"/>
        <v>0</v>
      </c>
      <c r="AB1322">
        <f t="shared" si="370"/>
        <v>1</v>
      </c>
      <c r="AC1322">
        <f t="shared" si="371"/>
        <v>1</v>
      </c>
      <c r="AD1322">
        <f t="shared" si="372"/>
        <v>1</v>
      </c>
      <c r="AE1322">
        <f t="shared" si="373"/>
        <v>0</v>
      </c>
      <c r="AF1322">
        <f t="shared" si="374"/>
        <v>0</v>
      </c>
      <c r="AG1322">
        <f t="shared" si="375"/>
        <v>0</v>
      </c>
      <c r="AH1322">
        <f t="shared" si="376"/>
        <v>0</v>
      </c>
      <c r="AI1322">
        <f t="shared" si="377"/>
        <v>1</v>
      </c>
    </row>
    <row r="1323" spans="1:35" x14ac:dyDescent="0.2">
      <c r="A1323">
        <v>539</v>
      </c>
      <c r="B1323" t="s">
        <v>749</v>
      </c>
      <c r="C1323">
        <v>7</v>
      </c>
      <c r="D1323" t="s">
        <v>3670</v>
      </c>
      <c r="E1323" t="s">
        <v>18</v>
      </c>
      <c r="F1323" t="s">
        <v>18</v>
      </c>
      <c r="G1323" t="s">
        <v>18</v>
      </c>
      <c r="H1323" t="s">
        <v>20</v>
      </c>
      <c r="I1323">
        <v>4</v>
      </c>
      <c r="J1323">
        <v>3</v>
      </c>
      <c r="K1323">
        <v>200</v>
      </c>
      <c r="L1323" t="s">
        <v>70</v>
      </c>
      <c r="M1323" t="s">
        <v>115</v>
      </c>
      <c r="N1323" t="s">
        <v>215</v>
      </c>
      <c r="O1323" t="s">
        <v>3671</v>
      </c>
      <c r="P1323" t="s">
        <v>3672</v>
      </c>
      <c r="Q1323">
        <f t="shared" si="360"/>
        <v>4</v>
      </c>
      <c r="R1323">
        <f t="shared" si="361"/>
        <v>4</v>
      </c>
      <c r="S1323">
        <f t="shared" si="362"/>
        <v>4</v>
      </c>
      <c r="T1323">
        <f t="shared" si="363"/>
        <v>2</v>
      </c>
      <c r="U1323">
        <v>200</v>
      </c>
      <c r="V1323">
        <f t="shared" si="364"/>
        <v>0</v>
      </c>
      <c r="W1323">
        <f t="shared" si="365"/>
        <v>0</v>
      </c>
      <c r="X1323">
        <f t="shared" si="366"/>
        <v>0</v>
      </c>
      <c r="Y1323">
        <f t="shared" si="367"/>
        <v>1</v>
      </c>
      <c r="Z1323">
        <f t="shared" si="368"/>
        <v>0</v>
      </c>
      <c r="AA1323">
        <f t="shared" si="369"/>
        <v>0</v>
      </c>
      <c r="AB1323">
        <f t="shared" si="370"/>
        <v>0</v>
      </c>
      <c r="AC1323">
        <f t="shared" si="371"/>
        <v>1</v>
      </c>
      <c r="AD1323">
        <f t="shared" si="372"/>
        <v>0</v>
      </c>
      <c r="AE1323">
        <f t="shared" si="373"/>
        <v>0</v>
      </c>
      <c r="AF1323">
        <f t="shared" si="374"/>
        <v>1</v>
      </c>
      <c r="AG1323">
        <f t="shared" si="375"/>
        <v>0</v>
      </c>
      <c r="AH1323">
        <f t="shared" si="376"/>
        <v>0</v>
      </c>
      <c r="AI1323">
        <f t="shared" si="377"/>
        <v>0</v>
      </c>
    </row>
    <row r="1324" spans="1:35" x14ac:dyDescent="0.2">
      <c r="A1324">
        <v>540</v>
      </c>
      <c r="B1324" t="s">
        <v>749</v>
      </c>
      <c r="C1324">
        <v>9</v>
      </c>
      <c r="D1324" t="s">
        <v>3673</v>
      </c>
      <c r="E1324" t="s">
        <v>20</v>
      </c>
      <c r="F1324" t="s">
        <v>18</v>
      </c>
      <c r="G1324" t="s">
        <v>39</v>
      </c>
      <c r="H1324" t="s">
        <v>20</v>
      </c>
      <c r="I1324">
        <v>4</v>
      </c>
      <c r="J1324">
        <v>3</v>
      </c>
      <c r="K1324">
        <v>600</v>
      </c>
      <c r="L1324" t="s">
        <v>562</v>
      </c>
      <c r="M1324" t="s">
        <v>48</v>
      </c>
      <c r="N1324" t="s">
        <v>847</v>
      </c>
      <c r="O1324" t="s">
        <v>955</v>
      </c>
      <c r="P1324" t="s">
        <v>3674</v>
      </c>
      <c r="Q1324">
        <f t="shared" si="360"/>
        <v>2</v>
      </c>
      <c r="R1324">
        <f t="shared" si="361"/>
        <v>4</v>
      </c>
      <c r="S1324">
        <f t="shared" si="362"/>
        <v>5</v>
      </c>
      <c r="T1324">
        <f t="shared" si="363"/>
        <v>2</v>
      </c>
      <c r="U1324">
        <v>600</v>
      </c>
      <c r="V1324">
        <f t="shared" si="364"/>
        <v>0</v>
      </c>
      <c r="W1324">
        <f t="shared" si="365"/>
        <v>1</v>
      </c>
      <c r="X1324">
        <f t="shared" si="366"/>
        <v>1</v>
      </c>
      <c r="Y1324">
        <f t="shared" si="367"/>
        <v>0</v>
      </c>
      <c r="Z1324">
        <f t="shared" si="368"/>
        <v>1</v>
      </c>
      <c r="AA1324">
        <f t="shared" si="369"/>
        <v>1</v>
      </c>
      <c r="AB1324">
        <f t="shared" si="370"/>
        <v>1</v>
      </c>
      <c r="AC1324">
        <f t="shared" si="371"/>
        <v>1</v>
      </c>
      <c r="AD1324">
        <f t="shared" si="372"/>
        <v>0</v>
      </c>
      <c r="AE1324">
        <f t="shared" si="373"/>
        <v>0</v>
      </c>
      <c r="AF1324">
        <f t="shared" si="374"/>
        <v>1</v>
      </c>
      <c r="AG1324">
        <f t="shared" si="375"/>
        <v>0</v>
      </c>
      <c r="AH1324">
        <f t="shared" si="376"/>
        <v>0</v>
      </c>
      <c r="AI1324">
        <f t="shared" si="377"/>
        <v>1</v>
      </c>
    </row>
    <row r="1325" spans="1:35" x14ac:dyDescent="0.2">
      <c r="A1325">
        <v>541</v>
      </c>
      <c r="B1325" t="s">
        <v>749</v>
      </c>
      <c r="C1325">
        <v>6</v>
      </c>
      <c r="D1325" t="s">
        <v>3675</v>
      </c>
      <c r="E1325" t="s">
        <v>20</v>
      </c>
      <c r="F1325" t="s">
        <v>18</v>
      </c>
      <c r="G1325" t="s">
        <v>18</v>
      </c>
      <c r="H1325" t="s">
        <v>21</v>
      </c>
      <c r="I1325">
        <v>4</v>
      </c>
      <c r="J1325">
        <v>4</v>
      </c>
      <c r="K1325">
        <v>10000000</v>
      </c>
      <c r="L1325" t="s">
        <v>70</v>
      </c>
      <c r="M1325" t="s">
        <v>42</v>
      </c>
      <c r="N1325" t="s">
        <v>36</v>
      </c>
      <c r="O1325" t="s">
        <v>3676</v>
      </c>
      <c r="P1325" t="s">
        <v>3677</v>
      </c>
      <c r="Q1325">
        <f t="shared" si="360"/>
        <v>2</v>
      </c>
      <c r="R1325">
        <f t="shared" si="361"/>
        <v>4</v>
      </c>
      <c r="S1325">
        <f t="shared" si="362"/>
        <v>4</v>
      </c>
      <c r="T1325">
        <f t="shared" si="363"/>
        <v>1</v>
      </c>
      <c r="U1325">
        <v>10000000</v>
      </c>
      <c r="V1325">
        <f t="shared" si="364"/>
        <v>0</v>
      </c>
      <c r="W1325">
        <f t="shared" si="365"/>
        <v>0</v>
      </c>
      <c r="X1325">
        <f t="shared" si="366"/>
        <v>0</v>
      </c>
      <c r="Y1325">
        <f t="shared" si="367"/>
        <v>1</v>
      </c>
      <c r="Z1325">
        <f t="shared" si="368"/>
        <v>0</v>
      </c>
      <c r="AA1325">
        <f t="shared" si="369"/>
        <v>0</v>
      </c>
      <c r="AB1325">
        <f t="shared" si="370"/>
        <v>1</v>
      </c>
      <c r="AC1325">
        <f t="shared" si="371"/>
        <v>0</v>
      </c>
      <c r="AD1325">
        <f t="shared" si="372"/>
        <v>0</v>
      </c>
      <c r="AE1325">
        <f t="shared" si="373"/>
        <v>0</v>
      </c>
      <c r="AF1325">
        <f t="shared" si="374"/>
        <v>0</v>
      </c>
      <c r="AG1325">
        <f t="shared" si="375"/>
        <v>0</v>
      </c>
      <c r="AH1325">
        <f t="shared" si="376"/>
        <v>0</v>
      </c>
      <c r="AI1325">
        <f t="shared" si="377"/>
        <v>1</v>
      </c>
    </row>
    <row r="1326" spans="1:35" x14ac:dyDescent="0.2">
      <c r="A1326">
        <v>542</v>
      </c>
      <c r="B1326" t="s">
        <v>749</v>
      </c>
      <c r="C1326">
        <v>4</v>
      </c>
      <c r="D1326" t="s">
        <v>3678</v>
      </c>
      <c r="E1326" t="s">
        <v>21</v>
      </c>
      <c r="F1326" t="s">
        <v>19</v>
      </c>
      <c r="G1326" t="s">
        <v>18</v>
      </c>
      <c r="H1326" t="s">
        <v>21</v>
      </c>
      <c r="I1326">
        <v>3</v>
      </c>
      <c r="J1326">
        <v>3</v>
      </c>
      <c r="K1326">
        <v>20</v>
      </c>
      <c r="L1326" t="s">
        <v>22</v>
      </c>
      <c r="M1326" t="s">
        <v>135</v>
      </c>
      <c r="N1326" t="s">
        <v>622</v>
      </c>
      <c r="O1326" t="s">
        <v>3679</v>
      </c>
      <c r="P1326" t="s">
        <v>3680</v>
      </c>
      <c r="Q1326">
        <f t="shared" si="360"/>
        <v>1</v>
      </c>
      <c r="R1326">
        <f t="shared" si="361"/>
        <v>3</v>
      </c>
      <c r="S1326">
        <f t="shared" si="362"/>
        <v>4</v>
      </c>
      <c r="T1326">
        <f t="shared" si="363"/>
        <v>1</v>
      </c>
      <c r="U1326">
        <v>20</v>
      </c>
      <c r="V1326">
        <f t="shared" si="364"/>
        <v>1</v>
      </c>
      <c r="W1326">
        <f t="shared" si="365"/>
        <v>0</v>
      </c>
      <c r="X1326">
        <f t="shared" si="366"/>
        <v>0</v>
      </c>
      <c r="Y1326">
        <f t="shared" si="367"/>
        <v>0</v>
      </c>
      <c r="Z1326">
        <f t="shared" si="368"/>
        <v>0</v>
      </c>
      <c r="AA1326">
        <f t="shared" si="369"/>
        <v>1</v>
      </c>
      <c r="AB1326">
        <f t="shared" si="370"/>
        <v>1</v>
      </c>
      <c r="AC1326">
        <f t="shared" si="371"/>
        <v>0</v>
      </c>
      <c r="AD1326">
        <f t="shared" si="372"/>
        <v>0</v>
      </c>
      <c r="AE1326">
        <f t="shared" si="373"/>
        <v>0</v>
      </c>
      <c r="AF1326">
        <f t="shared" si="374"/>
        <v>0</v>
      </c>
      <c r="AG1326">
        <f t="shared" si="375"/>
        <v>1</v>
      </c>
      <c r="AH1326">
        <f t="shared" si="376"/>
        <v>0</v>
      </c>
      <c r="AI1326">
        <f t="shared" si="377"/>
        <v>1</v>
      </c>
    </row>
    <row r="1327" spans="1:35" x14ac:dyDescent="0.2">
      <c r="A1327">
        <v>543</v>
      </c>
      <c r="B1327" t="s">
        <v>749</v>
      </c>
      <c r="C1327">
        <v>7</v>
      </c>
      <c r="D1327" t="s">
        <v>3681</v>
      </c>
      <c r="E1327" t="s">
        <v>18</v>
      </c>
      <c r="F1327" t="s">
        <v>19</v>
      </c>
      <c r="G1327" t="s">
        <v>20</v>
      </c>
      <c r="H1327" t="s">
        <v>20</v>
      </c>
      <c r="I1327">
        <v>5</v>
      </c>
      <c r="J1327">
        <v>10</v>
      </c>
      <c r="K1327">
        <v>50</v>
      </c>
      <c r="L1327" t="s">
        <v>194</v>
      </c>
      <c r="M1327" t="s">
        <v>161</v>
      </c>
      <c r="N1327" t="s">
        <v>43</v>
      </c>
      <c r="O1327" t="s">
        <v>590</v>
      </c>
      <c r="P1327" t="s">
        <v>3682</v>
      </c>
      <c r="Q1327">
        <f t="shared" si="360"/>
        <v>4</v>
      </c>
      <c r="R1327">
        <f t="shared" si="361"/>
        <v>3</v>
      </c>
      <c r="S1327">
        <f t="shared" si="362"/>
        <v>2</v>
      </c>
      <c r="T1327">
        <f t="shared" si="363"/>
        <v>2</v>
      </c>
      <c r="U1327">
        <v>50</v>
      </c>
      <c r="V1327">
        <f t="shared" si="364"/>
        <v>0</v>
      </c>
      <c r="W1327">
        <f t="shared" si="365"/>
        <v>0</v>
      </c>
      <c r="X1327">
        <f t="shared" si="366"/>
        <v>0</v>
      </c>
      <c r="Y1327">
        <f t="shared" si="367"/>
        <v>1</v>
      </c>
      <c r="Z1327">
        <f t="shared" si="368"/>
        <v>1</v>
      </c>
      <c r="AA1327">
        <f t="shared" si="369"/>
        <v>1</v>
      </c>
      <c r="AB1327">
        <f t="shared" si="370"/>
        <v>1</v>
      </c>
      <c r="AC1327">
        <f t="shared" si="371"/>
        <v>1</v>
      </c>
      <c r="AD1327">
        <f t="shared" si="372"/>
        <v>1</v>
      </c>
      <c r="AE1327">
        <f t="shared" si="373"/>
        <v>0</v>
      </c>
      <c r="AF1327">
        <f t="shared" si="374"/>
        <v>1</v>
      </c>
      <c r="AG1327">
        <f t="shared" si="375"/>
        <v>1</v>
      </c>
      <c r="AH1327">
        <f t="shared" si="376"/>
        <v>0</v>
      </c>
      <c r="AI1327">
        <f t="shared" si="377"/>
        <v>0</v>
      </c>
    </row>
    <row r="1328" spans="1:35" x14ac:dyDescent="0.2">
      <c r="A1328">
        <v>544</v>
      </c>
      <c r="B1328" t="s">
        <v>749</v>
      </c>
      <c r="C1328">
        <v>10</v>
      </c>
      <c r="D1328" t="s">
        <v>3683</v>
      </c>
      <c r="E1328" t="s">
        <v>19</v>
      </c>
      <c r="F1328" t="s">
        <v>39</v>
      </c>
      <c r="G1328" t="s">
        <v>39</v>
      </c>
      <c r="H1328" t="s">
        <v>19</v>
      </c>
      <c r="I1328">
        <v>5</v>
      </c>
      <c r="J1328">
        <v>14</v>
      </c>
      <c r="K1328">
        <v>1000000000</v>
      </c>
      <c r="L1328" t="s">
        <v>41</v>
      </c>
      <c r="M1328" t="s">
        <v>468</v>
      </c>
      <c r="N1328" t="s">
        <v>49</v>
      </c>
      <c r="O1328" t="s">
        <v>3684</v>
      </c>
      <c r="P1328" t="s">
        <v>3685</v>
      </c>
      <c r="Q1328">
        <f t="shared" si="360"/>
        <v>3</v>
      </c>
      <c r="R1328">
        <f t="shared" si="361"/>
        <v>5</v>
      </c>
      <c r="S1328">
        <f t="shared" si="362"/>
        <v>5</v>
      </c>
      <c r="T1328">
        <f t="shared" si="363"/>
        <v>3</v>
      </c>
      <c r="U1328">
        <v>1000000000</v>
      </c>
      <c r="V1328">
        <f t="shared" si="364"/>
        <v>0</v>
      </c>
      <c r="W1328">
        <f t="shared" si="365"/>
        <v>0</v>
      </c>
      <c r="X1328">
        <f t="shared" si="366"/>
        <v>0</v>
      </c>
      <c r="Y1328">
        <f t="shared" si="367"/>
        <v>0</v>
      </c>
      <c r="Z1328">
        <f t="shared" si="368"/>
        <v>1</v>
      </c>
      <c r="AA1328">
        <f t="shared" si="369"/>
        <v>1</v>
      </c>
      <c r="AB1328">
        <f t="shared" si="370"/>
        <v>1</v>
      </c>
      <c r="AC1328">
        <f t="shared" si="371"/>
        <v>1</v>
      </c>
      <c r="AD1328">
        <f t="shared" si="372"/>
        <v>1</v>
      </c>
      <c r="AE1328">
        <f t="shared" si="373"/>
        <v>1</v>
      </c>
      <c r="AF1328">
        <f t="shared" si="374"/>
        <v>0</v>
      </c>
      <c r="AG1328">
        <f t="shared" si="375"/>
        <v>1</v>
      </c>
      <c r="AH1328">
        <f t="shared" si="376"/>
        <v>1</v>
      </c>
      <c r="AI1328">
        <f t="shared" si="377"/>
        <v>0</v>
      </c>
    </row>
    <row r="1329" spans="1:35" x14ac:dyDescent="0.2">
      <c r="A1329">
        <v>545</v>
      </c>
      <c r="B1329" t="s">
        <v>749</v>
      </c>
      <c r="C1329">
        <v>6</v>
      </c>
      <c r="D1329" t="s">
        <v>3686</v>
      </c>
      <c r="E1329" t="s">
        <v>20</v>
      </c>
      <c r="F1329" t="s">
        <v>39</v>
      </c>
      <c r="G1329" t="s">
        <v>18</v>
      </c>
      <c r="H1329" t="s">
        <v>19</v>
      </c>
      <c r="I1329">
        <v>3</v>
      </c>
      <c r="J1329">
        <v>3</v>
      </c>
      <c r="K1329">
        <v>100</v>
      </c>
      <c r="L1329" t="s">
        <v>194</v>
      </c>
      <c r="M1329" t="s">
        <v>23</v>
      </c>
      <c r="N1329" t="s">
        <v>43</v>
      </c>
      <c r="O1329" t="s">
        <v>1102</v>
      </c>
      <c r="P1329" t="s">
        <v>3687</v>
      </c>
      <c r="Q1329">
        <f t="shared" si="360"/>
        <v>2</v>
      </c>
      <c r="R1329">
        <f t="shared" si="361"/>
        <v>5</v>
      </c>
      <c r="S1329">
        <f t="shared" si="362"/>
        <v>4</v>
      </c>
      <c r="T1329">
        <f t="shared" si="363"/>
        <v>3</v>
      </c>
      <c r="U1329">
        <v>100</v>
      </c>
      <c r="V1329">
        <f t="shared" si="364"/>
        <v>0</v>
      </c>
      <c r="W1329">
        <f t="shared" si="365"/>
        <v>0</v>
      </c>
      <c r="X1329">
        <f t="shared" si="366"/>
        <v>0</v>
      </c>
      <c r="Y1329">
        <f t="shared" si="367"/>
        <v>1</v>
      </c>
      <c r="Z1329">
        <f t="shared" si="368"/>
        <v>1</v>
      </c>
      <c r="AA1329">
        <f t="shared" si="369"/>
        <v>1</v>
      </c>
      <c r="AB1329">
        <f t="shared" si="370"/>
        <v>0</v>
      </c>
      <c r="AC1329">
        <f t="shared" si="371"/>
        <v>0</v>
      </c>
      <c r="AD1329">
        <f t="shared" si="372"/>
        <v>0</v>
      </c>
      <c r="AE1329">
        <f t="shared" si="373"/>
        <v>0</v>
      </c>
      <c r="AF1329">
        <f t="shared" si="374"/>
        <v>1</v>
      </c>
      <c r="AG1329">
        <f t="shared" si="375"/>
        <v>1</v>
      </c>
      <c r="AH1329">
        <f t="shared" si="376"/>
        <v>0</v>
      </c>
      <c r="AI1329">
        <f t="shared" si="377"/>
        <v>0</v>
      </c>
    </row>
    <row r="1330" spans="1:35" x14ac:dyDescent="0.2">
      <c r="A1330">
        <v>546</v>
      </c>
      <c r="B1330" t="s">
        <v>749</v>
      </c>
      <c r="C1330">
        <v>6</v>
      </c>
      <c r="D1330" t="s">
        <v>3688</v>
      </c>
      <c r="E1330" t="s">
        <v>21</v>
      </c>
      <c r="F1330" t="s">
        <v>18</v>
      </c>
      <c r="G1330" t="s">
        <v>18</v>
      </c>
      <c r="H1330" t="s">
        <v>21</v>
      </c>
      <c r="I1330">
        <v>3</v>
      </c>
      <c r="J1330">
        <v>3</v>
      </c>
      <c r="K1330">
        <v>600</v>
      </c>
      <c r="L1330" t="s">
        <v>194</v>
      </c>
      <c r="M1330" t="s">
        <v>48</v>
      </c>
      <c r="N1330" t="s">
        <v>36</v>
      </c>
      <c r="O1330" t="s">
        <v>590</v>
      </c>
      <c r="P1330" t="s">
        <v>3689</v>
      </c>
      <c r="Q1330">
        <f t="shared" si="360"/>
        <v>1</v>
      </c>
      <c r="R1330">
        <f t="shared" si="361"/>
        <v>4</v>
      </c>
      <c r="S1330">
        <f t="shared" si="362"/>
        <v>4</v>
      </c>
      <c r="T1330">
        <f t="shared" si="363"/>
        <v>1</v>
      </c>
      <c r="U1330">
        <v>600</v>
      </c>
      <c r="V1330">
        <f t="shared" si="364"/>
        <v>0</v>
      </c>
      <c r="W1330">
        <f t="shared" si="365"/>
        <v>0</v>
      </c>
      <c r="X1330">
        <f t="shared" si="366"/>
        <v>0</v>
      </c>
      <c r="Y1330">
        <f t="shared" si="367"/>
        <v>1</v>
      </c>
      <c r="Z1330">
        <f t="shared" si="368"/>
        <v>1</v>
      </c>
      <c r="AA1330">
        <f t="shared" si="369"/>
        <v>1</v>
      </c>
      <c r="AB1330">
        <f t="shared" si="370"/>
        <v>1</v>
      </c>
      <c r="AC1330">
        <f t="shared" si="371"/>
        <v>1</v>
      </c>
      <c r="AD1330">
        <f t="shared" si="372"/>
        <v>0</v>
      </c>
      <c r="AE1330">
        <f t="shared" si="373"/>
        <v>0</v>
      </c>
      <c r="AF1330">
        <f t="shared" si="374"/>
        <v>0</v>
      </c>
      <c r="AG1330">
        <f t="shared" si="375"/>
        <v>0</v>
      </c>
      <c r="AH1330">
        <f t="shared" si="376"/>
        <v>0</v>
      </c>
      <c r="AI1330">
        <f t="shared" si="377"/>
        <v>1</v>
      </c>
    </row>
    <row r="1331" spans="1:35" x14ac:dyDescent="0.2">
      <c r="A1331">
        <v>547</v>
      </c>
      <c r="B1331" t="s">
        <v>749</v>
      </c>
      <c r="C1331">
        <v>4</v>
      </c>
      <c r="D1331" t="s">
        <v>3690</v>
      </c>
      <c r="E1331" t="s">
        <v>20</v>
      </c>
      <c r="F1331" t="s">
        <v>39</v>
      </c>
      <c r="G1331" t="s">
        <v>39</v>
      </c>
      <c r="H1331" t="s">
        <v>21</v>
      </c>
      <c r="I1331">
        <v>4</v>
      </c>
      <c r="J1331">
        <v>5</v>
      </c>
      <c r="K1331" t="s">
        <v>3691</v>
      </c>
      <c r="L1331" t="s">
        <v>70</v>
      </c>
      <c r="M1331" t="s">
        <v>23</v>
      </c>
      <c r="N1331" t="s">
        <v>36</v>
      </c>
      <c r="O1331" t="s">
        <v>3692</v>
      </c>
      <c r="P1331" t="s">
        <v>3693</v>
      </c>
      <c r="Q1331">
        <f t="shared" si="360"/>
        <v>2</v>
      </c>
      <c r="R1331">
        <f t="shared" si="361"/>
        <v>5</v>
      </c>
      <c r="S1331">
        <f t="shared" si="362"/>
        <v>5</v>
      </c>
      <c r="T1331">
        <f t="shared" si="363"/>
        <v>1</v>
      </c>
      <c r="U1331">
        <v>50</v>
      </c>
      <c r="V1331">
        <f t="shared" si="364"/>
        <v>0</v>
      </c>
      <c r="W1331">
        <f t="shared" si="365"/>
        <v>0</v>
      </c>
      <c r="X1331">
        <f t="shared" si="366"/>
        <v>0</v>
      </c>
      <c r="Y1331">
        <f t="shared" si="367"/>
        <v>1</v>
      </c>
      <c r="Z1331">
        <f t="shared" si="368"/>
        <v>0</v>
      </c>
      <c r="AA1331">
        <f t="shared" si="369"/>
        <v>1</v>
      </c>
      <c r="AB1331">
        <f t="shared" si="370"/>
        <v>0</v>
      </c>
      <c r="AC1331">
        <f t="shared" si="371"/>
        <v>0</v>
      </c>
      <c r="AD1331">
        <f t="shared" si="372"/>
        <v>0</v>
      </c>
      <c r="AE1331">
        <f t="shared" si="373"/>
        <v>0</v>
      </c>
      <c r="AF1331">
        <f t="shared" si="374"/>
        <v>0</v>
      </c>
      <c r="AG1331">
        <f t="shared" si="375"/>
        <v>0</v>
      </c>
      <c r="AH1331">
        <f t="shared" si="376"/>
        <v>0</v>
      </c>
      <c r="AI1331">
        <f t="shared" si="377"/>
        <v>1</v>
      </c>
    </row>
    <row r="1332" spans="1:35" x14ac:dyDescent="0.2">
      <c r="A1332">
        <v>548</v>
      </c>
      <c r="B1332" t="s">
        <v>749</v>
      </c>
      <c r="C1332">
        <v>6</v>
      </c>
      <c r="D1332" t="s">
        <v>3694</v>
      </c>
      <c r="E1332" t="s">
        <v>20</v>
      </c>
      <c r="F1332" t="s">
        <v>18</v>
      </c>
      <c r="G1332" t="s">
        <v>18</v>
      </c>
      <c r="H1332" t="s">
        <v>20</v>
      </c>
      <c r="I1332">
        <v>4</v>
      </c>
      <c r="J1332">
        <v>4</v>
      </c>
      <c r="K1332">
        <v>14.99</v>
      </c>
      <c r="L1332" t="s">
        <v>601</v>
      </c>
      <c r="M1332" t="s">
        <v>123</v>
      </c>
      <c r="N1332" t="s">
        <v>147</v>
      </c>
      <c r="O1332" t="s">
        <v>3695</v>
      </c>
      <c r="P1332" t="s">
        <v>3696</v>
      </c>
      <c r="Q1332">
        <f t="shared" si="360"/>
        <v>2</v>
      </c>
      <c r="R1332">
        <f t="shared" si="361"/>
        <v>4</v>
      </c>
      <c r="S1332">
        <f t="shared" si="362"/>
        <v>4</v>
      </c>
      <c r="T1332">
        <f t="shared" si="363"/>
        <v>2</v>
      </c>
      <c r="U1332">
        <v>14.99</v>
      </c>
      <c r="V1332">
        <f t="shared" si="364"/>
        <v>0</v>
      </c>
      <c r="W1332">
        <f t="shared" si="365"/>
        <v>1</v>
      </c>
      <c r="X1332">
        <f t="shared" si="366"/>
        <v>0</v>
      </c>
      <c r="Y1332">
        <f t="shared" si="367"/>
        <v>1</v>
      </c>
      <c r="Z1332">
        <f t="shared" si="368"/>
        <v>1</v>
      </c>
      <c r="AA1332">
        <f t="shared" si="369"/>
        <v>0</v>
      </c>
      <c r="AB1332">
        <f t="shared" si="370"/>
        <v>1</v>
      </c>
      <c r="AC1332">
        <f t="shared" si="371"/>
        <v>1</v>
      </c>
      <c r="AD1332">
        <f t="shared" si="372"/>
        <v>0</v>
      </c>
      <c r="AE1332">
        <f t="shared" si="373"/>
        <v>0</v>
      </c>
      <c r="AF1332">
        <f t="shared" si="374"/>
        <v>0</v>
      </c>
      <c r="AG1332">
        <f t="shared" si="375"/>
        <v>0</v>
      </c>
      <c r="AH1332">
        <f t="shared" si="376"/>
        <v>1</v>
      </c>
      <c r="AI1332">
        <f t="shared" si="377"/>
        <v>1</v>
      </c>
    </row>
    <row r="1333" spans="1:35" x14ac:dyDescent="0.2">
      <c r="A1333">
        <v>549</v>
      </c>
      <c r="B1333" t="s">
        <v>749</v>
      </c>
      <c r="C1333">
        <v>5</v>
      </c>
      <c r="D1333" t="s">
        <v>3697</v>
      </c>
      <c r="E1333" t="s">
        <v>18</v>
      </c>
      <c r="F1333" t="s">
        <v>20</v>
      </c>
      <c r="G1333" t="s">
        <v>20</v>
      </c>
      <c r="H1333" t="s">
        <v>18</v>
      </c>
      <c r="I1333">
        <v>2</v>
      </c>
      <c r="J1333">
        <v>3</v>
      </c>
      <c r="K1333">
        <v>-100</v>
      </c>
      <c r="L1333" t="s">
        <v>22</v>
      </c>
      <c r="M1333" t="s">
        <v>80</v>
      </c>
      <c r="N1333" t="s">
        <v>147</v>
      </c>
      <c r="O1333" t="s">
        <v>817</v>
      </c>
      <c r="P1333" t="s">
        <v>3698</v>
      </c>
      <c r="Q1333">
        <f t="shared" si="360"/>
        <v>4</v>
      </c>
      <c r="R1333">
        <f t="shared" si="361"/>
        <v>2</v>
      </c>
      <c r="S1333">
        <f t="shared" si="362"/>
        <v>2</v>
      </c>
      <c r="T1333">
        <f t="shared" si="363"/>
        <v>4</v>
      </c>
      <c r="U1333">
        <v>-100</v>
      </c>
      <c r="V1333">
        <f t="shared" si="364"/>
        <v>1</v>
      </c>
      <c r="W1333">
        <f t="shared" si="365"/>
        <v>0</v>
      </c>
      <c r="X1333">
        <f t="shared" si="366"/>
        <v>0</v>
      </c>
      <c r="Y1333">
        <f t="shared" si="367"/>
        <v>0</v>
      </c>
      <c r="Z1333">
        <f t="shared" si="368"/>
        <v>0</v>
      </c>
      <c r="AA1333">
        <f t="shared" si="369"/>
        <v>1</v>
      </c>
      <c r="AB1333">
        <f t="shared" si="370"/>
        <v>1</v>
      </c>
      <c r="AC1333">
        <f t="shared" si="371"/>
        <v>0</v>
      </c>
      <c r="AD1333">
        <f t="shared" si="372"/>
        <v>0</v>
      </c>
      <c r="AE1333">
        <f t="shared" si="373"/>
        <v>1</v>
      </c>
      <c r="AF1333">
        <f t="shared" si="374"/>
        <v>0</v>
      </c>
      <c r="AG1333">
        <f t="shared" si="375"/>
        <v>0</v>
      </c>
      <c r="AH1333">
        <f t="shared" si="376"/>
        <v>1</v>
      </c>
      <c r="AI1333">
        <f t="shared" si="377"/>
        <v>1</v>
      </c>
    </row>
    <row r="1334" spans="1:35" x14ac:dyDescent="0.2">
      <c r="A1334">
        <v>550</v>
      </c>
      <c r="B1334" t="s">
        <v>749</v>
      </c>
      <c r="C1334">
        <v>7</v>
      </c>
      <c r="D1334" t="s">
        <v>3699</v>
      </c>
      <c r="E1334" t="s">
        <v>20</v>
      </c>
      <c r="F1334" t="s">
        <v>20</v>
      </c>
      <c r="G1334" t="s">
        <v>18</v>
      </c>
      <c r="H1334" t="s">
        <v>18</v>
      </c>
      <c r="I1334">
        <v>3</v>
      </c>
      <c r="J1334">
        <v>2</v>
      </c>
      <c r="K1334">
        <v>67</v>
      </c>
      <c r="L1334" t="s">
        <v>22</v>
      </c>
      <c r="M1334" t="s">
        <v>23</v>
      </c>
      <c r="N1334" t="s">
        <v>84</v>
      </c>
      <c r="O1334" t="s">
        <v>3700</v>
      </c>
      <c r="P1334" t="s">
        <v>3701</v>
      </c>
      <c r="Q1334">
        <f t="shared" si="360"/>
        <v>2</v>
      </c>
      <c r="R1334">
        <f t="shared" si="361"/>
        <v>2</v>
      </c>
      <c r="S1334">
        <f t="shared" si="362"/>
        <v>4</v>
      </c>
      <c r="T1334">
        <f t="shared" si="363"/>
        <v>4</v>
      </c>
      <c r="U1334">
        <v>67</v>
      </c>
      <c r="V1334">
        <f t="shared" si="364"/>
        <v>1</v>
      </c>
      <c r="W1334">
        <f t="shared" si="365"/>
        <v>0</v>
      </c>
      <c r="X1334">
        <f t="shared" si="366"/>
        <v>0</v>
      </c>
      <c r="Y1334">
        <f t="shared" si="367"/>
        <v>0</v>
      </c>
      <c r="Z1334">
        <f t="shared" si="368"/>
        <v>0</v>
      </c>
      <c r="AA1334">
        <f t="shared" si="369"/>
        <v>1</v>
      </c>
      <c r="AB1334">
        <f t="shared" si="370"/>
        <v>0</v>
      </c>
      <c r="AC1334">
        <f t="shared" si="371"/>
        <v>0</v>
      </c>
      <c r="AD1334">
        <f t="shared" si="372"/>
        <v>0</v>
      </c>
      <c r="AE1334">
        <f t="shared" si="373"/>
        <v>0</v>
      </c>
      <c r="AF1334">
        <f t="shared" si="374"/>
        <v>0</v>
      </c>
      <c r="AG1334">
        <f t="shared" si="375"/>
        <v>1</v>
      </c>
      <c r="AH1334">
        <f t="shared" si="376"/>
        <v>0</v>
      </c>
      <c r="AI1334">
        <f t="shared" si="377"/>
        <v>0</v>
      </c>
    </row>
    <row r="1335" spans="1:35" x14ac:dyDescent="0.2">
      <c r="A1335">
        <v>551</v>
      </c>
      <c r="B1335" t="s">
        <v>749</v>
      </c>
      <c r="C1335">
        <v>5</v>
      </c>
      <c r="D1335" t="s">
        <v>3702</v>
      </c>
      <c r="E1335" t="s">
        <v>18</v>
      </c>
      <c r="F1335" t="s">
        <v>18</v>
      </c>
      <c r="G1335" t="s">
        <v>39</v>
      </c>
      <c r="H1335" t="s">
        <v>18</v>
      </c>
      <c r="I1335">
        <v>3</v>
      </c>
      <c r="J1335">
        <v>4</v>
      </c>
      <c r="K1335">
        <v>0</v>
      </c>
      <c r="L1335" t="s">
        <v>494</v>
      </c>
      <c r="M1335" t="s">
        <v>48</v>
      </c>
      <c r="N1335" t="s">
        <v>36</v>
      </c>
      <c r="O1335" t="s">
        <v>3703</v>
      </c>
      <c r="P1335" t="s">
        <v>3704</v>
      </c>
      <c r="Q1335">
        <f t="shared" si="360"/>
        <v>4</v>
      </c>
      <c r="R1335">
        <f t="shared" si="361"/>
        <v>4</v>
      </c>
      <c r="S1335">
        <f t="shared" si="362"/>
        <v>5</v>
      </c>
      <c r="T1335">
        <f t="shared" si="363"/>
        <v>4</v>
      </c>
      <c r="U1335">
        <v>0</v>
      </c>
      <c r="V1335">
        <f t="shared" si="364"/>
        <v>0</v>
      </c>
      <c r="W1335">
        <f t="shared" si="365"/>
        <v>1</v>
      </c>
      <c r="X1335">
        <f t="shared" si="366"/>
        <v>1</v>
      </c>
      <c r="Y1335">
        <f t="shared" si="367"/>
        <v>1</v>
      </c>
      <c r="Z1335">
        <f t="shared" si="368"/>
        <v>1</v>
      </c>
      <c r="AA1335">
        <f t="shared" si="369"/>
        <v>1</v>
      </c>
      <c r="AB1335">
        <f t="shared" si="370"/>
        <v>1</v>
      </c>
      <c r="AC1335">
        <f t="shared" si="371"/>
        <v>1</v>
      </c>
      <c r="AD1335">
        <f t="shared" si="372"/>
        <v>0</v>
      </c>
      <c r="AE1335">
        <f t="shared" si="373"/>
        <v>0</v>
      </c>
      <c r="AF1335">
        <f t="shared" si="374"/>
        <v>0</v>
      </c>
      <c r="AG1335">
        <f t="shared" si="375"/>
        <v>0</v>
      </c>
      <c r="AH1335">
        <f t="shared" si="376"/>
        <v>0</v>
      </c>
      <c r="AI1335">
        <f t="shared" si="377"/>
        <v>1</v>
      </c>
    </row>
    <row r="1336" spans="1:35" x14ac:dyDescent="0.2">
      <c r="A1336">
        <v>552</v>
      </c>
      <c r="B1336" t="s">
        <v>749</v>
      </c>
      <c r="C1336">
        <v>7</v>
      </c>
      <c r="D1336" t="s">
        <v>3705</v>
      </c>
      <c r="E1336" t="s">
        <v>21</v>
      </c>
      <c r="F1336" t="s">
        <v>39</v>
      </c>
      <c r="G1336" t="s">
        <v>39</v>
      </c>
      <c r="H1336" t="s">
        <v>20</v>
      </c>
      <c r="I1336">
        <v>3</v>
      </c>
      <c r="J1336">
        <v>4</v>
      </c>
      <c r="K1336">
        <v>100</v>
      </c>
      <c r="L1336" t="s">
        <v>70</v>
      </c>
      <c r="M1336" t="s">
        <v>23</v>
      </c>
      <c r="N1336" t="s">
        <v>24</v>
      </c>
      <c r="O1336" t="s">
        <v>3706</v>
      </c>
      <c r="P1336" t="s">
        <v>3707</v>
      </c>
      <c r="Q1336">
        <f t="shared" si="360"/>
        <v>1</v>
      </c>
      <c r="R1336">
        <f t="shared" si="361"/>
        <v>5</v>
      </c>
      <c r="S1336">
        <f t="shared" si="362"/>
        <v>5</v>
      </c>
      <c r="T1336">
        <f t="shared" si="363"/>
        <v>2</v>
      </c>
      <c r="U1336">
        <v>100</v>
      </c>
      <c r="V1336">
        <f t="shared" si="364"/>
        <v>0</v>
      </c>
      <c r="W1336">
        <f t="shared" si="365"/>
        <v>0</v>
      </c>
      <c r="X1336">
        <f t="shared" si="366"/>
        <v>0</v>
      </c>
      <c r="Y1336">
        <f t="shared" si="367"/>
        <v>1</v>
      </c>
      <c r="Z1336">
        <f t="shared" si="368"/>
        <v>0</v>
      </c>
      <c r="AA1336">
        <f t="shared" si="369"/>
        <v>1</v>
      </c>
      <c r="AB1336">
        <f t="shared" si="370"/>
        <v>0</v>
      </c>
      <c r="AC1336">
        <f t="shared" si="371"/>
        <v>0</v>
      </c>
      <c r="AD1336">
        <f t="shared" si="372"/>
        <v>0</v>
      </c>
      <c r="AE1336">
        <f t="shared" si="373"/>
        <v>0</v>
      </c>
      <c r="AF1336">
        <f t="shared" si="374"/>
        <v>0</v>
      </c>
      <c r="AG1336">
        <f t="shared" si="375"/>
        <v>0</v>
      </c>
      <c r="AH1336">
        <f t="shared" si="376"/>
        <v>1</v>
      </c>
      <c r="AI1336">
        <f t="shared" si="377"/>
        <v>0</v>
      </c>
    </row>
    <row r="1337" spans="1:35" x14ac:dyDescent="0.2">
      <c r="A1337">
        <v>553</v>
      </c>
      <c r="B1337" t="s">
        <v>749</v>
      </c>
      <c r="C1337">
        <v>2</v>
      </c>
      <c r="D1337" t="s">
        <v>3708</v>
      </c>
      <c r="E1337" t="s">
        <v>20</v>
      </c>
      <c r="F1337" t="s">
        <v>19</v>
      </c>
      <c r="G1337" t="s">
        <v>39</v>
      </c>
      <c r="H1337" t="s">
        <v>21</v>
      </c>
      <c r="I1337">
        <v>2</v>
      </c>
      <c r="J1337">
        <v>2</v>
      </c>
      <c r="K1337">
        <v>200000</v>
      </c>
      <c r="L1337" t="s">
        <v>98</v>
      </c>
      <c r="M1337" t="s">
        <v>115</v>
      </c>
      <c r="N1337" t="s">
        <v>84</v>
      </c>
      <c r="O1337" t="s">
        <v>3709</v>
      </c>
      <c r="P1337" t="s">
        <v>3710</v>
      </c>
      <c r="Q1337">
        <f t="shared" si="360"/>
        <v>2</v>
      </c>
      <c r="R1337">
        <f t="shared" si="361"/>
        <v>3</v>
      </c>
      <c r="S1337">
        <f t="shared" si="362"/>
        <v>5</v>
      </c>
      <c r="T1337">
        <f t="shared" si="363"/>
        <v>1</v>
      </c>
      <c r="U1337">
        <v>200000</v>
      </c>
      <c r="V1337">
        <f t="shared" si="364"/>
        <v>0</v>
      </c>
      <c r="W1337">
        <f t="shared" si="365"/>
        <v>1</v>
      </c>
      <c r="X1337">
        <f t="shared" si="366"/>
        <v>0</v>
      </c>
      <c r="Y1337">
        <f t="shared" si="367"/>
        <v>0</v>
      </c>
      <c r="Z1337">
        <f t="shared" si="368"/>
        <v>0</v>
      </c>
      <c r="AA1337">
        <f t="shared" si="369"/>
        <v>0</v>
      </c>
      <c r="AB1337">
        <f t="shared" si="370"/>
        <v>0</v>
      </c>
      <c r="AC1337">
        <f t="shared" si="371"/>
        <v>1</v>
      </c>
      <c r="AD1337">
        <f t="shared" si="372"/>
        <v>0</v>
      </c>
      <c r="AE1337">
        <f t="shared" si="373"/>
        <v>0</v>
      </c>
      <c r="AF1337">
        <f t="shared" si="374"/>
        <v>0</v>
      </c>
      <c r="AG1337">
        <f t="shared" si="375"/>
        <v>1</v>
      </c>
      <c r="AH1337">
        <f t="shared" si="376"/>
        <v>0</v>
      </c>
      <c r="AI1337">
        <f t="shared" si="377"/>
        <v>0</v>
      </c>
    </row>
    <row r="1338" spans="1:35" x14ac:dyDescent="0.2">
      <c r="A1338">
        <v>554</v>
      </c>
      <c r="B1338" t="s">
        <v>749</v>
      </c>
      <c r="C1338">
        <v>2</v>
      </c>
      <c r="D1338" t="s">
        <v>3711</v>
      </c>
      <c r="E1338" t="s">
        <v>19</v>
      </c>
      <c r="F1338" t="s">
        <v>18</v>
      </c>
      <c r="G1338" t="s">
        <v>39</v>
      </c>
      <c r="H1338" t="s">
        <v>20</v>
      </c>
      <c r="I1338">
        <v>4</v>
      </c>
      <c r="J1338">
        <v>5</v>
      </c>
      <c r="K1338">
        <v>500</v>
      </c>
      <c r="L1338" t="s">
        <v>776</v>
      </c>
      <c r="M1338" t="s">
        <v>80</v>
      </c>
      <c r="N1338" t="s">
        <v>622</v>
      </c>
      <c r="O1338" t="s">
        <v>3712</v>
      </c>
      <c r="P1338" t="s">
        <v>3713</v>
      </c>
      <c r="Q1338">
        <f t="shared" si="360"/>
        <v>3</v>
      </c>
      <c r="R1338">
        <f t="shared" si="361"/>
        <v>4</v>
      </c>
      <c r="S1338">
        <f t="shared" si="362"/>
        <v>5</v>
      </c>
      <c r="T1338">
        <f t="shared" si="363"/>
        <v>2</v>
      </c>
      <c r="U1338">
        <v>500</v>
      </c>
      <c r="V1338">
        <f t="shared" si="364"/>
        <v>0</v>
      </c>
      <c r="W1338">
        <f t="shared" si="365"/>
        <v>1</v>
      </c>
      <c r="X1338">
        <f t="shared" si="366"/>
        <v>0</v>
      </c>
      <c r="Y1338">
        <f t="shared" si="367"/>
        <v>1</v>
      </c>
      <c r="Z1338">
        <f t="shared" si="368"/>
        <v>0</v>
      </c>
      <c r="AA1338">
        <f t="shared" si="369"/>
        <v>1</v>
      </c>
      <c r="AB1338">
        <f t="shared" si="370"/>
        <v>1</v>
      </c>
      <c r="AC1338">
        <f t="shared" si="371"/>
        <v>0</v>
      </c>
      <c r="AD1338">
        <f t="shared" si="372"/>
        <v>0</v>
      </c>
      <c r="AE1338">
        <f t="shared" si="373"/>
        <v>1</v>
      </c>
      <c r="AF1338">
        <f t="shared" si="374"/>
        <v>0</v>
      </c>
      <c r="AG1338">
        <f t="shared" si="375"/>
        <v>1</v>
      </c>
      <c r="AH1338">
        <f t="shared" si="376"/>
        <v>0</v>
      </c>
      <c r="AI1338">
        <f t="shared" si="377"/>
        <v>1</v>
      </c>
    </row>
    <row r="1339" spans="1:35" x14ac:dyDescent="0.2">
      <c r="A1339">
        <v>555</v>
      </c>
      <c r="B1339" t="s">
        <v>749</v>
      </c>
      <c r="C1339">
        <v>7</v>
      </c>
      <c r="D1339" t="s">
        <v>3714</v>
      </c>
      <c r="E1339" t="s">
        <v>39</v>
      </c>
      <c r="F1339" t="s">
        <v>18</v>
      </c>
      <c r="G1339" t="s">
        <v>39</v>
      </c>
      <c r="H1339" t="s">
        <v>21</v>
      </c>
      <c r="I1339">
        <v>3</v>
      </c>
      <c r="J1339">
        <v>3</v>
      </c>
      <c r="K1339" s="1">
        <v>250</v>
      </c>
      <c r="L1339" t="s">
        <v>714</v>
      </c>
      <c r="M1339" t="s">
        <v>35</v>
      </c>
      <c r="N1339" t="s">
        <v>84</v>
      </c>
      <c r="O1339" t="s">
        <v>3715</v>
      </c>
      <c r="P1339" t="s">
        <v>3716</v>
      </c>
      <c r="Q1339">
        <f t="shared" si="360"/>
        <v>5</v>
      </c>
      <c r="R1339">
        <f t="shared" si="361"/>
        <v>4</v>
      </c>
      <c r="S1339">
        <f t="shared" si="362"/>
        <v>5</v>
      </c>
      <c r="T1339">
        <f t="shared" si="363"/>
        <v>1</v>
      </c>
      <c r="U1339">
        <v>250</v>
      </c>
      <c r="V1339">
        <f t="shared" si="364"/>
        <v>0</v>
      </c>
      <c r="W1339">
        <f t="shared" si="365"/>
        <v>0</v>
      </c>
      <c r="X1339">
        <f t="shared" si="366"/>
        <v>1</v>
      </c>
      <c r="Y1339">
        <f t="shared" si="367"/>
        <v>1</v>
      </c>
      <c r="Z1339">
        <f t="shared" si="368"/>
        <v>1</v>
      </c>
      <c r="AA1339">
        <f t="shared" si="369"/>
        <v>0</v>
      </c>
      <c r="AB1339">
        <f t="shared" si="370"/>
        <v>0</v>
      </c>
      <c r="AC1339">
        <f t="shared" si="371"/>
        <v>0</v>
      </c>
      <c r="AD1339">
        <f t="shared" si="372"/>
        <v>1</v>
      </c>
      <c r="AE1339">
        <f t="shared" si="373"/>
        <v>0</v>
      </c>
      <c r="AF1339">
        <f t="shared" si="374"/>
        <v>0</v>
      </c>
      <c r="AG1339">
        <f t="shared" si="375"/>
        <v>1</v>
      </c>
      <c r="AH1339">
        <f t="shared" si="376"/>
        <v>0</v>
      </c>
      <c r="AI1339">
        <f t="shared" si="377"/>
        <v>0</v>
      </c>
    </row>
    <row r="1340" spans="1:35" x14ac:dyDescent="0.2">
      <c r="A1340">
        <v>556</v>
      </c>
      <c r="B1340" t="s">
        <v>749</v>
      </c>
      <c r="C1340">
        <v>4</v>
      </c>
      <c r="D1340" t="s">
        <v>3717</v>
      </c>
      <c r="E1340" t="s">
        <v>19</v>
      </c>
      <c r="F1340" t="s">
        <v>19</v>
      </c>
      <c r="G1340" t="s">
        <v>19</v>
      </c>
      <c r="H1340" t="s">
        <v>19</v>
      </c>
      <c r="I1340">
        <v>4</v>
      </c>
      <c r="J1340">
        <v>4</v>
      </c>
      <c r="K1340">
        <v>10</v>
      </c>
      <c r="L1340" t="s">
        <v>75</v>
      </c>
      <c r="M1340" t="s">
        <v>123</v>
      </c>
      <c r="N1340" t="s">
        <v>36</v>
      </c>
      <c r="O1340" t="s">
        <v>378</v>
      </c>
      <c r="P1340" t="s">
        <v>3718</v>
      </c>
      <c r="Q1340">
        <f t="shared" si="360"/>
        <v>3</v>
      </c>
      <c r="R1340">
        <f t="shared" si="361"/>
        <v>3</v>
      </c>
      <c r="S1340">
        <f t="shared" si="362"/>
        <v>3</v>
      </c>
      <c r="T1340">
        <f t="shared" si="363"/>
        <v>3</v>
      </c>
      <c r="U1340">
        <v>10</v>
      </c>
      <c r="V1340">
        <f t="shared" si="364"/>
        <v>0</v>
      </c>
      <c r="W1340">
        <f t="shared" si="365"/>
        <v>0</v>
      </c>
      <c r="X1340">
        <f t="shared" si="366"/>
        <v>1</v>
      </c>
      <c r="Y1340">
        <f t="shared" si="367"/>
        <v>1</v>
      </c>
      <c r="Z1340">
        <f t="shared" si="368"/>
        <v>0</v>
      </c>
      <c r="AA1340">
        <f t="shared" si="369"/>
        <v>0</v>
      </c>
      <c r="AB1340">
        <f t="shared" si="370"/>
        <v>1</v>
      </c>
      <c r="AC1340">
        <f t="shared" si="371"/>
        <v>1</v>
      </c>
      <c r="AD1340">
        <f t="shared" si="372"/>
        <v>0</v>
      </c>
      <c r="AE1340">
        <f t="shared" si="373"/>
        <v>0</v>
      </c>
      <c r="AF1340">
        <f t="shared" si="374"/>
        <v>0</v>
      </c>
      <c r="AG1340">
        <f t="shared" si="375"/>
        <v>0</v>
      </c>
      <c r="AH1340">
        <f t="shared" si="376"/>
        <v>0</v>
      </c>
      <c r="AI1340">
        <f t="shared" si="377"/>
        <v>1</v>
      </c>
    </row>
    <row r="1341" spans="1:35" x14ac:dyDescent="0.2">
      <c r="A1341">
        <v>557</v>
      </c>
      <c r="B1341" t="s">
        <v>749</v>
      </c>
      <c r="C1341">
        <v>6</v>
      </c>
      <c r="D1341" t="s">
        <v>3719</v>
      </c>
      <c r="E1341" t="s">
        <v>19</v>
      </c>
      <c r="F1341" t="s">
        <v>39</v>
      </c>
      <c r="G1341" t="s">
        <v>39</v>
      </c>
      <c r="H1341" t="s">
        <v>20</v>
      </c>
      <c r="I1341">
        <v>2</v>
      </c>
      <c r="J1341">
        <v>3</v>
      </c>
      <c r="K1341">
        <v>400</v>
      </c>
      <c r="L1341" t="s">
        <v>41</v>
      </c>
      <c r="M1341" t="s">
        <v>23</v>
      </c>
      <c r="N1341" t="s">
        <v>215</v>
      </c>
      <c r="O1341" t="s">
        <v>3720</v>
      </c>
      <c r="P1341" t="s">
        <v>3721</v>
      </c>
      <c r="Q1341">
        <f t="shared" si="360"/>
        <v>3</v>
      </c>
      <c r="R1341">
        <f t="shared" si="361"/>
        <v>5</v>
      </c>
      <c r="S1341">
        <f t="shared" si="362"/>
        <v>5</v>
      </c>
      <c r="T1341">
        <f t="shared" si="363"/>
        <v>2</v>
      </c>
      <c r="U1341">
        <v>400</v>
      </c>
      <c r="V1341">
        <f t="shared" si="364"/>
        <v>0</v>
      </c>
      <c r="W1341">
        <f t="shared" si="365"/>
        <v>0</v>
      </c>
      <c r="X1341">
        <f t="shared" si="366"/>
        <v>0</v>
      </c>
      <c r="Y1341">
        <f t="shared" si="367"/>
        <v>0</v>
      </c>
      <c r="Z1341">
        <f t="shared" si="368"/>
        <v>1</v>
      </c>
      <c r="AA1341">
        <f t="shared" si="369"/>
        <v>1</v>
      </c>
      <c r="AB1341">
        <f t="shared" si="370"/>
        <v>0</v>
      </c>
      <c r="AC1341">
        <f t="shared" si="371"/>
        <v>0</v>
      </c>
      <c r="AD1341">
        <f t="shared" si="372"/>
        <v>0</v>
      </c>
      <c r="AE1341">
        <f t="shared" si="373"/>
        <v>0</v>
      </c>
      <c r="AF1341">
        <f t="shared" si="374"/>
        <v>1</v>
      </c>
      <c r="AG1341">
        <f t="shared" si="375"/>
        <v>0</v>
      </c>
      <c r="AH1341">
        <f t="shared" si="376"/>
        <v>0</v>
      </c>
      <c r="AI1341">
        <f t="shared" si="377"/>
        <v>0</v>
      </c>
    </row>
    <row r="1342" spans="1:35" x14ac:dyDescent="0.2">
      <c r="A1342">
        <v>558</v>
      </c>
      <c r="B1342" t="s">
        <v>749</v>
      </c>
      <c r="C1342">
        <v>2</v>
      </c>
      <c r="D1342" t="s">
        <v>3722</v>
      </c>
      <c r="E1342" t="s">
        <v>18</v>
      </c>
      <c r="F1342" t="s">
        <v>20</v>
      </c>
      <c r="G1342" t="s">
        <v>20</v>
      </c>
      <c r="H1342" t="s">
        <v>18</v>
      </c>
      <c r="I1342">
        <v>3</v>
      </c>
      <c r="J1342">
        <v>2</v>
      </c>
      <c r="K1342" s="1">
        <v>20</v>
      </c>
      <c r="L1342" t="s">
        <v>22</v>
      </c>
      <c r="M1342" t="s">
        <v>468</v>
      </c>
      <c r="N1342" t="s">
        <v>36</v>
      </c>
      <c r="O1342" t="s">
        <v>3723</v>
      </c>
      <c r="P1342" t="s">
        <v>3724</v>
      </c>
      <c r="Q1342">
        <f t="shared" si="360"/>
        <v>4</v>
      </c>
      <c r="R1342">
        <f t="shared" si="361"/>
        <v>2</v>
      </c>
      <c r="S1342">
        <f t="shared" si="362"/>
        <v>2</v>
      </c>
      <c r="T1342">
        <f t="shared" si="363"/>
        <v>4</v>
      </c>
      <c r="U1342">
        <v>20</v>
      </c>
      <c r="V1342">
        <f t="shared" si="364"/>
        <v>1</v>
      </c>
      <c r="W1342">
        <f t="shared" si="365"/>
        <v>0</v>
      </c>
      <c r="X1342">
        <f t="shared" si="366"/>
        <v>0</v>
      </c>
      <c r="Y1342">
        <f t="shared" si="367"/>
        <v>0</v>
      </c>
      <c r="Z1342">
        <f t="shared" si="368"/>
        <v>0</v>
      </c>
      <c r="AA1342">
        <f t="shared" si="369"/>
        <v>1</v>
      </c>
      <c r="AB1342">
        <f t="shared" si="370"/>
        <v>1</v>
      </c>
      <c r="AC1342">
        <f t="shared" si="371"/>
        <v>1</v>
      </c>
      <c r="AD1342">
        <f t="shared" si="372"/>
        <v>1</v>
      </c>
      <c r="AE1342">
        <f t="shared" si="373"/>
        <v>1</v>
      </c>
      <c r="AF1342">
        <f t="shared" si="374"/>
        <v>0</v>
      </c>
      <c r="AG1342">
        <f t="shared" si="375"/>
        <v>0</v>
      </c>
      <c r="AH1342">
        <f t="shared" si="376"/>
        <v>0</v>
      </c>
      <c r="AI1342">
        <f t="shared" si="377"/>
        <v>1</v>
      </c>
    </row>
    <row r="1343" spans="1:35" x14ac:dyDescent="0.2">
      <c r="A1343">
        <v>559</v>
      </c>
      <c r="B1343" t="s">
        <v>749</v>
      </c>
      <c r="C1343">
        <v>7</v>
      </c>
      <c r="D1343" t="s">
        <v>3725</v>
      </c>
      <c r="E1343" t="s">
        <v>18</v>
      </c>
      <c r="F1343" t="s">
        <v>18</v>
      </c>
      <c r="G1343" t="s">
        <v>18</v>
      </c>
      <c r="H1343" t="s">
        <v>18</v>
      </c>
      <c r="I1343">
        <v>4</v>
      </c>
      <c r="J1343">
        <v>13</v>
      </c>
      <c r="K1343">
        <v>15</v>
      </c>
      <c r="L1343" t="s">
        <v>47</v>
      </c>
      <c r="M1343" t="s">
        <v>42</v>
      </c>
      <c r="N1343" t="s">
        <v>24</v>
      </c>
      <c r="O1343" t="s">
        <v>103</v>
      </c>
      <c r="P1343" t="s">
        <v>3726</v>
      </c>
      <c r="Q1343">
        <f t="shared" si="360"/>
        <v>4</v>
      </c>
      <c r="R1343">
        <f t="shared" si="361"/>
        <v>4</v>
      </c>
      <c r="S1343">
        <f t="shared" si="362"/>
        <v>4</v>
      </c>
      <c r="T1343">
        <f t="shared" si="363"/>
        <v>4</v>
      </c>
      <c r="U1343">
        <v>15</v>
      </c>
      <c r="V1343">
        <f t="shared" si="364"/>
        <v>0</v>
      </c>
      <c r="W1343">
        <f t="shared" si="365"/>
        <v>0</v>
      </c>
      <c r="X1343">
        <f t="shared" si="366"/>
        <v>1</v>
      </c>
      <c r="Y1343">
        <f t="shared" si="367"/>
        <v>0</v>
      </c>
      <c r="Z1343">
        <f t="shared" si="368"/>
        <v>1</v>
      </c>
      <c r="AA1343">
        <f t="shared" si="369"/>
        <v>0</v>
      </c>
      <c r="AB1343">
        <f t="shared" si="370"/>
        <v>1</v>
      </c>
      <c r="AC1343">
        <f t="shared" si="371"/>
        <v>0</v>
      </c>
      <c r="AD1343">
        <f t="shared" si="372"/>
        <v>0</v>
      </c>
      <c r="AE1343">
        <f t="shared" si="373"/>
        <v>0</v>
      </c>
      <c r="AF1343">
        <f t="shared" si="374"/>
        <v>0</v>
      </c>
      <c r="AG1343">
        <f t="shared" si="375"/>
        <v>0</v>
      </c>
      <c r="AH1343">
        <f t="shared" si="376"/>
        <v>1</v>
      </c>
      <c r="AI1343">
        <f t="shared" si="377"/>
        <v>0</v>
      </c>
    </row>
    <row r="1344" spans="1:35" x14ac:dyDescent="0.2">
      <c r="A1344">
        <v>560</v>
      </c>
      <c r="B1344" t="s">
        <v>749</v>
      </c>
      <c r="C1344">
        <v>9</v>
      </c>
      <c r="D1344" t="s">
        <v>3727</v>
      </c>
      <c r="E1344" t="s">
        <v>19</v>
      </c>
      <c r="F1344" t="s">
        <v>18</v>
      </c>
      <c r="G1344" t="s">
        <v>19</v>
      </c>
      <c r="H1344" t="s">
        <v>19</v>
      </c>
      <c r="I1344">
        <v>3</v>
      </c>
      <c r="J1344">
        <v>3</v>
      </c>
      <c r="K1344" t="s">
        <v>3728</v>
      </c>
      <c r="L1344" t="s">
        <v>230</v>
      </c>
      <c r="M1344" t="s">
        <v>135</v>
      </c>
      <c r="N1344" t="s">
        <v>84</v>
      </c>
      <c r="O1344" t="s">
        <v>3729</v>
      </c>
      <c r="P1344" t="s">
        <v>3730</v>
      </c>
      <c r="Q1344">
        <f t="shared" si="360"/>
        <v>3</v>
      </c>
      <c r="R1344">
        <f t="shared" si="361"/>
        <v>4</v>
      </c>
      <c r="S1344">
        <f t="shared" si="362"/>
        <v>3</v>
      </c>
      <c r="T1344">
        <f t="shared" si="363"/>
        <v>3</v>
      </c>
      <c r="U1344">
        <v>1000000000</v>
      </c>
      <c r="V1344">
        <f t="shared" si="364"/>
        <v>1</v>
      </c>
      <c r="W1344">
        <f t="shared" si="365"/>
        <v>1</v>
      </c>
      <c r="X1344">
        <f t="shared" si="366"/>
        <v>1</v>
      </c>
      <c r="Y1344">
        <f t="shared" si="367"/>
        <v>1</v>
      </c>
      <c r="Z1344">
        <f t="shared" si="368"/>
        <v>1</v>
      </c>
      <c r="AA1344">
        <f t="shared" si="369"/>
        <v>1</v>
      </c>
      <c r="AB1344">
        <f t="shared" si="370"/>
        <v>1</v>
      </c>
      <c r="AC1344">
        <f t="shared" si="371"/>
        <v>0</v>
      </c>
      <c r="AD1344">
        <f t="shared" si="372"/>
        <v>0</v>
      </c>
      <c r="AE1344">
        <f t="shared" si="373"/>
        <v>0</v>
      </c>
      <c r="AF1344">
        <f t="shared" si="374"/>
        <v>0</v>
      </c>
      <c r="AG1344">
        <f t="shared" si="375"/>
        <v>1</v>
      </c>
      <c r="AH1344">
        <f t="shared" si="376"/>
        <v>0</v>
      </c>
      <c r="AI1344">
        <f t="shared" si="377"/>
        <v>0</v>
      </c>
    </row>
    <row r="1345" spans="1:35" x14ac:dyDescent="0.2">
      <c r="A1345">
        <v>561</v>
      </c>
      <c r="B1345" t="s">
        <v>749</v>
      </c>
      <c r="C1345">
        <v>5</v>
      </c>
      <c r="D1345" t="s">
        <v>3731</v>
      </c>
      <c r="E1345" t="s">
        <v>18</v>
      </c>
      <c r="F1345" t="s">
        <v>19</v>
      </c>
      <c r="G1345" t="s">
        <v>18</v>
      </c>
      <c r="H1345" t="s">
        <v>21</v>
      </c>
      <c r="I1345">
        <v>4</v>
      </c>
      <c r="J1345">
        <v>1</v>
      </c>
      <c r="K1345">
        <v>10</v>
      </c>
      <c r="L1345" t="s">
        <v>194</v>
      </c>
      <c r="M1345" t="s">
        <v>468</v>
      </c>
      <c r="N1345" t="s">
        <v>36</v>
      </c>
      <c r="O1345" t="s">
        <v>3732</v>
      </c>
      <c r="P1345" t="s">
        <v>3733</v>
      </c>
      <c r="Q1345">
        <f t="shared" si="360"/>
        <v>4</v>
      </c>
      <c r="R1345">
        <f t="shared" si="361"/>
        <v>3</v>
      </c>
      <c r="S1345">
        <f t="shared" si="362"/>
        <v>4</v>
      </c>
      <c r="T1345">
        <f t="shared" si="363"/>
        <v>1</v>
      </c>
      <c r="U1345">
        <v>10</v>
      </c>
      <c r="V1345">
        <f t="shared" si="364"/>
        <v>0</v>
      </c>
      <c r="W1345">
        <f t="shared" si="365"/>
        <v>0</v>
      </c>
      <c r="X1345">
        <f t="shared" si="366"/>
        <v>0</v>
      </c>
      <c r="Y1345">
        <f t="shared" si="367"/>
        <v>1</v>
      </c>
      <c r="Z1345">
        <f t="shared" si="368"/>
        <v>1</v>
      </c>
      <c r="AA1345">
        <f t="shared" si="369"/>
        <v>1</v>
      </c>
      <c r="AB1345">
        <f t="shared" si="370"/>
        <v>1</v>
      </c>
      <c r="AC1345">
        <f t="shared" si="371"/>
        <v>1</v>
      </c>
      <c r="AD1345">
        <f t="shared" si="372"/>
        <v>1</v>
      </c>
      <c r="AE1345">
        <f t="shared" si="373"/>
        <v>1</v>
      </c>
      <c r="AF1345">
        <f t="shared" si="374"/>
        <v>0</v>
      </c>
      <c r="AG1345">
        <f t="shared" si="375"/>
        <v>0</v>
      </c>
      <c r="AH1345">
        <f t="shared" si="376"/>
        <v>0</v>
      </c>
      <c r="AI1345">
        <f t="shared" si="377"/>
        <v>1</v>
      </c>
    </row>
    <row r="1346" spans="1:35" x14ac:dyDescent="0.2">
      <c r="A1346">
        <v>562</v>
      </c>
      <c r="B1346" t="s">
        <v>749</v>
      </c>
      <c r="C1346">
        <v>8</v>
      </c>
      <c r="D1346" t="s">
        <v>3734</v>
      </c>
      <c r="E1346" t="s">
        <v>20</v>
      </c>
      <c r="F1346" t="s">
        <v>18</v>
      </c>
      <c r="G1346" t="s">
        <v>39</v>
      </c>
      <c r="H1346" t="s">
        <v>21</v>
      </c>
      <c r="I1346">
        <v>5</v>
      </c>
      <c r="J1346">
        <v>6</v>
      </c>
      <c r="K1346">
        <v>80</v>
      </c>
      <c r="L1346" t="s">
        <v>714</v>
      </c>
      <c r="M1346" t="s">
        <v>48</v>
      </c>
      <c r="N1346" t="s">
        <v>43</v>
      </c>
      <c r="O1346" t="s">
        <v>3735</v>
      </c>
      <c r="P1346" t="s">
        <v>3736</v>
      </c>
      <c r="Q1346">
        <f t="shared" si="360"/>
        <v>2</v>
      </c>
      <c r="R1346">
        <f t="shared" si="361"/>
        <v>4</v>
      </c>
      <c r="S1346">
        <f t="shared" si="362"/>
        <v>5</v>
      </c>
      <c r="T1346">
        <f t="shared" si="363"/>
        <v>1</v>
      </c>
      <c r="U1346">
        <v>80</v>
      </c>
      <c r="V1346">
        <f t="shared" si="364"/>
        <v>0</v>
      </c>
      <c r="W1346">
        <f t="shared" si="365"/>
        <v>0</v>
      </c>
      <c r="X1346">
        <f t="shared" si="366"/>
        <v>1</v>
      </c>
      <c r="Y1346">
        <f t="shared" si="367"/>
        <v>1</v>
      </c>
      <c r="Z1346">
        <f t="shared" si="368"/>
        <v>1</v>
      </c>
      <c r="AA1346">
        <f t="shared" si="369"/>
        <v>1</v>
      </c>
      <c r="AB1346">
        <f t="shared" si="370"/>
        <v>1</v>
      </c>
      <c r="AC1346">
        <f t="shared" si="371"/>
        <v>1</v>
      </c>
      <c r="AD1346">
        <f t="shared" si="372"/>
        <v>0</v>
      </c>
      <c r="AE1346">
        <f t="shared" si="373"/>
        <v>0</v>
      </c>
      <c r="AF1346">
        <f t="shared" si="374"/>
        <v>1</v>
      </c>
      <c r="AG1346">
        <f t="shared" si="375"/>
        <v>1</v>
      </c>
      <c r="AH1346">
        <f t="shared" si="376"/>
        <v>0</v>
      </c>
      <c r="AI1346">
        <f t="shared" si="377"/>
        <v>0</v>
      </c>
    </row>
    <row r="1347" spans="1:35" x14ac:dyDescent="0.2">
      <c r="A1347">
        <v>222</v>
      </c>
      <c r="B1347" t="s">
        <v>1398</v>
      </c>
      <c r="Q1347" t="str">
        <f t="shared" ref="Q1347:Q1410" si="378">IF(E1347="", "", LEFT(E1347, 1) * 1)</f>
        <v/>
      </c>
      <c r="R1347" t="str">
        <f t="shared" ref="R1347:R1410" si="379">IF(F1347="","",VALUE(LEFT(F1347,FIND(" ",F1347)-1)))</f>
        <v/>
      </c>
      <c r="S1347" t="str">
        <f t="shared" ref="S1347:S1410" si="380">IF(G1347="","",VALUE(LEFT(G1347,FIND(" ",G1347)-1)))</f>
        <v/>
      </c>
      <c r="T1347" t="str">
        <f t="shared" ref="T1347:T1410" si="381">IF(H1347="","",VALUE(LEFT(H1347,FIND(" ",H1347)-1)))</f>
        <v/>
      </c>
      <c r="V1347">
        <f t="shared" ref="V1347:V1410" si="382">IF(L1347="",0,IF(ISNUMBER(SEARCH("Bathroom",L1347)),1,0))</f>
        <v>0</v>
      </c>
      <c r="W1347">
        <f t="shared" ref="W1347:W1410" si="383">IF(L1347="",0,IF(ISNUMBER(SEARCH("Dining room",L1347)),1,0))</f>
        <v>0</v>
      </c>
      <c r="X1347">
        <f t="shared" ref="X1347:X1410" si="384">IF(L1347="",0,IF(ISNUMBER(SEARCH("Office",L1347)),1,0))</f>
        <v>0</v>
      </c>
      <c r="Y1347">
        <f t="shared" ref="Y1347:Y1410" si="385">IF(L1347="",0,IF(ISNUMBER(SEARCH("Bedroom",L1347)),1,0))</f>
        <v>0</v>
      </c>
      <c r="Z1347">
        <f t="shared" ref="Z1347:Z1410" si="386">IF(L1347="",0,IF(ISNUMBER(SEARCH("Living room",L1347)),1,0))</f>
        <v>0</v>
      </c>
      <c r="AA1347">
        <f t="shared" ref="AA1347:AA1410" si="387">IF(M1347="",0, IF(ISNUMBER(SEARCH("By yourself",M1347)), 1, 0))</f>
        <v>0</v>
      </c>
      <c r="AB1347">
        <f t="shared" ref="AB1347:AB1410" si="388">IF(M1347="", 0, IF(ISNUMBER(SEARCH("Friends", M1347)), 1, 0))</f>
        <v>0</v>
      </c>
      <c r="AC1347">
        <f t="shared" ref="AC1347:AC1410" si="389">IF(M1347="",0,IF(ISNUMBER(SEARCH("Family members", M1347)), 1, 0))</f>
        <v>0</v>
      </c>
      <c r="AD1347">
        <f t="shared" ref="AD1347:AD1410" si="390">IF(M1347="", 0, IF(ISNUMBER(SEARCH("Coworkers/Classmates", M1347)), 1, 0))</f>
        <v>0</v>
      </c>
      <c r="AE1347">
        <f t="shared" ref="AE1347:AE1410" si="391">IF(M1347="", 0, IF(ISNUMBER(SEARCH("Strangers", M1347)), 1, 0))</f>
        <v>0</v>
      </c>
      <c r="AF1347">
        <f t="shared" ref="AF1347:AF1410" si="392">IF(N1347="", 0, IF(ISNUMBER(SEARCH("Spring", N1347)), 1, 0))</f>
        <v>0</v>
      </c>
      <c r="AG1347">
        <f t="shared" ref="AG1347:AG1410" si="393">IF(N1347="", 0, IF(ISNUMBER(SEARCH("Summer", N1347)), 1, 0))</f>
        <v>0</v>
      </c>
      <c r="AH1347">
        <f t="shared" ref="AH1347:AH1410" si="394">IF(N1347="", 0, IF(ISNUMBER(SEARCH("Fall", N1347)), 1, 0))</f>
        <v>0</v>
      </c>
      <c r="AI1347">
        <f t="shared" ref="AI1347:AI1410" si="395">IF(N1347="", 0, IF(ISNUMBER(SEARCH("Winter", N1347)), 1, 0))</f>
        <v>0</v>
      </c>
    </row>
    <row r="1348" spans="1:35" x14ac:dyDescent="0.2">
      <c r="A1348">
        <v>223</v>
      </c>
      <c r="B1348" t="s">
        <v>1398</v>
      </c>
      <c r="Q1348" t="str">
        <f t="shared" si="378"/>
        <v/>
      </c>
      <c r="R1348" t="str">
        <f t="shared" si="379"/>
        <v/>
      </c>
      <c r="S1348" t="str">
        <f t="shared" si="380"/>
        <v/>
      </c>
      <c r="T1348" t="str">
        <f t="shared" si="381"/>
        <v/>
      </c>
      <c r="V1348">
        <f t="shared" si="382"/>
        <v>0</v>
      </c>
      <c r="W1348">
        <f t="shared" si="383"/>
        <v>0</v>
      </c>
      <c r="X1348">
        <f t="shared" si="384"/>
        <v>0</v>
      </c>
      <c r="Y1348">
        <f t="shared" si="385"/>
        <v>0</v>
      </c>
      <c r="Z1348">
        <f t="shared" si="386"/>
        <v>0</v>
      </c>
      <c r="AA1348">
        <f t="shared" si="387"/>
        <v>0</v>
      </c>
      <c r="AB1348">
        <f t="shared" si="388"/>
        <v>0</v>
      </c>
      <c r="AC1348">
        <f t="shared" si="389"/>
        <v>0</v>
      </c>
      <c r="AD1348">
        <f t="shared" si="390"/>
        <v>0</v>
      </c>
      <c r="AE1348">
        <f t="shared" si="391"/>
        <v>0</v>
      </c>
      <c r="AF1348">
        <f t="shared" si="392"/>
        <v>0</v>
      </c>
      <c r="AG1348">
        <f t="shared" si="393"/>
        <v>0</v>
      </c>
      <c r="AH1348">
        <f t="shared" si="394"/>
        <v>0</v>
      </c>
      <c r="AI1348">
        <f t="shared" si="395"/>
        <v>0</v>
      </c>
    </row>
    <row r="1349" spans="1:35" x14ac:dyDescent="0.2">
      <c r="A1349">
        <v>224</v>
      </c>
      <c r="B1349" t="s">
        <v>1398</v>
      </c>
      <c r="Q1349" t="str">
        <f t="shared" si="378"/>
        <v/>
      </c>
      <c r="R1349" t="str">
        <f t="shared" si="379"/>
        <v/>
      </c>
      <c r="S1349" t="str">
        <f t="shared" si="380"/>
        <v/>
      </c>
      <c r="T1349" t="str">
        <f t="shared" si="381"/>
        <v/>
      </c>
      <c r="V1349">
        <f t="shared" si="382"/>
        <v>0</v>
      </c>
      <c r="W1349">
        <f t="shared" si="383"/>
        <v>0</v>
      </c>
      <c r="X1349">
        <f t="shared" si="384"/>
        <v>0</v>
      </c>
      <c r="Y1349">
        <f t="shared" si="385"/>
        <v>0</v>
      </c>
      <c r="Z1349">
        <f t="shared" si="386"/>
        <v>0</v>
      </c>
      <c r="AA1349">
        <f t="shared" si="387"/>
        <v>0</v>
      </c>
      <c r="AB1349">
        <f t="shared" si="388"/>
        <v>0</v>
      </c>
      <c r="AC1349">
        <f t="shared" si="389"/>
        <v>0</v>
      </c>
      <c r="AD1349">
        <f t="shared" si="390"/>
        <v>0</v>
      </c>
      <c r="AE1349">
        <f t="shared" si="391"/>
        <v>0</v>
      </c>
      <c r="AF1349">
        <f t="shared" si="392"/>
        <v>0</v>
      </c>
      <c r="AG1349">
        <f t="shared" si="393"/>
        <v>0</v>
      </c>
      <c r="AH1349">
        <f t="shared" si="394"/>
        <v>0</v>
      </c>
      <c r="AI1349">
        <f t="shared" si="395"/>
        <v>0</v>
      </c>
    </row>
    <row r="1350" spans="1:35" x14ac:dyDescent="0.2">
      <c r="A1350">
        <v>225</v>
      </c>
      <c r="B1350" t="s">
        <v>1398</v>
      </c>
      <c r="Q1350" t="str">
        <f t="shared" si="378"/>
        <v/>
      </c>
      <c r="R1350" t="str">
        <f t="shared" si="379"/>
        <v/>
      </c>
      <c r="S1350" t="str">
        <f t="shared" si="380"/>
        <v/>
      </c>
      <c r="T1350" t="str">
        <f t="shared" si="381"/>
        <v/>
      </c>
      <c r="V1350">
        <f t="shared" si="382"/>
        <v>0</v>
      </c>
      <c r="W1350">
        <f t="shared" si="383"/>
        <v>0</v>
      </c>
      <c r="X1350">
        <f t="shared" si="384"/>
        <v>0</v>
      </c>
      <c r="Y1350">
        <f t="shared" si="385"/>
        <v>0</v>
      </c>
      <c r="Z1350">
        <f t="shared" si="386"/>
        <v>0</v>
      </c>
      <c r="AA1350">
        <f t="shared" si="387"/>
        <v>0</v>
      </c>
      <c r="AB1350">
        <f t="shared" si="388"/>
        <v>0</v>
      </c>
      <c r="AC1350">
        <f t="shared" si="389"/>
        <v>0</v>
      </c>
      <c r="AD1350">
        <f t="shared" si="390"/>
        <v>0</v>
      </c>
      <c r="AE1350">
        <f t="shared" si="391"/>
        <v>0</v>
      </c>
      <c r="AF1350">
        <f t="shared" si="392"/>
        <v>0</v>
      </c>
      <c r="AG1350">
        <f t="shared" si="393"/>
        <v>0</v>
      </c>
      <c r="AH1350">
        <f t="shared" si="394"/>
        <v>0</v>
      </c>
      <c r="AI1350">
        <f t="shared" si="395"/>
        <v>0</v>
      </c>
    </row>
    <row r="1351" spans="1:35" x14ac:dyDescent="0.2">
      <c r="A1351">
        <v>226</v>
      </c>
      <c r="B1351" t="s">
        <v>1398</v>
      </c>
      <c r="Q1351" t="str">
        <f t="shared" si="378"/>
        <v/>
      </c>
      <c r="R1351" t="str">
        <f t="shared" si="379"/>
        <v/>
      </c>
      <c r="S1351" t="str">
        <f t="shared" si="380"/>
        <v/>
      </c>
      <c r="T1351" t="str">
        <f t="shared" si="381"/>
        <v/>
      </c>
      <c r="V1351">
        <f t="shared" si="382"/>
        <v>0</v>
      </c>
      <c r="W1351">
        <f t="shared" si="383"/>
        <v>0</v>
      </c>
      <c r="X1351">
        <f t="shared" si="384"/>
        <v>0</v>
      </c>
      <c r="Y1351">
        <f t="shared" si="385"/>
        <v>0</v>
      </c>
      <c r="Z1351">
        <f t="shared" si="386"/>
        <v>0</v>
      </c>
      <c r="AA1351">
        <f t="shared" si="387"/>
        <v>0</v>
      </c>
      <c r="AB1351">
        <f t="shared" si="388"/>
        <v>0</v>
      </c>
      <c r="AC1351">
        <f t="shared" si="389"/>
        <v>0</v>
      </c>
      <c r="AD1351">
        <f t="shared" si="390"/>
        <v>0</v>
      </c>
      <c r="AE1351">
        <f t="shared" si="391"/>
        <v>0</v>
      </c>
      <c r="AF1351">
        <f t="shared" si="392"/>
        <v>0</v>
      </c>
      <c r="AG1351">
        <f t="shared" si="393"/>
        <v>0</v>
      </c>
      <c r="AH1351">
        <f t="shared" si="394"/>
        <v>0</v>
      </c>
      <c r="AI1351">
        <f t="shared" si="395"/>
        <v>0</v>
      </c>
    </row>
    <row r="1352" spans="1:35" x14ac:dyDescent="0.2">
      <c r="A1352">
        <v>227</v>
      </c>
      <c r="B1352" t="s">
        <v>1398</v>
      </c>
      <c r="Q1352" t="str">
        <f t="shared" si="378"/>
        <v/>
      </c>
      <c r="R1352" t="str">
        <f t="shared" si="379"/>
        <v/>
      </c>
      <c r="S1352" t="str">
        <f t="shared" si="380"/>
        <v/>
      </c>
      <c r="T1352" t="str">
        <f t="shared" si="381"/>
        <v/>
      </c>
      <c r="V1352">
        <f t="shared" si="382"/>
        <v>0</v>
      </c>
      <c r="W1352">
        <f t="shared" si="383"/>
        <v>0</v>
      </c>
      <c r="X1352">
        <f t="shared" si="384"/>
        <v>0</v>
      </c>
      <c r="Y1352">
        <f t="shared" si="385"/>
        <v>0</v>
      </c>
      <c r="Z1352">
        <f t="shared" si="386"/>
        <v>0</v>
      </c>
      <c r="AA1352">
        <f t="shared" si="387"/>
        <v>0</v>
      </c>
      <c r="AB1352">
        <f t="shared" si="388"/>
        <v>0</v>
      </c>
      <c r="AC1352">
        <f t="shared" si="389"/>
        <v>0</v>
      </c>
      <c r="AD1352">
        <f t="shared" si="390"/>
        <v>0</v>
      </c>
      <c r="AE1352">
        <f t="shared" si="391"/>
        <v>0</v>
      </c>
      <c r="AF1352">
        <f t="shared" si="392"/>
        <v>0</v>
      </c>
      <c r="AG1352">
        <f t="shared" si="393"/>
        <v>0</v>
      </c>
      <c r="AH1352">
        <f t="shared" si="394"/>
        <v>0</v>
      </c>
      <c r="AI1352">
        <f t="shared" si="395"/>
        <v>0</v>
      </c>
    </row>
    <row r="1353" spans="1:35" x14ac:dyDescent="0.2">
      <c r="A1353">
        <v>228</v>
      </c>
      <c r="B1353" t="s">
        <v>1398</v>
      </c>
      <c r="C1353">
        <v>6</v>
      </c>
      <c r="D1353" t="s">
        <v>3737</v>
      </c>
      <c r="E1353" t="s">
        <v>21</v>
      </c>
      <c r="F1353" t="s">
        <v>39</v>
      </c>
      <c r="G1353" t="s">
        <v>39</v>
      </c>
      <c r="H1353" t="s">
        <v>21</v>
      </c>
      <c r="I1353">
        <v>3</v>
      </c>
      <c r="J1353">
        <v>1</v>
      </c>
      <c r="K1353">
        <v>25</v>
      </c>
      <c r="L1353" t="s">
        <v>41</v>
      </c>
      <c r="M1353" t="s">
        <v>23</v>
      </c>
      <c r="N1353" t="s">
        <v>43</v>
      </c>
      <c r="O1353" t="s">
        <v>3738</v>
      </c>
      <c r="P1353" t="s">
        <v>3739</v>
      </c>
      <c r="Q1353">
        <f t="shared" si="378"/>
        <v>1</v>
      </c>
      <c r="R1353">
        <f t="shared" si="379"/>
        <v>5</v>
      </c>
      <c r="S1353">
        <f t="shared" si="380"/>
        <v>5</v>
      </c>
      <c r="T1353">
        <f t="shared" si="381"/>
        <v>1</v>
      </c>
      <c r="U1353">
        <v>25</v>
      </c>
      <c r="V1353">
        <f t="shared" si="382"/>
        <v>0</v>
      </c>
      <c r="W1353">
        <f t="shared" si="383"/>
        <v>0</v>
      </c>
      <c r="X1353">
        <f t="shared" si="384"/>
        <v>0</v>
      </c>
      <c r="Y1353">
        <f t="shared" si="385"/>
        <v>0</v>
      </c>
      <c r="Z1353">
        <f t="shared" si="386"/>
        <v>1</v>
      </c>
      <c r="AA1353">
        <f t="shared" si="387"/>
        <v>1</v>
      </c>
      <c r="AB1353">
        <f t="shared" si="388"/>
        <v>0</v>
      </c>
      <c r="AC1353">
        <f t="shared" si="389"/>
        <v>0</v>
      </c>
      <c r="AD1353">
        <f t="shared" si="390"/>
        <v>0</v>
      </c>
      <c r="AE1353">
        <f t="shared" si="391"/>
        <v>0</v>
      </c>
      <c r="AF1353">
        <f t="shared" si="392"/>
        <v>1</v>
      </c>
      <c r="AG1353">
        <f t="shared" si="393"/>
        <v>1</v>
      </c>
      <c r="AH1353">
        <f t="shared" si="394"/>
        <v>0</v>
      </c>
      <c r="AI1353">
        <f t="shared" si="395"/>
        <v>0</v>
      </c>
    </row>
    <row r="1354" spans="1:35" x14ac:dyDescent="0.2">
      <c r="A1354">
        <v>229</v>
      </c>
      <c r="B1354" t="s">
        <v>1398</v>
      </c>
      <c r="C1354">
        <v>9</v>
      </c>
      <c r="D1354" t="s">
        <v>3740</v>
      </c>
      <c r="E1354" t="s">
        <v>21</v>
      </c>
      <c r="F1354" t="s">
        <v>39</v>
      </c>
      <c r="G1354" t="s">
        <v>18</v>
      </c>
      <c r="H1354" t="s">
        <v>21</v>
      </c>
      <c r="I1354">
        <v>3</v>
      </c>
      <c r="J1354">
        <v>3</v>
      </c>
      <c r="K1354">
        <v>500</v>
      </c>
      <c r="L1354" t="s">
        <v>494</v>
      </c>
      <c r="M1354" t="s">
        <v>161</v>
      </c>
      <c r="N1354" t="s">
        <v>43</v>
      </c>
      <c r="O1354" t="s">
        <v>3741</v>
      </c>
      <c r="P1354" t="s">
        <v>3742</v>
      </c>
      <c r="Q1354">
        <f t="shared" si="378"/>
        <v>1</v>
      </c>
      <c r="R1354">
        <f t="shared" si="379"/>
        <v>5</v>
      </c>
      <c r="S1354">
        <f t="shared" si="380"/>
        <v>4</v>
      </c>
      <c r="T1354">
        <f t="shared" si="381"/>
        <v>1</v>
      </c>
      <c r="U1354">
        <v>500</v>
      </c>
      <c r="V1354">
        <f t="shared" si="382"/>
        <v>0</v>
      </c>
      <c r="W1354">
        <f t="shared" si="383"/>
        <v>1</v>
      </c>
      <c r="X1354">
        <f t="shared" si="384"/>
        <v>1</v>
      </c>
      <c r="Y1354">
        <f t="shared" si="385"/>
        <v>1</v>
      </c>
      <c r="Z1354">
        <f t="shared" si="386"/>
        <v>1</v>
      </c>
      <c r="AA1354">
        <f t="shared" si="387"/>
        <v>1</v>
      </c>
      <c r="AB1354">
        <f t="shared" si="388"/>
        <v>1</v>
      </c>
      <c r="AC1354">
        <f t="shared" si="389"/>
        <v>1</v>
      </c>
      <c r="AD1354">
        <f t="shared" si="390"/>
        <v>1</v>
      </c>
      <c r="AE1354">
        <f t="shared" si="391"/>
        <v>0</v>
      </c>
      <c r="AF1354">
        <f t="shared" si="392"/>
        <v>1</v>
      </c>
      <c r="AG1354">
        <f t="shared" si="393"/>
        <v>1</v>
      </c>
      <c r="AH1354">
        <f t="shared" si="394"/>
        <v>0</v>
      </c>
      <c r="AI1354">
        <f t="shared" si="395"/>
        <v>0</v>
      </c>
    </row>
    <row r="1355" spans="1:35" x14ac:dyDescent="0.2">
      <c r="A1355">
        <v>230</v>
      </c>
      <c r="B1355" t="s">
        <v>1398</v>
      </c>
      <c r="C1355">
        <v>5</v>
      </c>
      <c r="D1355" t="s">
        <v>3737</v>
      </c>
      <c r="E1355" t="s">
        <v>20</v>
      </c>
      <c r="F1355" t="s">
        <v>39</v>
      </c>
      <c r="G1355" t="s">
        <v>39</v>
      </c>
      <c r="H1355" t="s">
        <v>21</v>
      </c>
      <c r="I1355">
        <v>2</v>
      </c>
      <c r="J1355">
        <v>1</v>
      </c>
      <c r="K1355">
        <v>40</v>
      </c>
      <c r="L1355" t="s">
        <v>230</v>
      </c>
      <c r="M1355" t="s">
        <v>154</v>
      </c>
      <c r="N1355" t="s">
        <v>215</v>
      </c>
      <c r="O1355" t="s">
        <v>1668</v>
      </c>
      <c r="P1355" t="s">
        <v>3743</v>
      </c>
      <c r="Q1355">
        <f t="shared" si="378"/>
        <v>2</v>
      </c>
      <c r="R1355">
        <f t="shared" si="379"/>
        <v>5</v>
      </c>
      <c r="S1355">
        <f t="shared" si="380"/>
        <v>5</v>
      </c>
      <c r="T1355">
        <f t="shared" si="381"/>
        <v>1</v>
      </c>
      <c r="U1355">
        <v>40</v>
      </c>
      <c r="V1355">
        <f t="shared" si="382"/>
        <v>1</v>
      </c>
      <c r="W1355">
        <f t="shared" si="383"/>
        <v>1</v>
      </c>
      <c r="X1355">
        <f t="shared" si="384"/>
        <v>1</v>
      </c>
      <c r="Y1355">
        <f t="shared" si="385"/>
        <v>1</v>
      </c>
      <c r="Z1355">
        <f t="shared" si="386"/>
        <v>1</v>
      </c>
      <c r="AA1355">
        <f t="shared" si="387"/>
        <v>1</v>
      </c>
      <c r="AB1355">
        <f t="shared" si="388"/>
        <v>0</v>
      </c>
      <c r="AC1355">
        <f t="shared" si="389"/>
        <v>1</v>
      </c>
      <c r="AD1355">
        <f t="shared" si="390"/>
        <v>0</v>
      </c>
      <c r="AE1355">
        <f t="shared" si="391"/>
        <v>0</v>
      </c>
      <c r="AF1355">
        <f t="shared" si="392"/>
        <v>1</v>
      </c>
      <c r="AG1355">
        <f t="shared" si="393"/>
        <v>0</v>
      </c>
      <c r="AH1355">
        <f t="shared" si="394"/>
        <v>0</v>
      </c>
      <c r="AI1355">
        <f t="shared" si="395"/>
        <v>0</v>
      </c>
    </row>
    <row r="1356" spans="1:35" x14ac:dyDescent="0.2">
      <c r="A1356">
        <v>231</v>
      </c>
      <c r="B1356" t="s">
        <v>1398</v>
      </c>
      <c r="C1356">
        <v>7</v>
      </c>
      <c r="D1356" t="s">
        <v>3340</v>
      </c>
      <c r="E1356" t="s">
        <v>19</v>
      </c>
      <c r="F1356" t="s">
        <v>19</v>
      </c>
      <c r="G1356" t="s">
        <v>39</v>
      </c>
      <c r="H1356" t="s">
        <v>20</v>
      </c>
      <c r="I1356">
        <v>7</v>
      </c>
      <c r="J1356">
        <v>4</v>
      </c>
      <c r="K1356" s="1">
        <v>100</v>
      </c>
      <c r="L1356" t="s">
        <v>305</v>
      </c>
      <c r="M1356" t="s">
        <v>468</v>
      </c>
      <c r="N1356" t="s">
        <v>215</v>
      </c>
      <c r="O1356" t="s">
        <v>2475</v>
      </c>
      <c r="P1356" t="s">
        <v>3744</v>
      </c>
      <c r="Q1356">
        <f t="shared" si="378"/>
        <v>3</v>
      </c>
      <c r="R1356">
        <f t="shared" si="379"/>
        <v>3</v>
      </c>
      <c r="S1356">
        <f t="shared" si="380"/>
        <v>5</v>
      </c>
      <c r="T1356">
        <f t="shared" si="381"/>
        <v>2</v>
      </c>
      <c r="U1356">
        <v>100</v>
      </c>
      <c r="V1356">
        <f t="shared" si="382"/>
        <v>1</v>
      </c>
      <c r="W1356">
        <f t="shared" si="383"/>
        <v>1</v>
      </c>
      <c r="X1356">
        <f t="shared" si="384"/>
        <v>1</v>
      </c>
      <c r="Y1356">
        <f t="shared" si="385"/>
        <v>0</v>
      </c>
      <c r="Z1356">
        <f t="shared" si="386"/>
        <v>1</v>
      </c>
      <c r="AA1356">
        <f t="shared" si="387"/>
        <v>1</v>
      </c>
      <c r="AB1356">
        <f t="shared" si="388"/>
        <v>1</v>
      </c>
      <c r="AC1356">
        <f t="shared" si="389"/>
        <v>1</v>
      </c>
      <c r="AD1356">
        <f t="shared" si="390"/>
        <v>1</v>
      </c>
      <c r="AE1356">
        <f t="shared" si="391"/>
        <v>1</v>
      </c>
      <c r="AF1356">
        <f t="shared" si="392"/>
        <v>1</v>
      </c>
      <c r="AG1356">
        <f t="shared" si="393"/>
        <v>0</v>
      </c>
      <c r="AH1356">
        <f t="shared" si="394"/>
        <v>0</v>
      </c>
      <c r="AI1356">
        <f t="shared" si="395"/>
        <v>0</v>
      </c>
    </row>
    <row r="1357" spans="1:35" x14ac:dyDescent="0.2">
      <c r="A1357">
        <v>232</v>
      </c>
      <c r="B1357" t="s">
        <v>1398</v>
      </c>
      <c r="C1357">
        <v>4</v>
      </c>
      <c r="D1357" t="s">
        <v>3745</v>
      </c>
      <c r="E1357" t="s">
        <v>20</v>
      </c>
      <c r="F1357" t="s">
        <v>18</v>
      </c>
      <c r="G1357" t="s">
        <v>18</v>
      </c>
      <c r="H1357" t="s">
        <v>20</v>
      </c>
      <c r="I1357">
        <v>2</v>
      </c>
      <c r="J1357">
        <v>2</v>
      </c>
      <c r="K1357">
        <v>20</v>
      </c>
      <c r="L1357" t="s">
        <v>70</v>
      </c>
      <c r="M1357" t="s">
        <v>115</v>
      </c>
      <c r="N1357" t="s">
        <v>84</v>
      </c>
      <c r="O1357" t="s">
        <v>593</v>
      </c>
      <c r="P1357" t="s">
        <v>3746</v>
      </c>
      <c r="Q1357">
        <f t="shared" si="378"/>
        <v>2</v>
      </c>
      <c r="R1357">
        <f t="shared" si="379"/>
        <v>4</v>
      </c>
      <c r="S1357">
        <f t="shared" si="380"/>
        <v>4</v>
      </c>
      <c r="T1357">
        <f t="shared" si="381"/>
        <v>2</v>
      </c>
      <c r="U1357">
        <v>20</v>
      </c>
      <c r="V1357">
        <f t="shared" si="382"/>
        <v>0</v>
      </c>
      <c r="W1357">
        <f t="shared" si="383"/>
        <v>0</v>
      </c>
      <c r="X1357">
        <f t="shared" si="384"/>
        <v>0</v>
      </c>
      <c r="Y1357">
        <f t="shared" si="385"/>
        <v>1</v>
      </c>
      <c r="Z1357">
        <f t="shared" si="386"/>
        <v>0</v>
      </c>
      <c r="AA1357">
        <f t="shared" si="387"/>
        <v>0</v>
      </c>
      <c r="AB1357">
        <f t="shared" si="388"/>
        <v>0</v>
      </c>
      <c r="AC1357">
        <f t="shared" si="389"/>
        <v>1</v>
      </c>
      <c r="AD1357">
        <f t="shared" si="390"/>
        <v>0</v>
      </c>
      <c r="AE1357">
        <f t="shared" si="391"/>
        <v>0</v>
      </c>
      <c r="AF1357">
        <f t="shared" si="392"/>
        <v>0</v>
      </c>
      <c r="AG1357">
        <f t="shared" si="393"/>
        <v>1</v>
      </c>
      <c r="AH1357">
        <f t="shared" si="394"/>
        <v>0</v>
      </c>
      <c r="AI1357">
        <f t="shared" si="395"/>
        <v>0</v>
      </c>
    </row>
    <row r="1358" spans="1:35" x14ac:dyDescent="0.2">
      <c r="A1358">
        <v>233</v>
      </c>
      <c r="B1358" t="s">
        <v>1398</v>
      </c>
      <c r="C1358">
        <v>8</v>
      </c>
      <c r="D1358" t="s">
        <v>3747</v>
      </c>
      <c r="E1358" t="s">
        <v>20</v>
      </c>
      <c r="F1358" t="s">
        <v>39</v>
      </c>
      <c r="G1358" t="s">
        <v>39</v>
      </c>
      <c r="H1358" t="s">
        <v>20</v>
      </c>
      <c r="I1358">
        <v>1</v>
      </c>
      <c r="J1358">
        <v>1</v>
      </c>
      <c r="K1358" s="1">
        <v>170</v>
      </c>
      <c r="L1358" t="s">
        <v>41</v>
      </c>
      <c r="M1358" t="s">
        <v>115</v>
      </c>
      <c r="N1358" t="s">
        <v>215</v>
      </c>
      <c r="O1358" t="s">
        <v>1419</v>
      </c>
      <c r="P1358" t="s">
        <v>3748</v>
      </c>
      <c r="Q1358">
        <f t="shared" si="378"/>
        <v>2</v>
      </c>
      <c r="R1358">
        <f t="shared" si="379"/>
        <v>5</v>
      </c>
      <c r="S1358">
        <f t="shared" si="380"/>
        <v>5</v>
      </c>
      <c r="T1358">
        <f t="shared" si="381"/>
        <v>2</v>
      </c>
      <c r="U1358">
        <v>170</v>
      </c>
      <c r="V1358">
        <f t="shared" si="382"/>
        <v>0</v>
      </c>
      <c r="W1358">
        <f t="shared" si="383"/>
        <v>0</v>
      </c>
      <c r="X1358">
        <f t="shared" si="384"/>
        <v>0</v>
      </c>
      <c r="Y1358">
        <f t="shared" si="385"/>
        <v>0</v>
      </c>
      <c r="Z1358">
        <f t="shared" si="386"/>
        <v>1</v>
      </c>
      <c r="AA1358">
        <f t="shared" si="387"/>
        <v>0</v>
      </c>
      <c r="AB1358">
        <f t="shared" si="388"/>
        <v>0</v>
      </c>
      <c r="AC1358">
        <f t="shared" si="389"/>
        <v>1</v>
      </c>
      <c r="AD1358">
        <f t="shared" si="390"/>
        <v>0</v>
      </c>
      <c r="AE1358">
        <f t="shared" si="391"/>
        <v>0</v>
      </c>
      <c r="AF1358">
        <f t="shared" si="392"/>
        <v>1</v>
      </c>
      <c r="AG1358">
        <f t="shared" si="393"/>
        <v>0</v>
      </c>
      <c r="AH1358">
        <f t="shared" si="394"/>
        <v>0</v>
      </c>
      <c r="AI1358">
        <f t="shared" si="395"/>
        <v>0</v>
      </c>
    </row>
    <row r="1359" spans="1:35" x14ac:dyDescent="0.2">
      <c r="A1359">
        <v>234</v>
      </c>
      <c r="B1359" t="s">
        <v>1398</v>
      </c>
      <c r="C1359">
        <v>8</v>
      </c>
      <c r="D1359" t="s">
        <v>3749</v>
      </c>
      <c r="E1359" t="s">
        <v>21</v>
      </c>
      <c r="F1359" t="s">
        <v>39</v>
      </c>
      <c r="G1359" t="s">
        <v>39</v>
      </c>
      <c r="H1359" t="s">
        <v>21</v>
      </c>
      <c r="I1359">
        <v>3</v>
      </c>
      <c r="J1359">
        <v>5</v>
      </c>
      <c r="K1359" t="s">
        <v>3750</v>
      </c>
      <c r="L1359" t="s">
        <v>41</v>
      </c>
      <c r="M1359" t="s">
        <v>280</v>
      </c>
      <c r="N1359" t="s">
        <v>43</v>
      </c>
      <c r="O1359" t="s">
        <v>3751</v>
      </c>
      <c r="P1359" t="s">
        <v>3752</v>
      </c>
      <c r="Q1359">
        <f t="shared" si="378"/>
        <v>1</v>
      </c>
      <c r="R1359">
        <f t="shared" si="379"/>
        <v>5</v>
      </c>
      <c r="S1359">
        <f t="shared" si="380"/>
        <v>5</v>
      </c>
      <c r="T1359">
        <f t="shared" si="381"/>
        <v>1</v>
      </c>
      <c r="U1359">
        <v>6000000</v>
      </c>
      <c r="V1359">
        <f t="shared" si="382"/>
        <v>0</v>
      </c>
      <c r="W1359">
        <f t="shared" si="383"/>
        <v>0</v>
      </c>
      <c r="X1359">
        <f t="shared" si="384"/>
        <v>0</v>
      </c>
      <c r="Y1359">
        <f t="shared" si="385"/>
        <v>0</v>
      </c>
      <c r="Z1359">
        <f t="shared" si="386"/>
        <v>1</v>
      </c>
      <c r="AA1359">
        <f t="shared" si="387"/>
        <v>0</v>
      </c>
      <c r="AB1359">
        <f t="shared" si="388"/>
        <v>1</v>
      </c>
      <c r="AC1359">
        <f t="shared" si="389"/>
        <v>1</v>
      </c>
      <c r="AD1359">
        <f t="shared" si="390"/>
        <v>1</v>
      </c>
      <c r="AE1359">
        <f t="shared" si="391"/>
        <v>0</v>
      </c>
      <c r="AF1359">
        <f t="shared" si="392"/>
        <v>1</v>
      </c>
      <c r="AG1359">
        <f t="shared" si="393"/>
        <v>1</v>
      </c>
      <c r="AH1359">
        <f t="shared" si="394"/>
        <v>0</v>
      </c>
      <c r="AI1359">
        <f t="shared" si="395"/>
        <v>0</v>
      </c>
    </row>
    <row r="1360" spans="1:35" x14ac:dyDescent="0.2">
      <c r="A1360">
        <v>235</v>
      </c>
      <c r="B1360" t="s">
        <v>1398</v>
      </c>
      <c r="C1360">
        <v>8</v>
      </c>
      <c r="D1360" t="s">
        <v>3753</v>
      </c>
      <c r="E1360" t="s">
        <v>20</v>
      </c>
      <c r="F1360" t="s">
        <v>18</v>
      </c>
      <c r="G1360" t="s">
        <v>18</v>
      </c>
      <c r="H1360" t="s">
        <v>21</v>
      </c>
      <c r="J1360">
        <v>1</v>
      </c>
      <c r="K1360">
        <v>30</v>
      </c>
      <c r="L1360" t="s">
        <v>79</v>
      </c>
      <c r="M1360" t="s">
        <v>123</v>
      </c>
      <c r="N1360" t="s">
        <v>43</v>
      </c>
      <c r="O1360" t="s">
        <v>3754</v>
      </c>
      <c r="P1360" t="s">
        <v>3755</v>
      </c>
      <c r="Q1360">
        <f t="shared" si="378"/>
        <v>2</v>
      </c>
      <c r="R1360">
        <f t="shared" si="379"/>
        <v>4</v>
      </c>
      <c r="S1360">
        <f t="shared" si="380"/>
        <v>4</v>
      </c>
      <c r="T1360">
        <f t="shared" si="381"/>
        <v>1</v>
      </c>
      <c r="U1360">
        <v>30</v>
      </c>
      <c r="V1360">
        <f t="shared" si="382"/>
        <v>0</v>
      </c>
      <c r="W1360">
        <f t="shared" si="383"/>
        <v>1</v>
      </c>
      <c r="X1360">
        <f t="shared" si="384"/>
        <v>0</v>
      </c>
      <c r="Y1360">
        <f t="shared" si="385"/>
        <v>0</v>
      </c>
      <c r="Z1360">
        <f t="shared" si="386"/>
        <v>1</v>
      </c>
      <c r="AA1360">
        <f t="shared" si="387"/>
        <v>0</v>
      </c>
      <c r="AB1360">
        <f t="shared" si="388"/>
        <v>1</v>
      </c>
      <c r="AC1360">
        <f t="shared" si="389"/>
        <v>1</v>
      </c>
      <c r="AD1360">
        <f t="shared" si="390"/>
        <v>0</v>
      </c>
      <c r="AE1360">
        <f t="shared" si="391"/>
        <v>0</v>
      </c>
      <c r="AF1360">
        <f t="shared" si="392"/>
        <v>1</v>
      </c>
      <c r="AG1360">
        <f t="shared" si="393"/>
        <v>1</v>
      </c>
      <c r="AH1360">
        <f t="shared" si="394"/>
        <v>0</v>
      </c>
      <c r="AI1360">
        <f t="shared" si="395"/>
        <v>0</v>
      </c>
    </row>
    <row r="1361" spans="1:35" x14ac:dyDescent="0.2">
      <c r="A1361">
        <v>236</v>
      </c>
      <c r="B1361" t="s">
        <v>1398</v>
      </c>
      <c r="C1361">
        <v>8</v>
      </c>
      <c r="D1361" t="s">
        <v>3756</v>
      </c>
      <c r="E1361" t="s">
        <v>39</v>
      </c>
      <c r="F1361" t="s">
        <v>39</v>
      </c>
      <c r="G1361" t="s">
        <v>39</v>
      </c>
      <c r="H1361" t="s">
        <v>19</v>
      </c>
      <c r="I1361">
        <v>2</v>
      </c>
      <c r="J1361">
        <v>1</v>
      </c>
      <c r="K1361" s="1">
        <v>40</v>
      </c>
      <c r="L1361" t="s">
        <v>34</v>
      </c>
      <c r="M1361" t="s">
        <v>48</v>
      </c>
      <c r="N1361" t="s">
        <v>215</v>
      </c>
      <c r="O1361" t="s">
        <v>1419</v>
      </c>
      <c r="P1361" t="s">
        <v>3757</v>
      </c>
      <c r="Q1361">
        <f t="shared" si="378"/>
        <v>5</v>
      </c>
      <c r="R1361">
        <f t="shared" si="379"/>
        <v>5</v>
      </c>
      <c r="S1361">
        <f t="shared" si="380"/>
        <v>5</v>
      </c>
      <c r="T1361">
        <f t="shared" si="381"/>
        <v>3</v>
      </c>
      <c r="U1361">
        <v>40</v>
      </c>
      <c r="V1361">
        <f t="shared" si="382"/>
        <v>1</v>
      </c>
      <c r="W1361">
        <f t="shared" si="383"/>
        <v>0</v>
      </c>
      <c r="X1361">
        <f t="shared" si="384"/>
        <v>0</v>
      </c>
      <c r="Y1361">
        <f t="shared" si="385"/>
        <v>1</v>
      </c>
      <c r="Z1361">
        <f t="shared" si="386"/>
        <v>0</v>
      </c>
      <c r="AA1361">
        <f t="shared" si="387"/>
        <v>1</v>
      </c>
      <c r="AB1361">
        <f t="shared" si="388"/>
        <v>1</v>
      </c>
      <c r="AC1361">
        <f t="shared" si="389"/>
        <v>1</v>
      </c>
      <c r="AD1361">
        <f t="shared" si="390"/>
        <v>0</v>
      </c>
      <c r="AE1361">
        <f t="shared" si="391"/>
        <v>0</v>
      </c>
      <c r="AF1361">
        <f t="shared" si="392"/>
        <v>1</v>
      </c>
      <c r="AG1361">
        <f t="shared" si="393"/>
        <v>0</v>
      </c>
      <c r="AH1361">
        <f t="shared" si="394"/>
        <v>0</v>
      </c>
      <c r="AI1361">
        <f t="shared" si="395"/>
        <v>0</v>
      </c>
    </row>
    <row r="1362" spans="1:35" x14ac:dyDescent="0.2">
      <c r="A1362">
        <v>237</v>
      </c>
      <c r="B1362" t="s">
        <v>1398</v>
      </c>
      <c r="C1362">
        <v>6</v>
      </c>
      <c r="D1362" t="s">
        <v>3758</v>
      </c>
      <c r="E1362" t="s">
        <v>20</v>
      </c>
      <c r="F1362" t="s">
        <v>18</v>
      </c>
      <c r="G1362" t="s">
        <v>39</v>
      </c>
      <c r="H1362" t="s">
        <v>21</v>
      </c>
      <c r="I1362">
        <v>3</v>
      </c>
      <c r="J1362">
        <v>4</v>
      </c>
      <c r="K1362">
        <v>15</v>
      </c>
      <c r="L1362" t="s">
        <v>41</v>
      </c>
      <c r="M1362" t="s">
        <v>115</v>
      </c>
      <c r="N1362" t="s">
        <v>84</v>
      </c>
      <c r="O1362" t="s">
        <v>1419</v>
      </c>
      <c r="P1362" t="s">
        <v>3759</v>
      </c>
      <c r="Q1362">
        <f t="shared" si="378"/>
        <v>2</v>
      </c>
      <c r="R1362">
        <f t="shared" si="379"/>
        <v>4</v>
      </c>
      <c r="S1362">
        <f t="shared" si="380"/>
        <v>5</v>
      </c>
      <c r="T1362">
        <f t="shared" si="381"/>
        <v>1</v>
      </c>
      <c r="U1362">
        <v>15</v>
      </c>
      <c r="V1362">
        <f t="shared" si="382"/>
        <v>0</v>
      </c>
      <c r="W1362">
        <f t="shared" si="383"/>
        <v>0</v>
      </c>
      <c r="X1362">
        <f t="shared" si="384"/>
        <v>0</v>
      </c>
      <c r="Y1362">
        <f t="shared" si="385"/>
        <v>0</v>
      </c>
      <c r="Z1362">
        <f t="shared" si="386"/>
        <v>1</v>
      </c>
      <c r="AA1362">
        <f t="shared" si="387"/>
        <v>0</v>
      </c>
      <c r="AB1362">
        <f t="shared" si="388"/>
        <v>0</v>
      </c>
      <c r="AC1362">
        <f t="shared" si="389"/>
        <v>1</v>
      </c>
      <c r="AD1362">
        <f t="shared" si="390"/>
        <v>0</v>
      </c>
      <c r="AE1362">
        <f t="shared" si="391"/>
        <v>0</v>
      </c>
      <c r="AF1362">
        <f t="shared" si="392"/>
        <v>0</v>
      </c>
      <c r="AG1362">
        <f t="shared" si="393"/>
        <v>1</v>
      </c>
      <c r="AH1362">
        <f t="shared" si="394"/>
        <v>0</v>
      </c>
      <c r="AI1362">
        <f t="shared" si="395"/>
        <v>0</v>
      </c>
    </row>
    <row r="1363" spans="1:35" x14ac:dyDescent="0.2">
      <c r="A1363">
        <v>238</v>
      </c>
      <c r="B1363" t="s">
        <v>1398</v>
      </c>
      <c r="C1363">
        <v>8</v>
      </c>
      <c r="D1363" t="s">
        <v>3760</v>
      </c>
      <c r="E1363" t="s">
        <v>21</v>
      </c>
      <c r="F1363" t="s">
        <v>39</v>
      </c>
      <c r="G1363" t="s">
        <v>39</v>
      </c>
      <c r="H1363" t="s">
        <v>21</v>
      </c>
      <c r="I1363">
        <v>1</v>
      </c>
      <c r="J1363">
        <v>2</v>
      </c>
      <c r="K1363">
        <v>100000</v>
      </c>
      <c r="L1363" t="s">
        <v>70</v>
      </c>
      <c r="M1363" t="s">
        <v>1098</v>
      </c>
      <c r="N1363" t="s">
        <v>84</v>
      </c>
      <c r="O1363" t="s">
        <v>3761</v>
      </c>
      <c r="P1363" t="s">
        <v>3762</v>
      </c>
      <c r="Q1363">
        <f t="shared" si="378"/>
        <v>1</v>
      </c>
      <c r="R1363">
        <f t="shared" si="379"/>
        <v>5</v>
      </c>
      <c r="S1363">
        <f t="shared" si="380"/>
        <v>5</v>
      </c>
      <c r="T1363">
        <f t="shared" si="381"/>
        <v>1</v>
      </c>
      <c r="U1363">
        <v>100000</v>
      </c>
      <c r="V1363">
        <f t="shared" si="382"/>
        <v>0</v>
      </c>
      <c r="W1363">
        <f t="shared" si="383"/>
        <v>0</v>
      </c>
      <c r="X1363">
        <f t="shared" si="384"/>
        <v>0</v>
      </c>
      <c r="Y1363">
        <f t="shared" si="385"/>
        <v>1</v>
      </c>
      <c r="Z1363">
        <f t="shared" si="386"/>
        <v>0</v>
      </c>
      <c r="AA1363">
        <f t="shared" si="387"/>
        <v>1</v>
      </c>
      <c r="AB1363">
        <f t="shared" si="388"/>
        <v>1</v>
      </c>
      <c r="AC1363">
        <f t="shared" si="389"/>
        <v>1</v>
      </c>
      <c r="AD1363">
        <f t="shared" si="390"/>
        <v>0</v>
      </c>
      <c r="AE1363">
        <f t="shared" si="391"/>
        <v>1</v>
      </c>
      <c r="AF1363">
        <f t="shared" si="392"/>
        <v>0</v>
      </c>
      <c r="AG1363">
        <f t="shared" si="393"/>
        <v>1</v>
      </c>
      <c r="AH1363">
        <f t="shared" si="394"/>
        <v>0</v>
      </c>
      <c r="AI1363">
        <f t="shared" si="395"/>
        <v>0</v>
      </c>
    </row>
    <row r="1364" spans="1:35" x14ac:dyDescent="0.2">
      <c r="A1364">
        <v>239</v>
      </c>
      <c r="B1364" t="s">
        <v>1398</v>
      </c>
      <c r="C1364">
        <v>8</v>
      </c>
      <c r="D1364" t="s">
        <v>3763</v>
      </c>
      <c r="E1364" t="s">
        <v>21</v>
      </c>
      <c r="F1364" t="s">
        <v>39</v>
      </c>
      <c r="G1364" t="s">
        <v>39</v>
      </c>
      <c r="H1364" t="s">
        <v>20</v>
      </c>
      <c r="I1364">
        <v>1</v>
      </c>
      <c r="J1364">
        <v>4</v>
      </c>
      <c r="K1364">
        <v>100</v>
      </c>
      <c r="L1364" t="s">
        <v>70</v>
      </c>
      <c r="M1364" t="s">
        <v>48</v>
      </c>
      <c r="N1364" t="s">
        <v>43</v>
      </c>
      <c r="O1364" t="s">
        <v>3764</v>
      </c>
      <c r="P1364" t="s">
        <v>3765</v>
      </c>
      <c r="Q1364">
        <f t="shared" si="378"/>
        <v>1</v>
      </c>
      <c r="R1364">
        <f t="shared" si="379"/>
        <v>5</v>
      </c>
      <c r="S1364">
        <f t="shared" si="380"/>
        <v>5</v>
      </c>
      <c r="T1364">
        <f t="shared" si="381"/>
        <v>2</v>
      </c>
      <c r="U1364">
        <v>100</v>
      </c>
      <c r="V1364">
        <f t="shared" si="382"/>
        <v>0</v>
      </c>
      <c r="W1364">
        <f t="shared" si="383"/>
        <v>0</v>
      </c>
      <c r="X1364">
        <f t="shared" si="384"/>
        <v>0</v>
      </c>
      <c r="Y1364">
        <f t="shared" si="385"/>
        <v>1</v>
      </c>
      <c r="Z1364">
        <f t="shared" si="386"/>
        <v>0</v>
      </c>
      <c r="AA1364">
        <f t="shared" si="387"/>
        <v>1</v>
      </c>
      <c r="AB1364">
        <f t="shared" si="388"/>
        <v>1</v>
      </c>
      <c r="AC1364">
        <f t="shared" si="389"/>
        <v>1</v>
      </c>
      <c r="AD1364">
        <f t="shared" si="390"/>
        <v>0</v>
      </c>
      <c r="AE1364">
        <f t="shared" si="391"/>
        <v>0</v>
      </c>
      <c r="AF1364">
        <f t="shared" si="392"/>
        <v>1</v>
      </c>
      <c r="AG1364">
        <f t="shared" si="393"/>
        <v>1</v>
      </c>
      <c r="AH1364">
        <f t="shared" si="394"/>
        <v>0</v>
      </c>
      <c r="AI1364">
        <f t="shared" si="395"/>
        <v>0</v>
      </c>
    </row>
    <row r="1365" spans="1:35" x14ac:dyDescent="0.2">
      <c r="A1365">
        <v>240</v>
      </c>
      <c r="B1365" t="s">
        <v>1398</v>
      </c>
      <c r="C1365">
        <v>10</v>
      </c>
      <c r="D1365" t="s">
        <v>3766</v>
      </c>
      <c r="E1365" t="s">
        <v>21</v>
      </c>
      <c r="F1365" t="s">
        <v>39</v>
      </c>
      <c r="G1365" t="s">
        <v>39</v>
      </c>
      <c r="H1365" t="s">
        <v>21</v>
      </c>
      <c r="I1365">
        <v>3</v>
      </c>
      <c r="J1365">
        <v>2</v>
      </c>
      <c r="K1365">
        <v>50</v>
      </c>
      <c r="L1365" t="s">
        <v>946</v>
      </c>
      <c r="M1365" t="s">
        <v>115</v>
      </c>
      <c r="N1365" t="s">
        <v>215</v>
      </c>
      <c r="O1365" t="s">
        <v>3767</v>
      </c>
      <c r="P1365" t="s">
        <v>3768</v>
      </c>
      <c r="Q1365">
        <f t="shared" si="378"/>
        <v>1</v>
      </c>
      <c r="R1365">
        <f t="shared" si="379"/>
        <v>5</v>
      </c>
      <c r="S1365">
        <f t="shared" si="380"/>
        <v>5</v>
      </c>
      <c r="T1365">
        <f t="shared" si="381"/>
        <v>1</v>
      </c>
      <c r="U1365">
        <v>50</v>
      </c>
      <c r="V1365">
        <f t="shared" si="382"/>
        <v>0</v>
      </c>
      <c r="W1365">
        <f t="shared" si="383"/>
        <v>1</v>
      </c>
      <c r="X1365">
        <f t="shared" si="384"/>
        <v>1</v>
      </c>
      <c r="Y1365">
        <f t="shared" si="385"/>
        <v>1</v>
      </c>
      <c r="Z1365">
        <f t="shared" si="386"/>
        <v>0</v>
      </c>
      <c r="AA1365">
        <f t="shared" si="387"/>
        <v>0</v>
      </c>
      <c r="AB1365">
        <f t="shared" si="388"/>
        <v>0</v>
      </c>
      <c r="AC1365">
        <f t="shared" si="389"/>
        <v>1</v>
      </c>
      <c r="AD1365">
        <f t="shared" si="390"/>
        <v>0</v>
      </c>
      <c r="AE1365">
        <f t="shared" si="391"/>
        <v>0</v>
      </c>
      <c r="AF1365">
        <f t="shared" si="392"/>
        <v>1</v>
      </c>
      <c r="AG1365">
        <f t="shared" si="393"/>
        <v>0</v>
      </c>
      <c r="AH1365">
        <f t="shared" si="394"/>
        <v>0</v>
      </c>
      <c r="AI1365">
        <f t="shared" si="395"/>
        <v>0</v>
      </c>
    </row>
    <row r="1366" spans="1:35" x14ac:dyDescent="0.2">
      <c r="A1366">
        <v>241</v>
      </c>
      <c r="B1366" t="s">
        <v>1398</v>
      </c>
      <c r="C1366">
        <v>9</v>
      </c>
      <c r="D1366" t="s">
        <v>3769</v>
      </c>
      <c r="E1366" t="s">
        <v>21</v>
      </c>
      <c r="F1366" t="s">
        <v>39</v>
      </c>
      <c r="G1366" t="s">
        <v>39</v>
      </c>
      <c r="H1366" t="s">
        <v>21</v>
      </c>
      <c r="I1366">
        <v>3</v>
      </c>
      <c r="J1366">
        <v>3</v>
      </c>
      <c r="K1366">
        <v>100000</v>
      </c>
      <c r="L1366" t="s">
        <v>946</v>
      </c>
      <c r="M1366" t="s">
        <v>161</v>
      </c>
      <c r="N1366" t="s">
        <v>84</v>
      </c>
      <c r="O1366" t="s">
        <v>977</v>
      </c>
      <c r="P1366" t="s">
        <v>3770</v>
      </c>
      <c r="Q1366">
        <f t="shared" si="378"/>
        <v>1</v>
      </c>
      <c r="R1366">
        <f t="shared" si="379"/>
        <v>5</v>
      </c>
      <c r="S1366">
        <f t="shared" si="380"/>
        <v>5</v>
      </c>
      <c r="T1366">
        <f t="shared" si="381"/>
        <v>1</v>
      </c>
      <c r="U1366">
        <v>100000</v>
      </c>
      <c r="V1366">
        <f t="shared" si="382"/>
        <v>0</v>
      </c>
      <c r="W1366">
        <f t="shared" si="383"/>
        <v>1</v>
      </c>
      <c r="X1366">
        <f t="shared" si="384"/>
        <v>1</v>
      </c>
      <c r="Y1366">
        <f t="shared" si="385"/>
        <v>1</v>
      </c>
      <c r="Z1366">
        <f t="shared" si="386"/>
        <v>0</v>
      </c>
      <c r="AA1366">
        <f t="shared" si="387"/>
        <v>1</v>
      </c>
      <c r="AB1366">
        <f t="shared" si="388"/>
        <v>1</v>
      </c>
      <c r="AC1366">
        <f t="shared" si="389"/>
        <v>1</v>
      </c>
      <c r="AD1366">
        <f t="shared" si="390"/>
        <v>1</v>
      </c>
      <c r="AE1366">
        <f t="shared" si="391"/>
        <v>0</v>
      </c>
      <c r="AF1366">
        <f t="shared" si="392"/>
        <v>0</v>
      </c>
      <c r="AG1366">
        <f t="shared" si="393"/>
        <v>1</v>
      </c>
      <c r="AH1366">
        <f t="shared" si="394"/>
        <v>0</v>
      </c>
      <c r="AI1366">
        <f t="shared" si="395"/>
        <v>0</v>
      </c>
    </row>
    <row r="1367" spans="1:35" x14ac:dyDescent="0.2">
      <c r="A1367">
        <v>242</v>
      </c>
      <c r="B1367" t="s">
        <v>1398</v>
      </c>
      <c r="C1367">
        <v>10</v>
      </c>
      <c r="D1367" t="s">
        <v>1418</v>
      </c>
      <c r="E1367" t="s">
        <v>19</v>
      </c>
      <c r="F1367" t="s">
        <v>39</v>
      </c>
      <c r="G1367" t="s">
        <v>18</v>
      </c>
      <c r="H1367" t="s">
        <v>21</v>
      </c>
      <c r="I1367">
        <v>2</v>
      </c>
      <c r="J1367">
        <v>3</v>
      </c>
      <c r="K1367">
        <v>1000</v>
      </c>
      <c r="L1367" t="s">
        <v>562</v>
      </c>
      <c r="M1367" t="s">
        <v>161</v>
      </c>
      <c r="N1367" t="s">
        <v>84</v>
      </c>
      <c r="O1367" t="s">
        <v>3771</v>
      </c>
      <c r="P1367" t="s">
        <v>3772</v>
      </c>
      <c r="Q1367">
        <f t="shared" si="378"/>
        <v>3</v>
      </c>
      <c r="R1367">
        <f t="shared" si="379"/>
        <v>5</v>
      </c>
      <c r="S1367">
        <f t="shared" si="380"/>
        <v>4</v>
      </c>
      <c r="T1367">
        <f t="shared" si="381"/>
        <v>1</v>
      </c>
      <c r="U1367">
        <v>1000</v>
      </c>
      <c r="V1367">
        <f t="shared" si="382"/>
        <v>0</v>
      </c>
      <c r="W1367">
        <f t="shared" si="383"/>
        <v>1</v>
      </c>
      <c r="X1367">
        <f t="shared" si="384"/>
        <v>1</v>
      </c>
      <c r="Y1367">
        <f t="shared" si="385"/>
        <v>0</v>
      </c>
      <c r="Z1367">
        <f t="shared" si="386"/>
        <v>1</v>
      </c>
      <c r="AA1367">
        <f t="shared" si="387"/>
        <v>1</v>
      </c>
      <c r="AB1367">
        <f t="shared" si="388"/>
        <v>1</v>
      </c>
      <c r="AC1367">
        <f t="shared" si="389"/>
        <v>1</v>
      </c>
      <c r="AD1367">
        <f t="shared" si="390"/>
        <v>1</v>
      </c>
      <c r="AE1367">
        <f t="shared" si="391"/>
        <v>0</v>
      </c>
      <c r="AF1367">
        <f t="shared" si="392"/>
        <v>0</v>
      </c>
      <c r="AG1367">
        <f t="shared" si="393"/>
        <v>1</v>
      </c>
      <c r="AH1367">
        <f t="shared" si="394"/>
        <v>0</v>
      </c>
      <c r="AI1367">
        <f t="shared" si="395"/>
        <v>0</v>
      </c>
    </row>
    <row r="1368" spans="1:35" x14ac:dyDescent="0.2">
      <c r="A1368">
        <v>243</v>
      </c>
      <c r="B1368" t="s">
        <v>1398</v>
      </c>
      <c r="C1368">
        <v>4</v>
      </c>
      <c r="D1368" t="s">
        <v>3773</v>
      </c>
      <c r="E1368" t="s">
        <v>20</v>
      </c>
      <c r="F1368" t="s">
        <v>18</v>
      </c>
      <c r="G1368" t="s">
        <v>18</v>
      </c>
      <c r="H1368" t="s">
        <v>21</v>
      </c>
      <c r="I1368">
        <v>3</v>
      </c>
      <c r="J1368">
        <v>3</v>
      </c>
      <c r="K1368">
        <v>5</v>
      </c>
      <c r="L1368" t="s">
        <v>41</v>
      </c>
      <c r="M1368" t="s">
        <v>23</v>
      </c>
      <c r="N1368" t="s">
        <v>215</v>
      </c>
      <c r="O1368" t="s">
        <v>3774</v>
      </c>
      <c r="P1368" t="s">
        <v>3775</v>
      </c>
      <c r="Q1368">
        <f t="shared" si="378"/>
        <v>2</v>
      </c>
      <c r="R1368">
        <f t="shared" si="379"/>
        <v>4</v>
      </c>
      <c r="S1368">
        <f t="shared" si="380"/>
        <v>4</v>
      </c>
      <c r="T1368">
        <f t="shared" si="381"/>
        <v>1</v>
      </c>
      <c r="U1368">
        <v>5</v>
      </c>
      <c r="V1368">
        <f t="shared" si="382"/>
        <v>0</v>
      </c>
      <c r="W1368">
        <f t="shared" si="383"/>
        <v>0</v>
      </c>
      <c r="X1368">
        <f t="shared" si="384"/>
        <v>0</v>
      </c>
      <c r="Y1368">
        <f t="shared" si="385"/>
        <v>0</v>
      </c>
      <c r="Z1368">
        <f t="shared" si="386"/>
        <v>1</v>
      </c>
      <c r="AA1368">
        <f t="shared" si="387"/>
        <v>1</v>
      </c>
      <c r="AB1368">
        <f t="shared" si="388"/>
        <v>0</v>
      </c>
      <c r="AC1368">
        <f t="shared" si="389"/>
        <v>0</v>
      </c>
      <c r="AD1368">
        <f t="shared" si="390"/>
        <v>0</v>
      </c>
      <c r="AE1368">
        <f t="shared" si="391"/>
        <v>0</v>
      </c>
      <c r="AF1368">
        <f t="shared" si="392"/>
        <v>1</v>
      </c>
      <c r="AG1368">
        <f t="shared" si="393"/>
        <v>0</v>
      </c>
      <c r="AH1368">
        <f t="shared" si="394"/>
        <v>0</v>
      </c>
      <c r="AI1368">
        <f t="shared" si="395"/>
        <v>0</v>
      </c>
    </row>
    <row r="1369" spans="1:35" x14ac:dyDescent="0.2">
      <c r="A1369">
        <v>244</v>
      </c>
      <c r="B1369" t="s">
        <v>1398</v>
      </c>
      <c r="C1369">
        <v>8</v>
      </c>
      <c r="D1369" t="s">
        <v>3776</v>
      </c>
      <c r="E1369" t="s">
        <v>21</v>
      </c>
      <c r="F1369" t="s">
        <v>39</v>
      </c>
      <c r="G1369" t="s">
        <v>39</v>
      </c>
      <c r="H1369" t="s">
        <v>21</v>
      </c>
      <c r="I1369">
        <v>2</v>
      </c>
      <c r="J1369">
        <v>1</v>
      </c>
      <c r="K1369">
        <v>1000</v>
      </c>
      <c r="L1369" t="s">
        <v>562</v>
      </c>
      <c r="M1369" t="s">
        <v>161</v>
      </c>
      <c r="N1369" t="s">
        <v>215</v>
      </c>
      <c r="O1369" t="s">
        <v>3777</v>
      </c>
      <c r="P1369" t="s">
        <v>3778</v>
      </c>
      <c r="Q1369">
        <f t="shared" si="378"/>
        <v>1</v>
      </c>
      <c r="R1369">
        <f t="shared" si="379"/>
        <v>5</v>
      </c>
      <c r="S1369">
        <f t="shared" si="380"/>
        <v>5</v>
      </c>
      <c r="T1369">
        <f t="shared" si="381"/>
        <v>1</v>
      </c>
      <c r="U1369">
        <v>1000</v>
      </c>
      <c r="V1369">
        <f t="shared" si="382"/>
        <v>0</v>
      </c>
      <c r="W1369">
        <f t="shared" si="383"/>
        <v>1</v>
      </c>
      <c r="X1369">
        <f t="shared" si="384"/>
        <v>1</v>
      </c>
      <c r="Y1369">
        <f t="shared" si="385"/>
        <v>0</v>
      </c>
      <c r="Z1369">
        <f t="shared" si="386"/>
        <v>1</v>
      </c>
      <c r="AA1369">
        <f t="shared" si="387"/>
        <v>1</v>
      </c>
      <c r="AB1369">
        <f t="shared" si="388"/>
        <v>1</v>
      </c>
      <c r="AC1369">
        <f t="shared" si="389"/>
        <v>1</v>
      </c>
      <c r="AD1369">
        <f t="shared" si="390"/>
        <v>1</v>
      </c>
      <c r="AE1369">
        <f t="shared" si="391"/>
        <v>0</v>
      </c>
      <c r="AF1369">
        <f t="shared" si="392"/>
        <v>1</v>
      </c>
      <c r="AG1369">
        <f t="shared" si="393"/>
        <v>0</v>
      </c>
      <c r="AH1369">
        <f t="shared" si="394"/>
        <v>0</v>
      </c>
      <c r="AI1369">
        <f t="shared" si="395"/>
        <v>0</v>
      </c>
    </row>
    <row r="1370" spans="1:35" x14ac:dyDescent="0.2">
      <c r="A1370">
        <v>245</v>
      </c>
      <c r="B1370" t="s">
        <v>1398</v>
      </c>
      <c r="C1370">
        <v>6</v>
      </c>
      <c r="D1370" t="s">
        <v>1379</v>
      </c>
      <c r="E1370" t="s">
        <v>20</v>
      </c>
      <c r="F1370" t="s">
        <v>18</v>
      </c>
      <c r="G1370" t="s">
        <v>39</v>
      </c>
      <c r="H1370" t="s">
        <v>20</v>
      </c>
      <c r="I1370">
        <v>4</v>
      </c>
      <c r="J1370">
        <v>3</v>
      </c>
      <c r="K1370">
        <v>90</v>
      </c>
      <c r="L1370" t="s">
        <v>562</v>
      </c>
      <c r="M1370" t="s">
        <v>280</v>
      </c>
      <c r="N1370" t="s">
        <v>43</v>
      </c>
      <c r="O1370" t="s">
        <v>3779</v>
      </c>
      <c r="P1370" t="s">
        <v>382</v>
      </c>
      <c r="Q1370">
        <f t="shared" si="378"/>
        <v>2</v>
      </c>
      <c r="R1370">
        <f t="shared" si="379"/>
        <v>4</v>
      </c>
      <c r="S1370">
        <f t="shared" si="380"/>
        <v>5</v>
      </c>
      <c r="T1370">
        <f t="shared" si="381"/>
        <v>2</v>
      </c>
      <c r="U1370">
        <v>90</v>
      </c>
      <c r="V1370">
        <f t="shared" si="382"/>
        <v>0</v>
      </c>
      <c r="W1370">
        <f t="shared" si="383"/>
        <v>1</v>
      </c>
      <c r="X1370">
        <f t="shared" si="384"/>
        <v>1</v>
      </c>
      <c r="Y1370">
        <f t="shared" si="385"/>
        <v>0</v>
      </c>
      <c r="Z1370">
        <f t="shared" si="386"/>
        <v>1</v>
      </c>
      <c r="AA1370">
        <f t="shared" si="387"/>
        <v>0</v>
      </c>
      <c r="AB1370">
        <f t="shared" si="388"/>
        <v>1</v>
      </c>
      <c r="AC1370">
        <f t="shared" si="389"/>
        <v>1</v>
      </c>
      <c r="AD1370">
        <f t="shared" si="390"/>
        <v>1</v>
      </c>
      <c r="AE1370">
        <f t="shared" si="391"/>
        <v>0</v>
      </c>
      <c r="AF1370">
        <f t="shared" si="392"/>
        <v>1</v>
      </c>
      <c r="AG1370">
        <f t="shared" si="393"/>
        <v>1</v>
      </c>
      <c r="AH1370">
        <f t="shared" si="394"/>
        <v>0</v>
      </c>
      <c r="AI1370">
        <f t="shared" si="395"/>
        <v>0</v>
      </c>
    </row>
    <row r="1371" spans="1:35" x14ac:dyDescent="0.2">
      <c r="A1371">
        <v>246</v>
      </c>
      <c r="B1371" t="s">
        <v>1398</v>
      </c>
      <c r="C1371">
        <v>8</v>
      </c>
      <c r="D1371" t="s">
        <v>3780</v>
      </c>
      <c r="E1371" t="s">
        <v>21</v>
      </c>
      <c r="F1371" t="s">
        <v>39</v>
      </c>
      <c r="G1371" t="s">
        <v>39</v>
      </c>
      <c r="H1371" t="s">
        <v>21</v>
      </c>
      <c r="I1371">
        <v>4</v>
      </c>
      <c r="J1371">
        <v>3</v>
      </c>
      <c r="K1371">
        <v>55</v>
      </c>
      <c r="L1371" t="s">
        <v>601</v>
      </c>
      <c r="M1371" t="s">
        <v>135</v>
      </c>
      <c r="N1371" t="s">
        <v>43</v>
      </c>
      <c r="O1371" t="s">
        <v>129</v>
      </c>
      <c r="P1371" t="s">
        <v>3781</v>
      </c>
      <c r="Q1371">
        <f t="shared" si="378"/>
        <v>1</v>
      </c>
      <c r="R1371">
        <f t="shared" si="379"/>
        <v>5</v>
      </c>
      <c r="S1371">
        <f t="shared" si="380"/>
        <v>5</v>
      </c>
      <c r="T1371">
        <f t="shared" si="381"/>
        <v>1</v>
      </c>
      <c r="U1371">
        <v>55</v>
      </c>
      <c r="V1371">
        <f t="shared" si="382"/>
        <v>0</v>
      </c>
      <c r="W1371">
        <f t="shared" si="383"/>
        <v>1</v>
      </c>
      <c r="X1371">
        <f t="shared" si="384"/>
        <v>0</v>
      </c>
      <c r="Y1371">
        <f t="shared" si="385"/>
        <v>1</v>
      </c>
      <c r="Z1371">
        <f t="shared" si="386"/>
        <v>1</v>
      </c>
      <c r="AA1371">
        <f t="shared" si="387"/>
        <v>1</v>
      </c>
      <c r="AB1371">
        <f t="shared" si="388"/>
        <v>1</v>
      </c>
      <c r="AC1371">
        <f t="shared" si="389"/>
        <v>0</v>
      </c>
      <c r="AD1371">
        <f t="shared" si="390"/>
        <v>0</v>
      </c>
      <c r="AE1371">
        <f t="shared" si="391"/>
        <v>0</v>
      </c>
      <c r="AF1371">
        <f t="shared" si="392"/>
        <v>1</v>
      </c>
      <c r="AG1371">
        <f t="shared" si="393"/>
        <v>1</v>
      </c>
      <c r="AH1371">
        <f t="shared" si="394"/>
        <v>0</v>
      </c>
      <c r="AI1371">
        <f t="shared" si="395"/>
        <v>0</v>
      </c>
    </row>
    <row r="1372" spans="1:35" x14ac:dyDescent="0.2">
      <c r="A1372">
        <v>247</v>
      </c>
      <c r="B1372" t="s">
        <v>1398</v>
      </c>
      <c r="C1372">
        <v>4</v>
      </c>
      <c r="D1372" t="s">
        <v>3782</v>
      </c>
      <c r="E1372" t="s">
        <v>20</v>
      </c>
      <c r="F1372" t="s">
        <v>18</v>
      </c>
      <c r="G1372" t="s">
        <v>18</v>
      </c>
      <c r="H1372" t="s">
        <v>20</v>
      </c>
      <c r="I1372">
        <v>3</v>
      </c>
      <c r="J1372">
        <v>1</v>
      </c>
      <c r="K1372" s="1">
        <v>15</v>
      </c>
      <c r="L1372" t="s">
        <v>194</v>
      </c>
      <c r="M1372" t="s">
        <v>468</v>
      </c>
      <c r="N1372" t="s">
        <v>215</v>
      </c>
      <c r="O1372" t="s">
        <v>3783</v>
      </c>
      <c r="P1372" t="s">
        <v>3784</v>
      </c>
      <c r="Q1372">
        <f t="shared" si="378"/>
        <v>2</v>
      </c>
      <c r="R1372">
        <f t="shared" si="379"/>
        <v>4</v>
      </c>
      <c r="S1372">
        <f t="shared" si="380"/>
        <v>4</v>
      </c>
      <c r="T1372">
        <f t="shared" si="381"/>
        <v>2</v>
      </c>
      <c r="U1372">
        <v>15</v>
      </c>
      <c r="V1372">
        <f t="shared" si="382"/>
        <v>0</v>
      </c>
      <c r="W1372">
        <f t="shared" si="383"/>
        <v>0</v>
      </c>
      <c r="X1372">
        <f t="shared" si="384"/>
        <v>0</v>
      </c>
      <c r="Y1372">
        <f t="shared" si="385"/>
        <v>1</v>
      </c>
      <c r="Z1372">
        <f t="shared" si="386"/>
        <v>1</v>
      </c>
      <c r="AA1372">
        <f t="shared" si="387"/>
        <v>1</v>
      </c>
      <c r="AB1372">
        <f t="shared" si="388"/>
        <v>1</v>
      </c>
      <c r="AC1372">
        <f t="shared" si="389"/>
        <v>1</v>
      </c>
      <c r="AD1372">
        <f t="shared" si="390"/>
        <v>1</v>
      </c>
      <c r="AE1372">
        <f t="shared" si="391"/>
        <v>1</v>
      </c>
      <c r="AF1372">
        <f t="shared" si="392"/>
        <v>1</v>
      </c>
      <c r="AG1372">
        <f t="shared" si="393"/>
        <v>0</v>
      </c>
      <c r="AH1372">
        <f t="shared" si="394"/>
        <v>0</v>
      </c>
      <c r="AI1372">
        <f t="shared" si="395"/>
        <v>0</v>
      </c>
    </row>
    <row r="1373" spans="1:35" x14ac:dyDescent="0.2">
      <c r="A1373">
        <v>248</v>
      </c>
      <c r="B1373" t="s">
        <v>1398</v>
      </c>
      <c r="C1373">
        <v>7</v>
      </c>
      <c r="D1373" t="s">
        <v>816</v>
      </c>
      <c r="E1373" t="s">
        <v>21</v>
      </c>
      <c r="F1373" t="s">
        <v>18</v>
      </c>
      <c r="G1373" t="s">
        <v>18</v>
      </c>
      <c r="H1373" t="s">
        <v>21</v>
      </c>
      <c r="I1373">
        <v>2</v>
      </c>
      <c r="J1373">
        <v>2</v>
      </c>
      <c r="K1373">
        <v>500</v>
      </c>
      <c r="L1373" t="s">
        <v>41</v>
      </c>
      <c r="M1373" t="s">
        <v>35</v>
      </c>
      <c r="N1373" t="s">
        <v>215</v>
      </c>
      <c r="O1373" t="s">
        <v>959</v>
      </c>
      <c r="P1373" t="s">
        <v>3708</v>
      </c>
      <c r="Q1373">
        <f t="shared" si="378"/>
        <v>1</v>
      </c>
      <c r="R1373">
        <f t="shared" si="379"/>
        <v>4</v>
      </c>
      <c r="S1373">
        <f t="shared" si="380"/>
        <v>4</v>
      </c>
      <c r="T1373">
        <f t="shared" si="381"/>
        <v>1</v>
      </c>
      <c r="U1373">
        <v>500</v>
      </c>
      <c r="V1373">
        <f t="shared" si="382"/>
        <v>0</v>
      </c>
      <c r="W1373">
        <f t="shared" si="383"/>
        <v>0</v>
      </c>
      <c r="X1373">
        <f t="shared" si="384"/>
        <v>0</v>
      </c>
      <c r="Y1373">
        <f t="shared" si="385"/>
        <v>0</v>
      </c>
      <c r="Z1373">
        <f t="shared" si="386"/>
        <v>1</v>
      </c>
      <c r="AA1373">
        <f t="shared" si="387"/>
        <v>0</v>
      </c>
      <c r="AB1373">
        <f t="shared" si="388"/>
        <v>0</v>
      </c>
      <c r="AC1373">
        <f t="shared" si="389"/>
        <v>0</v>
      </c>
      <c r="AD1373">
        <f t="shared" si="390"/>
        <v>1</v>
      </c>
      <c r="AE1373">
        <f t="shared" si="391"/>
        <v>0</v>
      </c>
      <c r="AF1373">
        <f t="shared" si="392"/>
        <v>1</v>
      </c>
      <c r="AG1373">
        <f t="shared" si="393"/>
        <v>0</v>
      </c>
      <c r="AH1373">
        <f t="shared" si="394"/>
        <v>0</v>
      </c>
      <c r="AI1373">
        <f t="shared" si="395"/>
        <v>0</v>
      </c>
    </row>
    <row r="1374" spans="1:35" x14ac:dyDescent="0.2">
      <c r="A1374">
        <v>249</v>
      </c>
      <c r="B1374" t="s">
        <v>1398</v>
      </c>
      <c r="C1374">
        <v>5</v>
      </c>
      <c r="D1374" t="s">
        <v>2962</v>
      </c>
      <c r="E1374" t="s">
        <v>21</v>
      </c>
      <c r="F1374" t="s">
        <v>18</v>
      </c>
      <c r="G1374" t="s">
        <v>18</v>
      </c>
      <c r="H1374" t="s">
        <v>21</v>
      </c>
      <c r="I1374">
        <v>2</v>
      </c>
      <c r="J1374">
        <v>22</v>
      </c>
      <c r="K1374">
        <v>20</v>
      </c>
      <c r="L1374" t="s">
        <v>47</v>
      </c>
      <c r="M1374" t="s">
        <v>123</v>
      </c>
      <c r="N1374" t="s">
        <v>43</v>
      </c>
      <c r="O1374" t="s">
        <v>2116</v>
      </c>
      <c r="P1374" t="s">
        <v>3785</v>
      </c>
      <c r="Q1374">
        <f t="shared" si="378"/>
        <v>1</v>
      </c>
      <c r="R1374">
        <f t="shared" si="379"/>
        <v>4</v>
      </c>
      <c r="S1374">
        <f t="shared" si="380"/>
        <v>4</v>
      </c>
      <c r="T1374">
        <f t="shared" si="381"/>
        <v>1</v>
      </c>
      <c r="U1374">
        <v>20</v>
      </c>
      <c r="V1374">
        <f t="shared" si="382"/>
        <v>0</v>
      </c>
      <c r="W1374">
        <f t="shared" si="383"/>
        <v>0</v>
      </c>
      <c r="X1374">
        <f t="shared" si="384"/>
        <v>1</v>
      </c>
      <c r="Y1374">
        <f t="shared" si="385"/>
        <v>0</v>
      </c>
      <c r="Z1374">
        <f t="shared" si="386"/>
        <v>1</v>
      </c>
      <c r="AA1374">
        <f t="shared" si="387"/>
        <v>0</v>
      </c>
      <c r="AB1374">
        <f t="shared" si="388"/>
        <v>1</v>
      </c>
      <c r="AC1374">
        <f t="shared" si="389"/>
        <v>1</v>
      </c>
      <c r="AD1374">
        <f t="shared" si="390"/>
        <v>0</v>
      </c>
      <c r="AE1374">
        <f t="shared" si="391"/>
        <v>0</v>
      </c>
      <c r="AF1374">
        <f t="shared" si="392"/>
        <v>1</v>
      </c>
      <c r="AG1374">
        <f t="shared" si="393"/>
        <v>1</v>
      </c>
      <c r="AH1374">
        <f t="shared" si="394"/>
        <v>0</v>
      </c>
      <c r="AI1374">
        <f t="shared" si="395"/>
        <v>0</v>
      </c>
    </row>
    <row r="1375" spans="1:35" x14ac:dyDescent="0.2">
      <c r="A1375">
        <v>250</v>
      </c>
      <c r="B1375" t="s">
        <v>1398</v>
      </c>
      <c r="C1375">
        <v>7</v>
      </c>
      <c r="D1375" t="s">
        <v>3786</v>
      </c>
      <c r="E1375" t="s">
        <v>21</v>
      </c>
      <c r="F1375" t="s">
        <v>39</v>
      </c>
      <c r="G1375" t="s">
        <v>39</v>
      </c>
      <c r="H1375" t="s">
        <v>21</v>
      </c>
      <c r="I1375">
        <v>3</v>
      </c>
      <c r="J1375">
        <v>3</v>
      </c>
      <c r="K1375" t="s">
        <v>3787</v>
      </c>
      <c r="L1375" t="s">
        <v>1609</v>
      </c>
      <c r="M1375" t="s">
        <v>48</v>
      </c>
      <c r="N1375" t="s">
        <v>215</v>
      </c>
      <c r="O1375" t="s">
        <v>3788</v>
      </c>
      <c r="P1375" t="s">
        <v>3789</v>
      </c>
      <c r="Q1375">
        <f t="shared" si="378"/>
        <v>1</v>
      </c>
      <c r="R1375">
        <f t="shared" si="379"/>
        <v>5</v>
      </c>
      <c r="S1375">
        <f t="shared" si="380"/>
        <v>5</v>
      </c>
      <c r="T1375">
        <f t="shared" si="381"/>
        <v>1</v>
      </c>
      <c r="U1375">
        <v>4000000</v>
      </c>
      <c r="V1375">
        <f t="shared" si="382"/>
        <v>1</v>
      </c>
      <c r="W1375">
        <f t="shared" si="383"/>
        <v>1</v>
      </c>
      <c r="X1375">
        <f t="shared" si="384"/>
        <v>0</v>
      </c>
      <c r="Y1375">
        <f t="shared" si="385"/>
        <v>1</v>
      </c>
      <c r="Z1375">
        <f t="shared" si="386"/>
        <v>0</v>
      </c>
      <c r="AA1375">
        <f t="shared" si="387"/>
        <v>1</v>
      </c>
      <c r="AB1375">
        <f t="shared" si="388"/>
        <v>1</v>
      </c>
      <c r="AC1375">
        <f t="shared" si="389"/>
        <v>1</v>
      </c>
      <c r="AD1375">
        <f t="shared" si="390"/>
        <v>0</v>
      </c>
      <c r="AE1375">
        <f t="shared" si="391"/>
        <v>0</v>
      </c>
      <c r="AF1375">
        <f t="shared" si="392"/>
        <v>1</v>
      </c>
      <c r="AG1375">
        <f t="shared" si="393"/>
        <v>0</v>
      </c>
      <c r="AH1375">
        <f t="shared" si="394"/>
        <v>0</v>
      </c>
      <c r="AI1375">
        <f t="shared" si="395"/>
        <v>0</v>
      </c>
    </row>
    <row r="1376" spans="1:35" x14ac:dyDescent="0.2">
      <c r="A1376">
        <v>251</v>
      </c>
      <c r="B1376" t="s">
        <v>1398</v>
      </c>
      <c r="C1376">
        <v>8</v>
      </c>
      <c r="D1376" t="s">
        <v>3790</v>
      </c>
      <c r="E1376" t="s">
        <v>21</v>
      </c>
      <c r="F1376" t="s">
        <v>39</v>
      </c>
      <c r="G1376" t="s">
        <v>39</v>
      </c>
      <c r="H1376" t="s">
        <v>21</v>
      </c>
      <c r="I1376">
        <v>6</v>
      </c>
      <c r="J1376">
        <v>3</v>
      </c>
      <c r="K1376">
        <v>1000</v>
      </c>
      <c r="L1376" t="s">
        <v>194</v>
      </c>
      <c r="M1376" t="s">
        <v>80</v>
      </c>
      <c r="N1376" t="s">
        <v>84</v>
      </c>
      <c r="O1376" t="s">
        <v>593</v>
      </c>
      <c r="P1376" t="s">
        <v>3791</v>
      </c>
      <c r="Q1376">
        <f t="shared" si="378"/>
        <v>1</v>
      </c>
      <c r="R1376">
        <f t="shared" si="379"/>
        <v>5</v>
      </c>
      <c r="S1376">
        <f t="shared" si="380"/>
        <v>5</v>
      </c>
      <c r="T1376">
        <f t="shared" si="381"/>
        <v>1</v>
      </c>
      <c r="U1376">
        <v>1000</v>
      </c>
      <c r="V1376">
        <f t="shared" si="382"/>
        <v>0</v>
      </c>
      <c r="W1376">
        <f t="shared" si="383"/>
        <v>0</v>
      </c>
      <c r="X1376">
        <f t="shared" si="384"/>
        <v>0</v>
      </c>
      <c r="Y1376">
        <f t="shared" si="385"/>
        <v>1</v>
      </c>
      <c r="Z1376">
        <f t="shared" si="386"/>
        <v>1</v>
      </c>
      <c r="AA1376">
        <f t="shared" si="387"/>
        <v>1</v>
      </c>
      <c r="AB1376">
        <f t="shared" si="388"/>
        <v>1</v>
      </c>
      <c r="AC1376">
        <f t="shared" si="389"/>
        <v>0</v>
      </c>
      <c r="AD1376">
        <f t="shared" si="390"/>
        <v>0</v>
      </c>
      <c r="AE1376">
        <f t="shared" si="391"/>
        <v>1</v>
      </c>
      <c r="AF1376">
        <f t="shared" si="392"/>
        <v>0</v>
      </c>
      <c r="AG1376">
        <f t="shared" si="393"/>
        <v>1</v>
      </c>
      <c r="AH1376">
        <f t="shared" si="394"/>
        <v>0</v>
      </c>
      <c r="AI1376">
        <f t="shared" si="395"/>
        <v>0</v>
      </c>
    </row>
    <row r="1377" spans="1:35" x14ac:dyDescent="0.2">
      <c r="A1377">
        <v>252</v>
      </c>
      <c r="B1377" t="s">
        <v>1398</v>
      </c>
      <c r="Q1377" t="str">
        <f t="shared" si="378"/>
        <v/>
      </c>
      <c r="R1377" t="str">
        <f t="shared" si="379"/>
        <v/>
      </c>
      <c r="S1377" t="str">
        <f t="shared" si="380"/>
        <v/>
      </c>
      <c r="T1377" t="str">
        <f t="shared" si="381"/>
        <v/>
      </c>
      <c r="V1377">
        <f t="shared" si="382"/>
        <v>0</v>
      </c>
      <c r="W1377">
        <f t="shared" si="383"/>
        <v>0</v>
      </c>
      <c r="X1377">
        <f t="shared" si="384"/>
        <v>0</v>
      </c>
      <c r="Y1377">
        <f t="shared" si="385"/>
        <v>0</v>
      </c>
      <c r="Z1377">
        <f t="shared" si="386"/>
        <v>0</v>
      </c>
      <c r="AA1377">
        <f t="shared" si="387"/>
        <v>0</v>
      </c>
      <c r="AB1377">
        <f t="shared" si="388"/>
        <v>0</v>
      </c>
      <c r="AC1377">
        <f t="shared" si="389"/>
        <v>0</v>
      </c>
      <c r="AD1377">
        <f t="shared" si="390"/>
        <v>0</v>
      </c>
      <c r="AE1377">
        <f t="shared" si="391"/>
        <v>0</v>
      </c>
      <c r="AF1377">
        <f t="shared" si="392"/>
        <v>0</v>
      </c>
      <c r="AG1377">
        <f t="shared" si="393"/>
        <v>0</v>
      </c>
      <c r="AH1377">
        <f t="shared" si="394"/>
        <v>0</v>
      </c>
      <c r="AI1377">
        <f t="shared" si="395"/>
        <v>0</v>
      </c>
    </row>
    <row r="1378" spans="1:35" x14ac:dyDescent="0.2">
      <c r="A1378">
        <v>253</v>
      </c>
      <c r="B1378" t="s">
        <v>1398</v>
      </c>
      <c r="Q1378" t="str">
        <f t="shared" si="378"/>
        <v/>
      </c>
      <c r="R1378" t="str">
        <f t="shared" si="379"/>
        <v/>
      </c>
      <c r="S1378" t="str">
        <f t="shared" si="380"/>
        <v/>
      </c>
      <c r="T1378" t="str">
        <f t="shared" si="381"/>
        <v/>
      </c>
      <c r="V1378">
        <f t="shared" si="382"/>
        <v>0</v>
      </c>
      <c r="W1378">
        <f t="shared" si="383"/>
        <v>0</v>
      </c>
      <c r="X1378">
        <f t="shared" si="384"/>
        <v>0</v>
      </c>
      <c r="Y1378">
        <f t="shared" si="385"/>
        <v>0</v>
      </c>
      <c r="Z1378">
        <f t="shared" si="386"/>
        <v>0</v>
      </c>
      <c r="AA1378">
        <f t="shared" si="387"/>
        <v>0</v>
      </c>
      <c r="AB1378">
        <f t="shared" si="388"/>
        <v>0</v>
      </c>
      <c r="AC1378">
        <f t="shared" si="389"/>
        <v>0</v>
      </c>
      <c r="AD1378">
        <f t="shared" si="390"/>
        <v>0</v>
      </c>
      <c r="AE1378">
        <f t="shared" si="391"/>
        <v>0</v>
      </c>
      <c r="AF1378">
        <f t="shared" si="392"/>
        <v>0</v>
      </c>
      <c r="AG1378">
        <f t="shared" si="393"/>
        <v>0</v>
      </c>
      <c r="AH1378">
        <f t="shared" si="394"/>
        <v>0</v>
      </c>
      <c r="AI1378">
        <f t="shared" si="395"/>
        <v>0</v>
      </c>
    </row>
    <row r="1379" spans="1:35" x14ac:dyDescent="0.2">
      <c r="A1379">
        <v>254</v>
      </c>
      <c r="B1379" t="s">
        <v>1398</v>
      </c>
      <c r="Q1379" t="str">
        <f t="shared" si="378"/>
        <v/>
      </c>
      <c r="R1379" t="str">
        <f t="shared" si="379"/>
        <v/>
      </c>
      <c r="S1379" t="str">
        <f t="shared" si="380"/>
        <v/>
      </c>
      <c r="T1379" t="str">
        <f t="shared" si="381"/>
        <v/>
      </c>
      <c r="V1379">
        <f t="shared" si="382"/>
        <v>0</v>
      </c>
      <c r="W1379">
        <f t="shared" si="383"/>
        <v>0</v>
      </c>
      <c r="X1379">
        <f t="shared" si="384"/>
        <v>0</v>
      </c>
      <c r="Y1379">
        <f t="shared" si="385"/>
        <v>0</v>
      </c>
      <c r="Z1379">
        <f t="shared" si="386"/>
        <v>0</v>
      </c>
      <c r="AA1379">
        <f t="shared" si="387"/>
        <v>0</v>
      </c>
      <c r="AB1379">
        <f t="shared" si="388"/>
        <v>0</v>
      </c>
      <c r="AC1379">
        <f t="shared" si="389"/>
        <v>0</v>
      </c>
      <c r="AD1379">
        <f t="shared" si="390"/>
        <v>0</v>
      </c>
      <c r="AE1379">
        <f t="shared" si="391"/>
        <v>0</v>
      </c>
      <c r="AF1379">
        <f t="shared" si="392"/>
        <v>0</v>
      </c>
      <c r="AG1379">
        <f t="shared" si="393"/>
        <v>0</v>
      </c>
      <c r="AH1379">
        <f t="shared" si="394"/>
        <v>0</v>
      </c>
      <c r="AI1379">
        <f t="shared" si="395"/>
        <v>0</v>
      </c>
    </row>
    <row r="1380" spans="1:35" x14ac:dyDescent="0.2">
      <c r="A1380">
        <v>255</v>
      </c>
      <c r="B1380" t="s">
        <v>1398</v>
      </c>
      <c r="Q1380" t="str">
        <f t="shared" si="378"/>
        <v/>
      </c>
      <c r="R1380" t="str">
        <f t="shared" si="379"/>
        <v/>
      </c>
      <c r="S1380" t="str">
        <f t="shared" si="380"/>
        <v/>
      </c>
      <c r="T1380" t="str">
        <f t="shared" si="381"/>
        <v/>
      </c>
      <c r="V1380">
        <f t="shared" si="382"/>
        <v>0</v>
      </c>
      <c r="W1380">
        <f t="shared" si="383"/>
        <v>0</v>
      </c>
      <c r="X1380">
        <f t="shared" si="384"/>
        <v>0</v>
      </c>
      <c r="Y1380">
        <f t="shared" si="385"/>
        <v>0</v>
      </c>
      <c r="Z1380">
        <f t="shared" si="386"/>
        <v>0</v>
      </c>
      <c r="AA1380">
        <f t="shared" si="387"/>
        <v>0</v>
      </c>
      <c r="AB1380">
        <f t="shared" si="388"/>
        <v>0</v>
      </c>
      <c r="AC1380">
        <f t="shared" si="389"/>
        <v>0</v>
      </c>
      <c r="AD1380">
        <f t="shared" si="390"/>
        <v>0</v>
      </c>
      <c r="AE1380">
        <f t="shared" si="391"/>
        <v>0</v>
      </c>
      <c r="AF1380">
        <f t="shared" si="392"/>
        <v>0</v>
      </c>
      <c r="AG1380">
        <f t="shared" si="393"/>
        <v>0</v>
      </c>
      <c r="AH1380">
        <f t="shared" si="394"/>
        <v>0</v>
      </c>
      <c r="AI1380">
        <f t="shared" si="395"/>
        <v>0</v>
      </c>
    </row>
    <row r="1381" spans="1:35" x14ac:dyDescent="0.2">
      <c r="A1381">
        <v>256</v>
      </c>
      <c r="B1381" t="s">
        <v>1398</v>
      </c>
      <c r="Q1381" t="str">
        <f t="shared" si="378"/>
        <v/>
      </c>
      <c r="R1381" t="str">
        <f t="shared" si="379"/>
        <v/>
      </c>
      <c r="S1381" t="str">
        <f t="shared" si="380"/>
        <v/>
      </c>
      <c r="T1381" t="str">
        <f t="shared" si="381"/>
        <v/>
      </c>
      <c r="V1381">
        <f t="shared" si="382"/>
        <v>0</v>
      </c>
      <c r="W1381">
        <f t="shared" si="383"/>
        <v>0</v>
      </c>
      <c r="X1381">
        <f t="shared" si="384"/>
        <v>0</v>
      </c>
      <c r="Y1381">
        <f t="shared" si="385"/>
        <v>0</v>
      </c>
      <c r="Z1381">
        <f t="shared" si="386"/>
        <v>0</v>
      </c>
      <c r="AA1381">
        <f t="shared" si="387"/>
        <v>0</v>
      </c>
      <c r="AB1381">
        <f t="shared" si="388"/>
        <v>0</v>
      </c>
      <c r="AC1381">
        <f t="shared" si="389"/>
        <v>0</v>
      </c>
      <c r="AD1381">
        <f t="shared" si="390"/>
        <v>0</v>
      </c>
      <c r="AE1381">
        <f t="shared" si="391"/>
        <v>0</v>
      </c>
      <c r="AF1381">
        <f t="shared" si="392"/>
        <v>0</v>
      </c>
      <c r="AG1381">
        <f t="shared" si="393"/>
        <v>0</v>
      </c>
      <c r="AH1381">
        <f t="shared" si="394"/>
        <v>0</v>
      </c>
      <c r="AI1381">
        <f t="shared" si="395"/>
        <v>0</v>
      </c>
    </row>
    <row r="1382" spans="1:35" x14ac:dyDescent="0.2">
      <c r="A1382">
        <v>257</v>
      </c>
      <c r="B1382" t="s">
        <v>1398</v>
      </c>
      <c r="Q1382" t="str">
        <f t="shared" si="378"/>
        <v/>
      </c>
      <c r="R1382" t="str">
        <f t="shared" si="379"/>
        <v/>
      </c>
      <c r="S1382" t="str">
        <f t="shared" si="380"/>
        <v/>
      </c>
      <c r="T1382" t="str">
        <f t="shared" si="381"/>
        <v/>
      </c>
      <c r="V1382">
        <f t="shared" si="382"/>
        <v>0</v>
      </c>
      <c r="W1382">
        <f t="shared" si="383"/>
        <v>0</v>
      </c>
      <c r="X1382">
        <f t="shared" si="384"/>
        <v>0</v>
      </c>
      <c r="Y1382">
        <f t="shared" si="385"/>
        <v>0</v>
      </c>
      <c r="Z1382">
        <f t="shared" si="386"/>
        <v>0</v>
      </c>
      <c r="AA1382">
        <f t="shared" si="387"/>
        <v>0</v>
      </c>
      <c r="AB1382">
        <f t="shared" si="388"/>
        <v>0</v>
      </c>
      <c r="AC1382">
        <f t="shared" si="389"/>
        <v>0</v>
      </c>
      <c r="AD1382">
        <f t="shared" si="390"/>
        <v>0</v>
      </c>
      <c r="AE1382">
        <f t="shared" si="391"/>
        <v>0</v>
      </c>
      <c r="AF1382">
        <f t="shared" si="392"/>
        <v>0</v>
      </c>
      <c r="AG1382">
        <f t="shared" si="393"/>
        <v>0</v>
      </c>
      <c r="AH1382">
        <f t="shared" si="394"/>
        <v>0</v>
      </c>
      <c r="AI1382">
        <f t="shared" si="395"/>
        <v>0</v>
      </c>
    </row>
    <row r="1383" spans="1:35" x14ac:dyDescent="0.2">
      <c r="A1383">
        <v>258</v>
      </c>
      <c r="B1383" t="s">
        <v>1398</v>
      </c>
      <c r="Q1383" t="str">
        <f t="shared" si="378"/>
        <v/>
      </c>
      <c r="R1383" t="str">
        <f t="shared" si="379"/>
        <v/>
      </c>
      <c r="S1383" t="str">
        <f t="shared" si="380"/>
        <v/>
      </c>
      <c r="T1383" t="str">
        <f t="shared" si="381"/>
        <v/>
      </c>
      <c r="V1383">
        <f t="shared" si="382"/>
        <v>0</v>
      </c>
      <c r="W1383">
        <f t="shared" si="383"/>
        <v>0</v>
      </c>
      <c r="X1383">
        <f t="shared" si="384"/>
        <v>0</v>
      </c>
      <c r="Y1383">
        <f t="shared" si="385"/>
        <v>0</v>
      </c>
      <c r="Z1383">
        <f t="shared" si="386"/>
        <v>0</v>
      </c>
      <c r="AA1383">
        <f t="shared" si="387"/>
        <v>0</v>
      </c>
      <c r="AB1383">
        <f t="shared" si="388"/>
        <v>0</v>
      </c>
      <c r="AC1383">
        <f t="shared" si="389"/>
        <v>0</v>
      </c>
      <c r="AD1383">
        <f t="shared" si="390"/>
        <v>0</v>
      </c>
      <c r="AE1383">
        <f t="shared" si="391"/>
        <v>0</v>
      </c>
      <c r="AF1383">
        <f t="shared" si="392"/>
        <v>0</v>
      </c>
      <c r="AG1383">
        <f t="shared" si="393"/>
        <v>0</v>
      </c>
      <c r="AH1383">
        <f t="shared" si="394"/>
        <v>0</v>
      </c>
      <c r="AI1383">
        <f t="shared" si="395"/>
        <v>0</v>
      </c>
    </row>
    <row r="1384" spans="1:35" x14ac:dyDescent="0.2">
      <c r="A1384">
        <v>259</v>
      </c>
      <c r="B1384" t="s">
        <v>1398</v>
      </c>
      <c r="Q1384" t="str">
        <f t="shared" si="378"/>
        <v/>
      </c>
      <c r="R1384" t="str">
        <f t="shared" si="379"/>
        <v/>
      </c>
      <c r="S1384" t="str">
        <f t="shared" si="380"/>
        <v/>
      </c>
      <c r="T1384" t="str">
        <f t="shared" si="381"/>
        <v/>
      </c>
      <c r="V1384">
        <f t="shared" si="382"/>
        <v>0</v>
      </c>
      <c r="W1384">
        <f t="shared" si="383"/>
        <v>0</v>
      </c>
      <c r="X1384">
        <f t="shared" si="384"/>
        <v>0</v>
      </c>
      <c r="Y1384">
        <f t="shared" si="385"/>
        <v>0</v>
      </c>
      <c r="Z1384">
        <f t="shared" si="386"/>
        <v>0</v>
      </c>
      <c r="AA1384">
        <f t="shared" si="387"/>
        <v>0</v>
      </c>
      <c r="AB1384">
        <f t="shared" si="388"/>
        <v>0</v>
      </c>
      <c r="AC1384">
        <f t="shared" si="389"/>
        <v>0</v>
      </c>
      <c r="AD1384">
        <f t="shared" si="390"/>
        <v>0</v>
      </c>
      <c r="AE1384">
        <f t="shared" si="391"/>
        <v>0</v>
      </c>
      <c r="AF1384">
        <f t="shared" si="392"/>
        <v>0</v>
      </c>
      <c r="AG1384">
        <f t="shared" si="393"/>
        <v>0</v>
      </c>
      <c r="AH1384">
        <f t="shared" si="394"/>
        <v>0</v>
      </c>
      <c r="AI1384">
        <f t="shared" si="395"/>
        <v>0</v>
      </c>
    </row>
    <row r="1385" spans="1:35" x14ac:dyDescent="0.2">
      <c r="A1385">
        <v>260</v>
      </c>
      <c r="B1385" t="s">
        <v>1398</v>
      </c>
      <c r="Q1385" t="str">
        <f t="shared" si="378"/>
        <v/>
      </c>
      <c r="R1385" t="str">
        <f t="shared" si="379"/>
        <v/>
      </c>
      <c r="S1385" t="str">
        <f t="shared" si="380"/>
        <v/>
      </c>
      <c r="T1385" t="str">
        <f t="shared" si="381"/>
        <v/>
      </c>
      <c r="V1385">
        <f t="shared" si="382"/>
        <v>0</v>
      </c>
      <c r="W1385">
        <f t="shared" si="383"/>
        <v>0</v>
      </c>
      <c r="X1385">
        <f t="shared" si="384"/>
        <v>0</v>
      </c>
      <c r="Y1385">
        <f t="shared" si="385"/>
        <v>0</v>
      </c>
      <c r="Z1385">
        <f t="shared" si="386"/>
        <v>0</v>
      </c>
      <c r="AA1385">
        <f t="shared" si="387"/>
        <v>0</v>
      </c>
      <c r="AB1385">
        <f t="shared" si="388"/>
        <v>0</v>
      </c>
      <c r="AC1385">
        <f t="shared" si="389"/>
        <v>0</v>
      </c>
      <c r="AD1385">
        <f t="shared" si="390"/>
        <v>0</v>
      </c>
      <c r="AE1385">
        <f t="shared" si="391"/>
        <v>0</v>
      </c>
      <c r="AF1385">
        <f t="shared" si="392"/>
        <v>0</v>
      </c>
      <c r="AG1385">
        <f t="shared" si="393"/>
        <v>0</v>
      </c>
      <c r="AH1385">
        <f t="shared" si="394"/>
        <v>0</v>
      </c>
      <c r="AI1385">
        <f t="shared" si="395"/>
        <v>0</v>
      </c>
    </row>
    <row r="1386" spans="1:35" x14ac:dyDescent="0.2">
      <c r="A1386">
        <v>261</v>
      </c>
      <c r="B1386" t="s">
        <v>1398</v>
      </c>
      <c r="Q1386" t="str">
        <f t="shared" si="378"/>
        <v/>
      </c>
      <c r="R1386" t="str">
        <f t="shared" si="379"/>
        <v/>
      </c>
      <c r="S1386" t="str">
        <f t="shared" si="380"/>
        <v/>
      </c>
      <c r="T1386" t="str">
        <f t="shared" si="381"/>
        <v/>
      </c>
      <c r="V1386">
        <f t="shared" si="382"/>
        <v>0</v>
      </c>
      <c r="W1386">
        <f t="shared" si="383"/>
        <v>0</v>
      </c>
      <c r="X1386">
        <f t="shared" si="384"/>
        <v>0</v>
      </c>
      <c r="Y1386">
        <f t="shared" si="385"/>
        <v>0</v>
      </c>
      <c r="Z1386">
        <f t="shared" si="386"/>
        <v>0</v>
      </c>
      <c r="AA1386">
        <f t="shared" si="387"/>
        <v>0</v>
      </c>
      <c r="AB1386">
        <f t="shared" si="388"/>
        <v>0</v>
      </c>
      <c r="AC1386">
        <f t="shared" si="389"/>
        <v>0</v>
      </c>
      <c r="AD1386">
        <f t="shared" si="390"/>
        <v>0</v>
      </c>
      <c r="AE1386">
        <f t="shared" si="391"/>
        <v>0</v>
      </c>
      <c r="AF1386">
        <f t="shared" si="392"/>
        <v>0</v>
      </c>
      <c r="AG1386">
        <f t="shared" si="393"/>
        <v>0</v>
      </c>
      <c r="AH1386">
        <f t="shared" si="394"/>
        <v>0</v>
      </c>
      <c r="AI1386">
        <f t="shared" si="395"/>
        <v>0</v>
      </c>
    </row>
    <row r="1387" spans="1:35" x14ac:dyDescent="0.2">
      <c r="A1387">
        <v>262</v>
      </c>
      <c r="B1387" t="s">
        <v>1398</v>
      </c>
      <c r="Q1387" t="str">
        <f t="shared" si="378"/>
        <v/>
      </c>
      <c r="R1387" t="str">
        <f t="shared" si="379"/>
        <v/>
      </c>
      <c r="S1387" t="str">
        <f t="shared" si="380"/>
        <v/>
      </c>
      <c r="T1387" t="str">
        <f t="shared" si="381"/>
        <v/>
      </c>
      <c r="V1387">
        <f t="shared" si="382"/>
        <v>0</v>
      </c>
      <c r="W1387">
        <f t="shared" si="383"/>
        <v>0</v>
      </c>
      <c r="X1387">
        <f t="shared" si="384"/>
        <v>0</v>
      </c>
      <c r="Y1387">
        <f t="shared" si="385"/>
        <v>0</v>
      </c>
      <c r="Z1387">
        <f t="shared" si="386"/>
        <v>0</v>
      </c>
      <c r="AA1387">
        <f t="shared" si="387"/>
        <v>0</v>
      </c>
      <c r="AB1387">
        <f t="shared" si="388"/>
        <v>0</v>
      </c>
      <c r="AC1387">
        <f t="shared" si="389"/>
        <v>0</v>
      </c>
      <c r="AD1387">
        <f t="shared" si="390"/>
        <v>0</v>
      </c>
      <c r="AE1387">
        <f t="shared" si="391"/>
        <v>0</v>
      </c>
      <c r="AF1387">
        <f t="shared" si="392"/>
        <v>0</v>
      </c>
      <c r="AG1387">
        <f t="shared" si="393"/>
        <v>0</v>
      </c>
      <c r="AH1387">
        <f t="shared" si="394"/>
        <v>0</v>
      </c>
      <c r="AI1387">
        <f t="shared" si="395"/>
        <v>0</v>
      </c>
    </row>
    <row r="1388" spans="1:35" x14ac:dyDescent="0.2">
      <c r="A1388">
        <v>263</v>
      </c>
      <c r="B1388" t="s">
        <v>1398</v>
      </c>
      <c r="C1388">
        <v>7</v>
      </c>
      <c r="D1388" t="s">
        <v>3792</v>
      </c>
      <c r="E1388" t="s">
        <v>20</v>
      </c>
      <c r="F1388" t="s">
        <v>18</v>
      </c>
      <c r="G1388" t="s">
        <v>39</v>
      </c>
      <c r="H1388" t="s">
        <v>21</v>
      </c>
      <c r="I1388">
        <v>3</v>
      </c>
      <c r="J1388">
        <v>2</v>
      </c>
      <c r="K1388">
        <v>30</v>
      </c>
      <c r="L1388" t="s">
        <v>53</v>
      </c>
      <c r="M1388" t="s">
        <v>42</v>
      </c>
      <c r="N1388" t="s">
        <v>215</v>
      </c>
      <c r="O1388" t="s">
        <v>116</v>
      </c>
      <c r="Q1388">
        <f t="shared" si="378"/>
        <v>2</v>
      </c>
      <c r="R1388">
        <f t="shared" si="379"/>
        <v>4</v>
      </c>
      <c r="S1388">
        <f t="shared" si="380"/>
        <v>5</v>
      </c>
      <c r="T1388">
        <f t="shared" si="381"/>
        <v>1</v>
      </c>
      <c r="U1388">
        <v>30</v>
      </c>
      <c r="V1388">
        <f t="shared" si="382"/>
        <v>0</v>
      </c>
      <c r="W1388">
        <f t="shared" si="383"/>
        <v>0</v>
      </c>
      <c r="X1388">
        <f t="shared" si="384"/>
        <v>1</v>
      </c>
      <c r="Y1388">
        <f t="shared" si="385"/>
        <v>0</v>
      </c>
      <c r="Z1388">
        <f t="shared" si="386"/>
        <v>0</v>
      </c>
      <c r="AA1388">
        <f t="shared" si="387"/>
        <v>0</v>
      </c>
      <c r="AB1388">
        <f t="shared" si="388"/>
        <v>1</v>
      </c>
      <c r="AC1388">
        <f t="shared" si="389"/>
        <v>0</v>
      </c>
      <c r="AD1388">
        <f t="shared" si="390"/>
        <v>0</v>
      </c>
      <c r="AE1388">
        <f t="shared" si="391"/>
        <v>0</v>
      </c>
      <c r="AF1388">
        <f t="shared" si="392"/>
        <v>1</v>
      </c>
      <c r="AG1388">
        <f t="shared" si="393"/>
        <v>0</v>
      </c>
      <c r="AH1388">
        <f t="shared" si="394"/>
        <v>0</v>
      </c>
      <c r="AI1388">
        <f t="shared" si="395"/>
        <v>0</v>
      </c>
    </row>
    <row r="1389" spans="1:35" x14ac:dyDescent="0.2">
      <c r="A1389">
        <v>264</v>
      </c>
      <c r="B1389" t="s">
        <v>1398</v>
      </c>
      <c r="Q1389" t="str">
        <f t="shared" si="378"/>
        <v/>
      </c>
      <c r="R1389" t="str">
        <f t="shared" si="379"/>
        <v/>
      </c>
      <c r="S1389" t="str">
        <f t="shared" si="380"/>
        <v/>
      </c>
      <c r="T1389" t="str">
        <f t="shared" si="381"/>
        <v/>
      </c>
      <c r="V1389">
        <f t="shared" si="382"/>
        <v>0</v>
      </c>
      <c r="W1389">
        <f t="shared" si="383"/>
        <v>0</v>
      </c>
      <c r="X1389">
        <f t="shared" si="384"/>
        <v>0</v>
      </c>
      <c r="Y1389">
        <f t="shared" si="385"/>
        <v>0</v>
      </c>
      <c r="Z1389">
        <f t="shared" si="386"/>
        <v>0</v>
      </c>
      <c r="AA1389">
        <f t="shared" si="387"/>
        <v>0</v>
      </c>
      <c r="AB1389">
        <f t="shared" si="388"/>
        <v>0</v>
      </c>
      <c r="AC1389">
        <f t="shared" si="389"/>
        <v>0</v>
      </c>
      <c r="AD1389">
        <f t="shared" si="390"/>
        <v>0</v>
      </c>
      <c r="AE1389">
        <f t="shared" si="391"/>
        <v>0</v>
      </c>
      <c r="AF1389">
        <f t="shared" si="392"/>
        <v>0</v>
      </c>
      <c r="AG1389">
        <f t="shared" si="393"/>
        <v>0</v>
      </c>
      <c r="AH1389">
        <f t="shared" si="394"/>
        <v>0</v>
      </c>
      <c r="AI1389">
        <f t="shared" si="395"/>
        <v>0</v>
      </c>
    </row>
    <row r="1390" spans="1:35" x14ac:dyDescent="0.2">
      <c r="A1390">
        <v>265</v>
      </c>
      <c r="B1390" t="s">
        <v>1398</v>
      </c>
      <c r="O1390" t="s">
        <v>1419</v>
      </c>
      <c r="Q1390" t="str">
        <f t="shared" si="378"/>
        <v/>
      </c>
      <c r="R1390" t="str">
        <f t="shared" si="379"/>
        <v/>
      </c>
      <c r="S1390" t="str">
        <f t="shared" si="380"/>
        <v/>
      </c>
      <c r="T1390" t="str">
        <f t="shared" si="381"/>
        <v/>
      </c>
      <c r="V1390">
        <f t="shared" si="382"/>
        <v>0</v>
      </c>
      <c r="W1390">
        <f t="shared" si="383"/>
        <v>0</v>
      </c>
      <c r="X1390">
        <f t="shared" si="384"/>
        <v>0</v>
      </c>
      <c r="Y1390">
        <f t="shared" si="385"/>
        <v>0</v>
      </c>
      <c r="Z1390">
        <f t="shared" si="386"/>
        <v>0</v>
      </c>
      <c r="AA1390">
        <f t="shared" si="387"/>
        <v>0</v>
      </c>
      <c r="AB1390">
        <f t="shared" si="388"/>
        <v>0</v>
      </c>
      <c r="AC1390">
        <f t="shared" si="389"/>
        <v>0</v>
      </c>
      <c r="AD1390">
        <f t="shared" si="390"/>
        <v>0</v>
      </c>
      <c r="AE1390">
        <f t="shared" si="391"/>
        <v>0</v>
      </c>
      <c r="AF1390">
        <f t="shared" si="392"/>
        <v>0</v>
      </c>
      <c r="AG1390">
        <f t="shared" si="393"/>
        <v>0</v>
      </c>
      <c r="AH1390">
        <f t="shared" si="394"/>
        <v>0</v>
      </c>
      <c r="AI1390">
        <f t="shared" si="395"/>
        <v>0</v>
      </c>
    </row>
    <row r="1391" spans="1:35" x14ac:dyDescent="0.2">
      <c r="A1391">
        <v>266</v>
      </c>
      <c r="B1391" t="s">
        <v>1398</v>
      </c>
      <c r="Q1391" t="str">
        <f t="shared" si="378"/>
        <v/>
      </c>
      <c r="R1391" t="str">
        <f t="shared" si="379"/>
        <v/>
      </c>
      <c r="S1391" t="str">
        <f t="shared" si="380"/>
        <v/>
      </c>
      <c r="T1391" t="str">
        <f t="shared" si="381"/>
        <v/>
      </c>
      <c r="V1391">
        <f t="shared" si="382"/>
        <v>0</v>
      </c>
      <c r="W1391">
        <f t="shared" si="383"/>
        <v>0</v>
      </c>
      <c r="X1391">
        <f t="shared" si="384"/>
        <v>0</v>
      </c>
      <c r="Y1391">
        <f t="shared" si="385"/>
        <v>0</v>
      </c>
      <c r="Z1391">
        <f t="shared" si="386"/>
        <v>0</v>
      </c>
      <c r="AA1391">
        <f t="shared" si="387"/>
        <v>0</v>
      </c>
      <c r="AB1391">
        <f t="shared" si="388"/>
        <v>0</v>
      </c>
      <c r="AC1391">
        <f t="shared" si="389"/>
        <v>0</v>
      </c>
      <c r="AD1391">
        <f t="shared" si="390"/>
        <v>0</v>
      </c>
      <c r="AE1391">
        <f t="shared" si="391"/>
        <v>0</v>
      </c>
      <c r="AF1391">
        <f t="shared" si="392"/>
        <v>0</v>
      </c>
      <c r="AG1391">
        <f t="shared" si="393"/>
        <v>0</v>
      </c>
      <c r="AH1391">
        <f t="shared" si="394"/>
        <v>0</v>
      </c>
      <c r="AI1391">
        <f t="shared" si="395"/>
        <v>0</v>
      </c>
    </row>
    <row r="1392" spans="1:35" x14ac:dyDescent="0.2">
      <c r="A1392">
        <v>267</v>
      </c>
      <c r="B1392" t="s">
        <v>1398</v>
      </c>
      <c r="Q1392" t="str">
        <f t="shared" si="378"/>
        <v/>
      </c>
      <c r="R1392" t="str">
        <f t="shared" si="379"/>
        <v/>
      </c>
      <c r="S1392" t="str">
        <f t="shared" si="380"/>
        <v/>
      </c>
      <c r="T1392" t="str">
        <f t="shared" si="381"/>
        <v/>
      </c>
      <c r="V1392">
        <f t="shared" si="382"/>
        <v>0</v>
      </c>
      <c r="W1392">
        <f t="shared" si="383"/>
        <v>0</v>
      </c>
      <c r="X1392">
        <f t="shared" si="384"/>
        <v>0</v>
      </c>
      <c r="Y1392">
        <f t="shared" si="385"/>
        <v>0</v>
      </c>
      <c r="Z1392">
        <f t="shared" si="386"/>
        <v>0</v>
      </c>
      <c r="AA1392">
        <f t="shared" si="387"/>
        <v>0</v>
      </c>
      <c r="AB1392">
        <f t="shared" si="388"/>
        <v>0</v>
      </c>
      <c r="AC1392">
        <f t="shared" si="389"/>
        <v>0</v>
      </c>
      <c r="AD1392">
        <f t="shared" si="390"/>
        <v>0</v>
      </c>
      <c r="AE1392">
        <f t="shared" si="391"/>
        <v>0</v>
      </c>
      <c r="AF1392">
        <f t="shared" si="392"/>
        <v>0</v>
      </c>
      <c r="AG1392">
        <f t="shared" si="393"/>
        <v>0</v>
      </c>
      <c r="AH1392">
        <f t="shared" si="394"/>
        <v>0</v>
      </c>
      <c r="AI1392">
        <f t="shared" si="395"/>
        <v>0</v>
      </c>
    </row>
    <row r="1393" spans="1:35" x14ac:dyDescent="0.2">
      <c r="A1393">
        <v>268</v>
      </c>
      <c r="B1393" t="s">
        <v>1398</v>
      </c>
      <c r="Q1393" t="str">
        <f t="shared" si="378"/>
        <v/>
      </c>
      <c r="R1393" t="str">
        <f t="shared" si="379"/>
        <v/>
      </c>
      <c r="S1393" t="str">
        <f t="shared" si="380"/>
        <v/>
      </c>
      <c r="T1393" t="str">
        <f t="shared" si="381"/>
        <v/>
      </c>
      <c r="V1393">
        <f t="shared" si="382"/>
        <v>0</v>
      </c>
      <c r="W1393">
        <f t="shared" si="383"/>
        <v>0</v>
      </c>
      <c r="X1393">
        <f t="shared" si="384"/>
        <v>0</v>
      </c>
      <c r="Y1393">
        <f t="shared" si="385"/>
        <v>0</v>
      </c>
      <c r="Z1393">
        <f t="shared" si="386"/>
        <v>0</v>
      </c>
      <c r="AA1393">
        <f t="shared" si="387"/>
        <v>0</v>
      </c>
      <c r="AB1393">
        <f t="shared" si="388"/>
        <v>0</v>
      </c>
      <c r="AC1393">
        <f t="shared" si="389"/>
        <v>0</v>
      </c>
      <c r="AD1393">
        <f t="shared" si="390"/>
        <v>0</v>
      </c>
      <c r="AE1393">
        <f t="shared" si="391"/>
        <v>0</v>
      </c>
      <c r="AF1393">
        <f t="shared" si="392"/>
        <v>0</v>
      </c>
      <c r="AG1393">
        <f t="shared" si="393"/>
        <v>0</v>
      </c>
      <c r="AH1393">
        <f t="shared" si="394"/>
        <v>0</v>
      </c>
      <c r="AI1393">
        <f t="shared" si="395"/>
        <v>0</v>
      </c>
    </row>
    <row r="1394" spans="1:35" x14ac:dyDescent="0.2">
      <c r="A1394">
        <v>269</v>
      </c>
      <c r="B1394" t="s">
        <v>1398</v>
      </c>
      <c r="Q1394" t="str">
        <f t="shared" si="378"/>
        <v/>
      </c>
      <c r="R1394" t="str">
        <f t="shared" si="379"/>
        <v/>
      </c>
      <c r="S1394" t="str">
        <f t="shared" si="380"/>
        <v/>
      </c>
      <c r="T1394" t="str">
        <f t="shared" si="381"/>
        <v/>
      </c>
      <c r="V1394">
        <f t="shared" si="382"/>
        <v>0</v>
      </c>
      <c r="W1394">
        <f t="shared" si="383"/>
        <v>0</v>
      </c>
      <c r="X1394">
        <f t="shared" si="384"/>
        <v>0</v>
      </c>
      <c r="Y1394">
        <f t="shared" si="385"/>
        <v>0</v>
      </c>
      <c r="Z1394">
        <f t="shared" si="386"/>
        <v>0</v>
      </c>
      <c r="AA1394">
        <f t="shared" si="387"/>
        <v>0</v>
      </c>
      <c r="AB1394">
        <f t="shared" si="388"/>
        <v>0</v>
      </c>
      <c r="AC1394">
        <f t="shared" si="389"/>
        <v>0</v>
      </c>
      <c r="AD1394">
        <f t="shared" si="390"/>
        <v>0</v>
      </c>
      <c r="AE1394">
        <f t="shared" si="391"/>
        <v>0</v>
      </c>
      <c r="AF1394">
        <f t="shared" si="392"/>
        <v>0</v>
      </c>
      <c r="AG1394">
        <f t="shared" si="393"/>
        <v>0</v>
      </c>
      <c r="AH1394">
        <f t="shared" si="394"/>
        <v>0</v>
      </c>
      <c r="AI1394">
        <f t="shared" si="395"/>
        <v>0</v>
      </c>
    </row>
    <row r="1395" spans="1:35" x14ac:dyDescent="0.2">
      <c r="A1395">
        <v>270</v>
      </c>
      <c r="B1395" t="s">
        <v>1398</v>
      </c>
      <c r="Q1395" t="str">
        <f t="shared" si="378"/>
        <v/>
      </c>
      <c r="R1395" t="str">
        <f t="shared" si="379"/>
        <v/>
      </c>
      <c r="S1395" t="str">
        <f t="shared" si="380"/>
        <v/>
      </c>
      <c r="T1395" t="str">
        <f t="shared" si="381"/>
        <v/>
      </c>
      <c r="V1395">
        <f t="shared" si="382"/>
        <v>0</v>
      </c>
      <c r="W1395">
        <f t="shared" si="383"/>
        <v>0</v>
      </c>
      <c r="X1395">
        <f t="shared" si="384"/>
        <v>0</v>
      </c>
      <c r="Y1395">
        <f t="shared" si="385"/>
        <v>0</v>
      </c>
      <c r="Z1395">
        <f t="shared" si="386"/>
        <v>0</v>
      </c>
      <c r="AA1395">
        <f t="shared" si="387"/>
        <v>0</v>
      </c>
      <c r="AB1395">
        <f t="shared" si="388"/>
        <v>0</v>
      </c>
      <c r="AC1395">
        <f t="shared" si="389"/>
        <v>0</v>
      </c>
      <c r="AD1395">
        <f t="shared" si="390"/>
        <v>0</v>
      </c>
      <c r="AE1395">
        <f t="shared" si="391"/>
        <v>0</v>
      </c>
      <c r="AF1395">
        <f t="shared" si="392"/>
        <v>0</v>
      </c>
      <c r="AG1395">
        <f t="shared" si="393"/>
        <v>0</v>
      </c>
      <c r="AH1395">
        <f t="shared" si="394"/>
        <v>0</v>
      </c>
      <c r="AI1395">
        <f t="shared" si="395"/>
        <v>0</v>
      </c>
    </row>
    <row r="1396" spans="1:35" x14ac:dyDescent="0.2">
      <c r="A1396">
        <v>271</v>
      </c>
      <c r="B1396" t="s">
        <v>1398</v>
      </c>
      <c r="C1396">
        <v>5</v>
      </c>
      <c r="D1396" t="s">
        <v>3793</v>
      </c>
      <c r="E1396" t="s">
        <v>21</v>
      </c>
      <c r="F1396" t="s">
        <v>39</v>
      </c>
      <c r="G1396" t="s">
        <v>18</v>
      </c>
      <c r="H1396" t="s">
        <v>21</v>
      </c>
      <c r="I1396">
        <v>3</v>
      </c>
      <c r="J1396">
        <v>1</v>
      </c>
      <c r="K1396" s="1">
        <v>200</v>
      </c>
      <c r="L1396" t="s">
        <v>194</v>
      </c>
      <c r="M1396" t="s">
        <v>161</v>
      </c>
      <c r="N1396" t="s">
        <v>215</v>
      </c>
      <c r="O1396" t="s">
        <v>1422</v>
      </c>
      <c r="P1396" t="s">
        <v>3794</v>
      </c>
      <c r="Q1396">
        <f t="shared" si="378"/>
        <v>1</v>
      </c>
      <c r="R1396">
        <f t="shared" si="379"/>
        <v>5</v>
      </c>
      <c r="S1396">
        <f t="shared" si="380"/>
        <v>4</v>
      </c>
      <c r="T1396">
        <f t="shared" si="381"/>
        <v>1</v>
      </c>
      <c r="U1396">
        <v>200</v>
      </c>
      <c r="V1396">
        <f t="shared" si="382"/>
        <v>0</v>
      </c>
      <c r="W1396">
        <f t="shared" si="383"/>
        <v>0</v>
      </c>
      <c r="X1396">
        <f t="shared" si="384"/>
        <v>0</v>
      </c>
      <c r="Y1396">
        <f t="shared" si="385"/>
        <v>1</v>
      </c>
      <c r="Z1396">
        <f t="shared" si="386"/>
        <v>1</v>
      </c>
      <c r="AA1396">
        <f t="shared" si="387"/>
        <v>1</v>
      </c>
      <c r="AB1396">
        <f t="shared" si="388"/>
        <v>1</v>
      </c>
      <c r="AC1396">
        <f t="shared" si="389"/>
        <v>1</v>
      </c>
      <c r="AD1396">
        <f t="shared" si="390"/>
        <v>1</v>
      </c>
      <c r="AE1396">
        <f t="shared" si="391"/>
        <v>0</v>
      </c>
      <c r="AF1396">
        <f t="shared" si="392"/>
        <v>1</v>
      </c>
      <c r="AG1396">
        <f t="shared" si="393"/>
        <v>0</v>
      </c>
      <c r="AH1396">
        <f t="shared" si="394"/>
        <v>0</v>
      </c>
      <c r="AI1396">
        <f t="shared" si="395"/>
        <v>0</v>
      </c>
    </row>
    <row r="1397" spans="1:35" x14ac:dyDescent="0.2">
      <c r="A1397">
        <v>272</v>
      </c>
      <c r="B1397" t="s">
        <v>1398</v>
      </c>
      <c r="C1397">
        <v>2</v>
      </c>
      <c r="D1397" t="s">
        <v>3795</v>
      </c>
      <c r="E1397" t="s">
        <v>19</v>
      </c>
      <c r="F1397" t="s">
        <v>18</v>
      </c>
      <c r="G1397" t="s">
        <v>39</v>
      </c>
      <c r="H1397" t="s">
        <v>21</v>
      </c>
      <c r="I1397">
        <v>1</v>
      </c>
      <c r="J1397">
        <v>2</v>
      </c>
      <c r="K1397">
        <v>50</v>
      </c>
      <c r="L1397" t="s">
        <v>230</v>
      </c>
      <c r="M1397" t="s">
        <v>154</v>
      </c>
      <c r="N1397" t="s">
        <v>43</v>
      </c>
      <c r="O1397" t="s">
        <v>1419</v>
      </c>
      <c r="P1397" t="s">
        <v>3796</v>
      </c>
      <c r="Q1397">
        <f t="shared" si="378"/>
        <v>3</v>
      </c>
      <c r="R1397">
        <f t="shared" si="379"/>
        <v>4</v>
      </c>
      <c r="S1397">
        <f t="shared" si="380"/>
        <v>5</v>
      </c>
      <c r="T1397">
        <f t="shared" si="381"/>
        <v>1</v>
      </c>
      <c r="U1397">
        <v>50</v>
      </c>
      <c r="V1397">
        <f t="shared" si="382"/>
        <v>1</v>
      </c>
      <c r="W1397">
        <f t="shared" si="383"/>
        <v>1</v>
      </c>
      <c r="X1397">
        <f t="shared" si="384"/>
        <v>1</v>
      </c>
      <c r="Y1397">
        <f t="shared" si="385"/>
        <v>1</v>
      </c>
      <c r="Z1397">
        <f t="shared" si="386"/>
        <v>1</v>
      </c>
      <c r="AA1397">
        <f t="shared" si="387"/>
        <v>1</v>
      </c>
      <c r="AB1397">
        <f t="shared" si="388"/>
        <v>0</v>
      </c>
      <c r="AC1397">
        <f t="shared" si="389"/>
        <v>1</v>
      </c>
      <c r="AD1397">
        <f t="shared" si="390"/>
        <v>0</v>
      </c>
      <c r="AE1397">
        <f t="shared" si="391"/>
        <v>0</v>
      </c>
      <c r="AF1397">
        <f t="shared" si="392"/>
        <v>1</v>
      </c>
      <c r="AG1397">
        <f t="shared" si="393"/>
        <v>1</v>
      </c>
      <c r="AH1397">
        <f t="shared" si="394"/>
        <v>0</v>
      </c>
      <c r="AI1397">
        <f t="shared" si="395"/>
        <v>0</v>
      </c>
    </row>
    <row r="1398" spans="1:35" x14ac:dyDescent="0.2">
      <c r="A1398">
        <v>273</v>
      </c>
      <c r="B1398" t="s">
        <v>1398</v>
      </c>
      <c r="C1398">
        <v>7.5</v>
      </c>
      <c r="D1398" t="s">
        <v>3797</v>
      </c>
      <c r="E1398" t="s">
        <v>39</v>
      </c>
      <c r="F1398" t="s">
        <v>39</v>
      </c>
      <c r="G1398" t="s">
        <v>39</v>
      </c>
      <c r="H1398" t="s">
        <v>21</v>
      </c>
      <c r="I1398">
        <v>2</v>
      </c>
      <c r="J1398">
        <v>1</v>
      </c>
      <c r="K1398" s="5">
        <v>46</v>
      </c>
      <c r="L1398" t="s">
        <v>601</v>
      </c>
      <c r="M1398" t="s">
        <v>48</v>
      </c>
      <c r="N1398" t="s">
        <v>43</v>
      </c>
      <c r="O1398" t="s">
        <v>3798</v>
      </c>
      <c r="P1398" t="s">
        <v>3799</v>
      </c>
      <c r="Q1398">
        <f t="shared" si="378"/>
        <v>5</v>
      </c>
      <c r="R1398">
        <f t="shared" si="379"/>
        <v>5</v>
      </c>
      <c r="S1398">
        <f t="shared" si="380"/>
        <v>5</v>
      </c>
      <c r="T1398">
        <f t="shared" si="381"/>
        <v>1</v>
      </c>
      <c r="U1398">
        <v>46</v>
      </c>
      <c r="V1398">
        <f t="shared" si="382"/>
        <v>0</v>
      </c>
      <c r="W1398">
        <f t="shared" si="383"/>
        <v>1</v>
      </c>
      <c r="X1398">
        <f t="shared" si="384"/>
        <v>0</v>
      </c>
      <c r="Y1398">
        <f t="shared" si="385"/>
        <v>1</v>
      </c>
      <c r="Z1398">
        <f t="shared" si="386"/>
        <v>1</v>
      </c>
      <c r="AA1398">
        <f t="shared" si="387"/>
        <v>1</v>
      </c>
      <c r="AB1398">
        <f t="shared" si="388"/>
        <v>1</v>
      </c>
      <c r="AC1398">
        <f t="shared" si="389"/>
        <v>1</v>
      </c>
      <c r="AD1398">
        <f t="shared" si="390"/>
        <v>0</v>
      </c>
      <c r="AE1398">
        <f t="shared" si="391"/>
        <v>0</v>
      </c>
      <c r="AF1398">
        <f t="shared" si="392"/>
        <v>1</v>
      </c>
      <c r="AG1398">
        <f t="shared" si="393"/>
        <v>1</v>
      </c>
      <c r="AH1398">
        <f t="shared" si="394"/>
        <v>0</v>
      </c>
      <c r="AI1398">
        <f t="shared" si="395"/>
        <v>0</v>
      </c>
    </row>
    <row r="1399" spans="1:35" ht="51" x14ac:dyDescent="0.2">
      <c r="A1399">
        <v>274</v>
      </c>
      <c r="B1399" t="s">
        <v>1398</v>
      </c>
      <c r="C1399">
        <v>5</v>
      </c>
      <c r="D1399" s="3" t="s">
        <v>3800</v>
      </c>
      <c r="E1399" t="s">
        <v>19</v>
      </c>
      <c r="F1399" t="s">
        <v>19</v>
      </c>
      <c r="G1399" t="s">
        <v>20</v>
      </c>
      <c r="H1399" t="s">
        <v>18</v>
      </c>
      <c r="I1399">
        <v>1</v>
      </c>
      <c r="J1399">
        <v>2</v>
      </c>
      <c r="K1399" t="s">
        <v>3801</v>
      </c>
      <c r="L1399" t="s">
        <v>53</v>
      </c>
      <c r="M1399" t="s">
        <v>35</v>
      </c>
      <c r="N1399" t="s">
        <v>84</v>
      </c>
      <c r="O1399" t="s">
        <v>3802</v>
      </c>
      <c r="P1399" t="s">
        <v>3803</v>
      </c>
      <c r="Q1399">
        <f t="shared" si="378"/>
        <v>3</v>
      </c>
      <c r="R1399">
        <f t="shared" si="379"/>
        <v>3</v>
      </c>
      <c r="S1399">
        <f t="shared" si="380"/>
        <v>2</v>
      </c>
      <c r="T1399">
        <f t="shared" si="381"/>
        <v>4</v>
      </c>
      <c r="U1399">
        <v>500</v>
      </c>
      <c r="V1399">
        <f t="shared" si="382"/>
        <v>0</v>
      </c>
      <c r="W1399">
        <f t="shared" si="383"/>
        <v>0</v>
      </c>
      <c r="X1399">
        <f t="shared" si="384"/>
        <v>1</v>
      </c>
      <c r="Y1399">
        <f t="shared" si="385"/>
        <v>0</v>
      </c>
      <c r="Z1399">
        <f t="shared" si="386"/>
        <v>0</v>
      </c>
      <c r="AA1399">
        <f t="shared" si="387"/>
        <v>0</v>
      </c>
      <c r="AB1399">
        <f t="shared" si="388"/>
        <v>0</v>
      </c>
      <c r="AC1399">
        <f t="shared" si="389"/>
        <v>0</v>
      </c>
      <c r="AD1399">
        <f t="shared" si="390"/>
        <v>1</v>
      </c>
      <c r="AE1399">
        <f t="shared" si="391"/>
        <v>0</v>
      </c>
      <c r="AF1399">
        <f t="shared" si="392"/>
        <v>0</v>
      </c>
      <c r="AG1399">
        <f t="shared" si="393"/>
        <v>1</v>
      </c>
      <c r="AH1399">
        <f t="shared" si="394"/>
        <v>0</v>
      </c>
      <c r="AI1399">
        <f t="shared" si="395"/>
        <v>0</v>
      </c>
    </row>
    <row r="1400" spans="1:35" x14ac:dyDescent="0.2">
      <c r="A1400">
        <v>275</v>
      </c>
      <c r="B1400" t="s">
        <v>1398</v>
      </c>
      <c r="C1400">
        <v>10</v>
      </c>
      <c r="D1400" t="s">
        <v>3804</v>
      </c>
      <c r="E1400" t="s">
        <v>21</v>
      </c>
      <c r="F1400" t="s">
        <v>39</v>
      </c>
      <c r="G1400" t="s">
        <v>39</v>
      </c>
      <c r="H1400" t="s">
        <v>21</v>
      </c>
      <c r="I1400">
        <v>1</v>
      </c>
      <c r="J1400">
        <v>1</v>
      </c>
      <c r="K1400" s="1">
        <v>200</v>
      </c>
      <c r="L1400" t="s">
        <v>230</v>
      </c>
      <c r="M1400" t="s">
        <v>468</v>
      </c>
      <c r="N1400" t="s">
        <v>84</v>
      </c>
      <c r="O1400" t="s">
        <v>3805</v>
      </c>
      <c r="P1400" t="s">
        <v>3806</v>
      </c>
      <c r="Q1400">
        <f t="shared" si="378"/>
        <v>1</v>
      </c>
      <c r="R1400">
        <f t="shared" si="379"/>
        <v>5</v>
      </c>
      <c r="S1400">
        <f t="shared" si="380"/>
        <v>5</v>
      </c>
      <c r="T1400">
        <f t="shared" si="381"/>
        <v>1</v>
      </c>
      <c r="U1400">
        <v>200</v>
      </c>
      <c r="V1400">
        <f t="shared" si="382"/>
        <v>1</v>
      </c>
      <c r="W1400">
        <f t="shared" si="383"/>
        <v>1</v>
      </c>
      <c r="X1400">
        <f t="shared" si="384"/>
        <v>1</v>
      </c>
      <c r="Y1400">
        <f t="shared" si="385"/>
        <v>1</v>
      </c>
      <c r="Z1400">
        <f t="shared" si="386"/>
        <v>1</v>
      </c>
      <c r="AA1400">
        <f t="shared" si="387"/>
        <v>1</v>
      </c>
      <c r="AB1400">
        <f t="shared" si="388"/>
        <v>1</v>
      </c>
      <c r="AC1400">
        <f t="shared" si="389"/>
        <v>1</v>
      </c>
      <c r="AD1400">
        <f t="shared" si="390"/>
        <v>1</v>
      </c>
      <c r="AE1400">
        <f t="shared" si="391"/>
        <v>1</v>
      </c>
      <c r="AF1400">
        <f t="shared" si="392"/>
        <v>0</v>
      </c>
      <c r="AG1400">
        <f t="shared" si="393"/>
        <v>1</v>
      </c>
      <c r="AH1400">
        <f t="shared" si="394"/>
        <v>0</v>
      </c>
      <c r="AI1400">
        <f t="shared" si="395"/>
        <v>0</v>
      </c>
    </row>
    <row r="1401" spans="1:35" x14ac:dyDescent="0.2">
      <c r="A1401">
        <v>276</v>
      </c>
      <c r="B1401" t="s">
        <v>1398</v>
      </c>
      <c r="C1401">
        <v>9</v>
      </c>
      <c r="D1401" t="s">
        <v>1418</v>
      </c>
      <c r="E1401" t="s">
        <v>21</v>
      </c>
      <c r="F1401" t="s">
        <v>39</v>
      </c>
      <c r="G1401" t="s">
        <v>39</v>
      </c>
      <c r="H1401" t="s">
        <v>21</v>
      </c>
      <c r="I1401">
        <v>1</v>
      </c>
      <c r="J1401">
        <v>1</v>
      </c>
      <c r="K1401">
        <v>300</v>
      </c>
      <c r="L1401" t="s">
        <v>41</v>
      </c>
      <c r="M1401" t="s">
        <v>42</v>
      </c>
      <c r="N1401" t="s">
        <v>215</v>
      </c>
      <c r="O1401" t="s">
        <v>959</v>
      </c>
      <c r="P1401" t="s">
        <v>3807</v>
      </c>
      <c r="Q1401">
        <f t="shared" si="378"/>
        <v>1</v>
      </c>
      <c r="R1401">
        <f t="shared" si="379"/>
        <v>5</v>
      </c>
      <c r="S1401">
        <f t="shared" si="380"/>
        <v>5</v>
      </c>
      <c r="T1401">
        <f t="shared" si="381"/>
        <v>1</v>
      </c>
      <c r="U1401">
        <v>300</v>
      </c>
      <c r="V1401">
        <f t="shared" si="382"/>
        <v>0</v>
      </c>
      <c r="W1401">
        <f t="shared" si="383"/>
        <v>0</v>
      </c>
      <c r="X1401">
        <f t="shared" si="384"/>
        <v>0</v>
      </c>
      <c r="Y1401">
        <f t="shared" si="385"/>
        <v>0</v>
      </c>
      <c r="Z1401">
        <f t="shared" si="386"/>
        <v>1</v>
      </c>
      <c r="AA1401">
        <f t="shared" si="387"/>
        <v>0</v>
      </c>
      <c r="AB1401">
        <f t="shared" si="388"/>
        <v>1</v>
      </c>
      <c r="AC1401">
        <f t="shared" si="389"/>
        <v>0</v>
      </c>
      <c r="AD1401">
        <f t="shared" si="390"/>
        <v>0</v>
      </c>
      <c r="AE1401">
        <f t="shared" si="391"/>
        <v>0</v>
      </c>
      <c r="AF1401">
        <f t="shared" si="392"/>
        <v>1</v>
      </c>
      <c r="AG1401">
        <f t="shared" si="393"/>
        <v>0</v>
      </c>
      <c r="AH1401">
        <f t="shared" si="394"/>
        <v>0</v>
      </c>
      <c r="AI1401">
        <f t="shared" si="395"/>
        <v>0</v>
      </c>
    </row>
    <row r="1402" spans="1:35" x14ac:dyDescent="0.2">
      <c r="A1402">
        <v>277</v>
      </c>
      <c r="B1402" t="s">
        <v>1398</v>
      </c>
      <c r="C1402">
        <v>7</v>
      </c>
      <c r="D1402" t="s">
        <v>3808</v>
      </c>
      <c r="E1402" t="s">
        <v>20</v>
      </c>
      <c r="F1402" t="s">
        <v>39</v>
      </c>
      <c r="G1402" t="s">
        <v>39</v>
      </c>
      <c r="H1402" t="s">
        <v>21</v>
      </c>
      <c r="I1402">
        <v>2</v>
      </c>
      <c r="J1402">
        <v>1</v>
      </c>
      <c r="K1402">
        <v>200</v>
      </c>
      <c r="L1402" t="s">
        <v>53</v>
      </c>
      <c r="M1402" t="s">
        <v>123</v>
      </c>
      <c r="N1402" t="s">
        <v>215</v>
      </c>
      <c r="O1402" t="s">
        <v>909</v>
      </c>
      <c r="P1402" t="s">
        <v>3809</v>
      </c>
      <c r="Q1402">
        <f t="shared" si="378"/>
        <v>2</v>
      </c>
      <c r="R1402">
        <f t="shared" si="379"/>
        <v>5</v>
      </c>
      <c r="S1402">
        <f t="shared" si="380"/>
        <v>5</v>
      </c>
      <c r="T1402">
        <f t="shared" si="381"/>
        <v>1</v>
      </c>
      <c r="U1402">
        <v>200</v>
      </c>
      <c r="V1402">
        <f t="shared" si="382"/>
        <v>0</v>
      </c>
      <c r="W1402">
        <f t="shared" si="383"/>
        <v>0</v>
      </c>
      <c r="X1402">
        <f t="shared" si="384"/>
        <v>1</v>
      </c>
      <c r="Y1402">
        <f t="shared" si="385"/>
        <v>0</v>
      </c>
      <c r="Z1402">
        <f t="shared" si="386"/>
        <v>0</v>
      </c>
      <c r="AA1402">
        <f t="shared" si="387"/>
        <v>0</v>
      </c>
      <c r="AB1402">
        <f t="shared" si="388"/>
        <v>1</v>
      </c>
      <c r="AC1402">
        <f t="shared" si="389"/>
        <v>1</v>
      </c>
      <c r="AD1402">
        <f t="shared" si="390"/>
        <v>0</v>
      </c>
      <c r="AE1402">
        <f t="shared" si="391"/>
        <v>0</v>
      </c>
      <c r="AF1402">
        <f t="shared" si="392"/>
        <v>1</v>
      </c>
      <c r="AG1402">
        <f t="shared" si="393"/>
        <v>0</v>
      </c>
      <c r="AH1402">
        <f t="shared" si="394"/>
        <v>0</v>
      </c>
      <c r="AI1402">
        <f t="shared" si="395"/>
        <v>0</v>
      </c>
    </row>
    <row r="1403" spans="1:35" x14ac:dyDescent="0.2">
      <c r="A1403">
        <v>278</v>
      </c>
      <c r="B1403" t="s">
        <v>1398</v>
      </c>
      <c r="C1403">
        <v>5</v>
      </c>
      <c r="D1403" t="s">
        <v>3810</v>
      </c>
      <c r="E1403" t="s">
        <v>39</v>
      </c>
      <c r="F1403" t="s">
        <v>20</v>
      </c>
      <c r="G1403" t="s">
        <v>39</v>
      </c>
      <c r="H1403" t="s">
        <v>20</v>
      </c>
      <c r="I1403">
        <v>5</v>
      </c>
      <c r="J1403">
        <v>1</v>
      </c>
      <c r="K1403">
        <v>500</v>
      </c>
      <c r="L1403" t="s">
        <v>776</v>
      </c>
      <c r="M1403" t="s">
        <v>23</v>
      </c>
      <c r="N1403" t="s">
        <v>215</v>
      </c>
      <c r="O1403" t="s">
        <v>3811</v>
      </c>
      <c r="P1403" t="s">
        <v>3812</v>
      </c>
      <c r="Q1403">
        <f t="shared" si="378"/>
        <v>5</v>
      </c>
      <c r="R1403">
        <f t="shared" si="379"/>
        <v>2</v>
      </c>
      <c r="S1403">
        <f t="shared" si="380"/>
        <v>5</v>
      </c>
      <c r="T1403">
        <f t="shared" si="381"/>
        <v>2</v>
      </c>
      <c r="U1403">
        <v>500</v>
      </c>
      <c r="V1403">
        <f t="shared" si="382"/>
        <v>0</v>
      </c>
      <c r="W1403">
        <f t="shared" si="383"/>
        <v>1</v>
      </c>
      <c r="X1403">
        <f t="shared" si="384"/>
        <v>0</v>
      </c>
      <c r="Y1403">
        <f t="shared" si="385"/>
        <v>1</v>
      </c>
      <c r="Z1403">
        <f t="shared" si="386"/>
        <v>0</v>
      </c>
      <c r="AA1403">
        <f t="shared" si="387"/>
        <v>1</v>
      </c>
      <c r="AB1403">
        <f t="shared" si="388"/>
        <v>0</v>
      </c>
      <c r="AC1403">
        <f t="shared" si="389"/>
        <v>0</v>
      </c>
      <c r="AD1403">
        <f t="shared" si="390"/>
        <v>0</v>
      </c>
      <c r="AE1403">
        <f t="shared" si="391"/>
        <v>0</v>
      </c>
      <c r="AF1403">
        <f t="shared" si="392"/>
        <v>1</v>
      </c>
      <c r="AG1403">
        <f t="shared" si="393"/>
        <v>0</v>
      </c>
      <c r="AH1403">
        <f t="shared" si="394"/>
        <v>0</v>
      </c>
      <c r="AI1403">
        <f t="shared" si="395"/>
        <v>0</v>
      </c>
    </row>
    <row r="1404" spans="1:35" x14ac:dyDescent="0.2">
      <c r="A1404">
        <v>279</v>
      </c>
      <c r="B1404" t="s">
        <v>1398</v>
      </c>
      <c r="C1404">
        <v>8</v>
      </c>
      <c r="D1404" t="s">
        <v>3813</v>
      </c>
      <c r="E1404" t="s">
        <v>39</v>
      </c>
      <c r="F1404" t="s">
        <v>39</v>
      </c>
      <c r="G1404" t="s">
        <v>39</v>
      </c>
      <c r="H1404" t="s">
        <v>20</v>
      </c>
      <c r="I1404">
        <v>7</v>
      </c>
      <c r="J1404">
        <v>3</v>
      </c>
      <c r="K1404" t="s">
        <v>3814</v>
      </c>
      <c r="L1404" t="s">
        <v>98</v>
      </c>
      <c r="M1404" t="s">
        <v>115</v>
      </c>
      <c r="N1404" t="s">
        <v>43</v>
      </c>
      <c r="O1404" t="s">
        <v>1419</v>
      </c>
      <c r="P1404" t="s">
        <v>3815</v>
      </c>
      <c r="Q1404">
        <f t="shared" si="378"/>
        <v>5</v>
      </c>
      <c r="R1404">
        <f t="shared" si="379"/>
        <v>5</v>
      </c>
      <c r="S1404">
        <f t="shared" si="380"/>
        <v>5</v>
      </c>
      <c r="T1404">
        <f t="shared" si="381"/>
        <v>2</v>
      </c>
      <c r="U1404">
        <v>70000000000</v>
      </c>
      <c r="V1404">
        <f t="shared" si="382"/>
        <v>0</v>
      </c>
      <c r="W1404">
        <f t="shared" si="383"/>
        <v>1</v>
      </c>
      <c r="X1404">
        <f t="shared" si="384"/>
        <v>0</v>
      </c>
      <c r="Y1404">
        <f t="shared" si="385"/>
        <v>0</v>
      </c>
      <c r="Z1404">
        <f t="shared" si="386"/>
        <v>0</v>
      </c>
      <c r="AA1404">
        <f t="shared" si="387"/>
        <v>0</v>
      </c>
      <c r="AB1404">
        <f t="shared" si="388"/>
        <v>0</v>
      </c>
      <c r="AC1404">
        <f t="shared" si="389"/>
        <v>1</v>
      </c>
      <c r="AD1404">
        <f t="shared" si="390"/>
        <v>0</v>
      </c>
      <c r="AE1404">
        <f t="shared" si="391"/>
        <v>0</v>
      </c>
      <c r="AF1404">
        <f t="shared" si="392"/>
        <v>1</v>
      </c>
      <c r="AG1404">
        <f t="shared" si="393"/>
        <v>1</v>
      </c>
      <c r="AH1404">
        <f t="shared" si="394"/>
        <v>0</v>
      </c>
      <c r="AI1404">
        <f t="shared" si="395"/>
        <v>0</v>
      </c>
    </row>
    <row r="1405" spans="1:35" x14ac:dyDescent="0.2">
      <c r="A1405">
        <v>280</v>
      </c>
      <c r="B1405" t="s">
        <v>1398</v>
      </c>
      <c r="C1405">
        <v>3</v>
      </c>
      <c r="D1405" t="s">
        <v>3816</v>
      </c>
      <c r="E1405" t="s">
        <v>19</v>
      </c>
      <c r="F1405" t="s">
        <v>18</v>
      </c>
      <c r="G1405" t="s">
        <v>39</v>
      </c>
      <c r="H1405" t="s">
        <v>21</v>
      </c>
      <c r="I1405">
        <v>1</v>
      </c>
      <c r="J1405">
        <v>1</v>
      </c>
      <c r="K1405" t="s">
        <v>3817</v>
      </c>
      <c r="L1405" t="s">
        <v>53</v>
      </c>
      <c r="M1405" t="s">
        <v>35</v>
      </c>
      <c r="N1405" t="s">
        <v>215</v>
      </c>
      <c r="O1405" t="s">
        <v>3774</v>
      </c>
      <c r="P1405" t="s">
        <v>3818</v>
      </c>
      <c r="Q1405">
        <f t="shared" si="378"/>
        <v>3</v>
      </c>
      <c r="R1405">
        <f t="shared" si="379"/>
        <v>4</v>
      </c>
      <c r="S1405">
        <f t="shared" si="380"/>
        <v>5</v>
      </c>
      <c r="T1405">
        <f t="shared" si="381"/>
        <v>1</v>
      </c>
      <c r="U1405">
        <v>1000</v>
      </c>
      <c r="V1405">
        <f t="shared" si="382"/>
        <v>0</v>
      </c>
      <c r="W1405">
        <f t="shared" si="383"/>
        <v>0</v>
      </c>
      <c r="X1405">
        <f t="shared" si="384"/>
        <v>1</v>
      </c>
      <c r="Y1405">
        <f t="shared" si="385"/>
        <v>0</v>
      </c>
      <c r="Z1405">
        <f t="shared" si="386"/>
        <v>0</v>
      </c>
      <c r="AA1405">
        <f t="shared" si="387"/>
        <v>0</v>
      </c>
      <c r="AB1405">
        <f t="shared" si="388"/>
        <v>0</v>
      </c>
      <c r="AC1405">
        <f t="shared" si="389"/>
        <v>0</v>
      </c>
      <c r="AD1405">
        <f t="shared" si="390"/>
        <v>1</v>
      </c>
      <c r="AE1405">
        <f t="shared" si="391"/>
        <v>0</v>
      </c>
      <c r="AF1405">
        <f t="shared" si="392"/>
        <v>1</v>
      </c>
      <c r="AG1405">
        <f t="shared" si="393"/>
        <v>0</v>
      </c>
      <c r="AH1405">
        <f t="shared" si="394"/>
        <v>0</v>
      </c>
      <c r="AI1405">
        <f t="shared" si="395"/>
        <v>0</v>
      </c>
    </row>
    <row r="1406" spans="1:35" x14ac:dyDescent="0.2">
      <c r="A1406">
        <v>281</v>
      </c>
      <c r="B1406" t="s">
        <v>1398</v>
      </c>
      <c r="C1406">
        <v>1</v>
      </c>
      <c r="D1406" t="s">
        <v>3819</v>
      </c>
      <c r="E1406" t="s">
        <v>39</v>
      </c>
      <c r="F1406" t="s">
        <v>21</v>
      </c>
      <c r="G1406" t="s">
        <v>21</v>
      </c>
      <c r="H1406" t="s">
        <v>39</v>
      </c>
      <c r="I1406">
        <v>10</v>
      </c>
      <c r="J1406">
        <v>1</v>
      </c>
      <c r="K1406">
        <v>5</v>
      </c>
      <c r="L1406" t="s">
        <v>22</v>
      </c>
      <c r="M1406" t="s">
        <v>23</v>
      </c>
      <c r="N1406" t="s">
        <v>215</v>
      </c>
      <c r="O1406" t="s">
        <v>3820</v>
      </c>
      <c r="P1406" t="s">
        <v>3821</v>
      </c>
      <c r="Q1406">
        <f t="shared" si="378"/>
        <v>5</v>
      </c>
      <c r="R1406">
        <f t="shared" si="379"/>
        <v>1</v>
      </c>
      <c r="S1406">
        <f t="shared" si="380"/>
        <v>1</v>
      </c>
      <c r="T1406">
        <f t="shared" si="381"/>
        <v>5</v>
      </c>
      <c r="U1406">
        <v>5</v>
      </c>
      <c r="V1406">
        <f t="shared" si="382"/>
        <v>1</v>
      </c>
      <c r="W1406">
        <f t="shared" si="383"/>
        <v>0</v>
      </c>
      <c r="X1406">
        <f t="shared" si="384"/>
        <v>0</v>
      </c>
      <c r="Y1406">
        <f t="shared" si="385"/>
        <v>0</v>
      </c>
      <c r="Z1406">
        <f t="shared" si="386"/>
        <v>0</v>
      </c>
      <c r="AA1406">
        <f t="shared" si="387"/>
        <v>1</v>
      </c>
      <c r="AB1406">
        <f t="shared" si="388"/>
        <v>0</v>
      </c>
      <c r="AC1406">
        <f t="shared" si="389"/>
        <v>0</v>
      </c>
      <c r="AD1406">
        <f t="shared" si="390"/>
        <v>0</v>
      </c>
      <c r="AE1406">
        <f t="shared" si="391"/>
        <v>0</v>
      </c>
      <c r="AF1406">
        <f t="shared" si="392"/>
        <v>1</v>
      </c>
      <c r="AG1406">
        <f t="shared" si="393"/>
        <v>0</v>
      </c>
      <c r="AH1406">
        <f t="shared" si="394"/>
        <v>0</v>
      </c>
      <c r="AI1406">
        <f t="shared" si="395"/>
        <v>0</v>
      </c>
    </row>
    <row r="1407" spans="1:35" x14ac:dyDescent="0.2">
      <c r="A1407">
        <v>282</v>
      </c>
      <c r="B1407" t="s">
        <v>1398</v>
      </c>
      <c r="C1407">
        <v>6</v>
      </c>
      <c r="D1407" t="s">
        <v>3822</v>
      </c>
      <c r="E1407" t="s">
        <v>21</v>
      </c>
      <c r="F1407" t="s">
        <v>39</v>
      </c>
      <c r="G1407" t="s">
        <v>39</v>
      </c>
      <c r="H1407" t="s">
        <v>21</v>
      </c>
      <c r="I1407">
        <v>2</v>
      </c>
      <c r="J1407">
        <v>2</v>
      </c>
      <c r="K1407">
        <v>20</v>
      </c>
      <c r="L1407" t="s">
        <v>230</v>
      </c>
      <c r="M1407" t="s">
        <v>48</v>
      </c>
      <c r="N1407" t="s">
        <v>43</v>
      </c>
      <c r="O1407" t="s">
        <v>3823</v>
      </c>
      <c r="P1407" t="s">
        <v>3824</v>
      </c>
      <c r="Q1407">
        <f t="shared" si="378"/>
        <v>1</v>
      </c>
      <c r="R1407">
        <f t="shared" si="379"/>
        <v>5</v>
      </c>
      <c r="S1407">
        <f t="shared" si="380"/>
        <v>5</v>
      </c>
      <c r="T1407">
        <f t="shared" si="381"/>
        <v>1</v>
      </c>
      <c r="U1407">
        <v>20</v>
      </c>
      <c r="V1407">
        <f t="shared" si="382"/>
        <v>1</v>
      </c>
      <c r="W1407">
        <f t="shared" si="383"/>
        <v>1</v>
      </c>
      <c r="X1407">
        <f t="shared" si="384"/>
        <v>1</v>
      </c>
      <c r="Y1407">
        <f t="shared" si="385"/>
        <v>1</v>
      </c>
      <c r="Z1407">
        <f t="shared" si="386"/>
        <v>1</v>
      </c>
      <c r="AA1407">
        <f t="shared" si="387"/>
        <v>1</v>
      </c>
      <c r="AB1407">
        <f t="shared" si="388"/>
        <v>1</v>
      </c>
      <c r="AC1407">
        <f t="shared" si="389"/>
        <v>1</v>
      </c>
      <c r="AD1407">
        <f t="shared" si="390"/>
        <v>0</v>
      </c>
      <c r="AE1407">
        <f t="shared" si="391"/>
        <v>0</v>
      </c>
      <c r="AF1407">
        <f t="shared" si="392"/>
        <v>1</v>
      </c>
      <c r="AG1407">
        <f t="shared" si="393"/>
        <v>1</v>
      </c>
      <c r="AH1407">
        <f t="shared" si="394"/>
        <v>0</v>
      </c>
      <c r="AI1407">
        <f t="shared" si="395"/>
        <v>0</v>
      </c>
    </row>
    <row r="1408" spans="1:35" x14ac:dyDescent="0.2">
      <c r="A1408">
        <v>283</v>
      </c>
      <c r="B1408" t="s">
        <v>1398</v>
      </c>
      <c r="C1408">
        <v>6</v>
      </c>
      <c r="D1408" t="s">
        <v>3825</v>
      </c>
      <c r="E1408" t="s">
        <v>39</v>
      </c>
      <c r="F1408" t="s">
        <v>19</v>
      </c>
      <c r="G1408" t="s">
        <v>18</v>
      </c>
      <c r="H1408" t="s">
        <v>20</v>
      </c>
      <c r="I1408">
        <v>2</v>
      </c>
      <c r="J1408">
        <v>1</v>
      </c>
      <c r="K1408">
        <v>1000</v>
      </c>
      <c r="L1408" t="s">
        <v>53</v>
      </c>
      <c r="M1408" t="s">
        <v>115</v>
      </c>
      <c r="N1408" t="s">
        <v>215</v>
      </c>
      <c r="O1408" t="s">
        <v>3826</v>
      </c>
      <c r="P1408" t="s">
        <v>3827</v>
      </c>
      <c r="Q1408">
        <f t="shared" si="378"/>
        <v>5</v>
      </c>
      <c r="R1408">
        <f t="shared" si="379"/>
        <v>3</v>
      </c>
      <c r="S1408">
        <f t="shared" si="380"/>
        <v>4</v>
      </c>
      <c r="T1408">
        <f t="shared" si="381"/>
        <v>2</v>
      </c>
      <c r="U1408">
        <v>1000</v>
      </c>
      <c r="V1408">
        <f t="shared" si="382"/>
        <v>0</v>
      </c>
      <c r="W1408">
        <f t="shared" si="383"/>
        <v>0</v>
      </c>
      <c r="X1408">
        <f t="shared" si="384"/>
        <v>1</v>
      </c>
      <c r="Y1408">
        <f t="shared" si="385"/>
        <v>0</v>
      </c>
      <c r="Z1408">
        <f t="shared" si="386"/>
        <v>0</v>
      </c>
      <c r="AA1408">
        <f t="shared" si="387"/>
        <v>0</v>
      </c>
      <c r="AB1408">
        <f t="shared" si="388"/>
        <v>0</v>
      </c>
      <c r="AC1408">
        <f t="shared" si="389"/>
        <v>1</v>
      </c>
      <c r="AD1408">
        <f t="shared" si="390"/>
        <v>0</v>
      </c>
      <c r="AE1408">
        <f t="shared" si="391"/>
        <v>0</v>
      </c>
      <c r="AF1408">
        <f t="shared" si="392"/>
        <v>1</v>
      </c>
      <c r="AG1408">
        <f t="shared" si="393"/>
        <v>0</v>
      </c>
      <c r="AH1408">
        <f t="shared" si="394"/>
        <v>0</v>
      </c>
      <c r="AI1408">
        <f t="shared" si="395"/>
        <v>0</v>
      </c>
    </row>
    <row r="1409" spans="1:35" x14ac:dyDescent="0.2">
      <c r="A1409">
        <v>284</v>
      </c>
      <c r="B1409" t="s">
        <v>1398</v>
      </c>
      <c r="C1409">
        <v>5</v>
      </c>
      <c r="D1409" t="s">
        <v>3828</v>
      </c>
      <c r="E1409" t="s">
        <v>18</v>
      </c>
      <c r="F1409" t="s">
        <v>39</v>
      </c>
      <c r="G1409" t="s">
        <v>39</v>
      </c>
      <c r="H1409" t="s">
        <v>21</v>
      </c>
      <c r="I1409">
        <v>2</v>
      </c>
      <c r="J1409">
        <v>2</v>
      </c>
      <c r="K1409">
        <v>80</v>
      </c>
      <c r="L1409" t="s">
        <v>79</v>
      </c>
      <c r="M1409" t="s">
        <v>123</v>
      </c>
      <c r="N1409" t="s">
        <v>43</v>
      </c>
      <c r="O1409" t="s">
        <v>3407</v>
      </c>
      <c r="P1409" t="s">
        <v>3829</v>
      </c>
      <c r="Q1409">
        <f t="shared" si="378"/>
        <v>4</v>
      </c>
      <c r="R1409">
        <f t="shared" si="379"/>
        <v>5</v>
      </c>
      <c r="S1409">
        <f t="shared" si="380"/>
        <v>5</v>
      </c>
      <c r="T1409">
        <f t="shared" si="381"/>
        <v>1</v>
      </c>
      <c r="U1409">
        <v>80</v>
      </c>
      <c r="V1409">
        <f t="shared" si="382"/>
        <v>0</v>
      </c>
      <c r="W1409">
        <f t="shared" si="383"/>
        <v>1</v>
      </c>
      <c r="X1409">
        <f t="shared" si="384"/>
        <v>0</v>
      </c>
      <c r="Y1409">
        <f t="shared" si="385"/>
        <v>0</v>
      </c>
      <c r="Z1409">
        <f t="shared" si="386"/>
        <v>1</v>
      </c>
      <c r="AA1409">
        <f t="shared" si="387"/>
        <v>0</v>
      </c>
      <c r="AB1409">
        <f t="shared" si="388"/>
        <v>1</v>
      </c>
      <c r="AC1409">
        <f t="shared" si="389"/>
        <v>1</v>
      </c>
      <c r="AD1409">
        <f t="shared" si="390"/>
        <v>0</v>
      </c>
      <c r="AE1409">
        <f t="shared" si="391"/>
        <v>0</v>
      </c>
      <c r="AF1409">
        <f t="shared" si="392"/>
        <v>1</v>
      </c>
      <c r="AG1409">
        <f t="shared" si="393"/>
        <v>1</v>
      </c>
      <c r="AH1409">
        <f t="shared" si="394"/>
        <v>0</v>
      </c>
      <c r="AI1409">
        <f t="shared" si="395"/>
        <v>0</v>
      </c>
    </row>
    <row r="1410" spans="1:35" x14ac:dyDescent="0.2">
      <c r="A1410">
        <v>285</v>
      </c>
      <c r="B1410" t="s">
        <v>1398</v>
      </c>
      <c r="C1410">
        <v>3</v>
      </c>
      <c r="D1410" t="s">
        <v>3830</v>
      </c>
      <c r="E1410" t="s">
        <v>21</v>
      </c>
      <c r="F1410" t="s">
        <v>18</v>
      </c>
      <c r="G1410" t="s">
        <v>18</v>
      </c>
      <c r="H1410" t="s">
        <v>20</v>
      </c>
      <c r="I1410">
        <v>1</v>
      </c>
      <c r="J1410">
        <v>2</v>
      </c>
      <c r="K1410">
        <v>500</v>
      </c>
      <c r="L1410" t="s">
        <v>41</v>
      </c>
      <c r="M1410" t="s">
        <v>48</v>
      </c>
      <c r="N1410" t="s">
        <v>43</v>
      </c>
      <c r="O1410" t="s">
        <v>148</v>
      </c>
      <c r="P1410" t="s">
        <v>3831</v>
      </c>
      <c r="Q1410">
        <f t="shared" si="378"/>
        <v>1</v>
      </c>
      <c r="R1410">
        <f t="shared" si="379"/>
        <v>4</v>
      </c>
      <c r="S1410">
        <f t="shared" si="380"/>
        <v>4</v>
      </c>
      <c r="T1410">
        <f t="shared" si="381"/>
        <v>2</v>
      </c>
      <c r="U1410">
        <v>500</v>
      </c>
      <c r="V1410">
        <f t="shared" si="382"/>
        <v>0</v>
      </c>
      <c r="W1410">
        <f t="shared" si="383"/>
        <v>0</v>
      </c>
      <c r="X1410">
        <f t="shared" si="384"/>
        <v>0</v>
      </c>
      <c r="Y1410">
        <f t="shared" si="385"/>
        <v>0</v>
      </c>
      <c r="Z1410">
        <f t="shared" si="386"/>
        <v>1</v>
      </c>
      <c r="AA1410">
        <f t="shared" si="387"/>
        <v>1</v>
      </c>
      <c r="AB1410">
        <f t="shared" si="388"/>
        <v>1</v>
      </c>
      <c r="AC1410">
        <f t="shared" si="389"/>
        <v>1</v>
      </c>
      <c r="AD1410">
        <f t="shared" si="390"/>
        <v>0</v>
      </c>
      <c r="AE1410">
        <f t="shared" si="391"/>
        <v>0</v>
      </c>
      <c r="AF1410">
        <f t="shared" si="392"/>
        <v>1</v>
      </c>
      <c r="AG1410">
        <f t="shared" si="393"/>
        <v>1</v>
      </c>
      <c r="AH1410">
        <f t="shared" si="394"/>
        <v>0</v>
      </c>
      <c r="AI1410">
        <f t="shared" si="395"/>
        <v>0</v>
      </c>
    </row>
    <row r="1411" spans="1:35" x14ac:dyDescent="0.2">
      <c r="A1411">
        <v>286</v>
      </c>
      <c r="B1411" t="s">
        <v>1398</v>
      </c>
      <c r="C1411">
        <v>8</v>
      </c>
      <c r="D1411" t="s">
        <v>3832</v>
      </c>
      <c r="E1411" t="s">
        <v>18</v>
      </c>
      <c r="F1411" t="s">
        <v>39</v>
      </c>
      <c r="G1411" t="s">
        <v>39</v>
      </c>
      <c r="H1411" t="s">
        <v>20</v>
      </c>
      <c r="I1411">
        <v>5</v>
      </c>
      <c r="J1411">
        <v>5</v>
      </c>
      <c r="K1411" s="1">
        <v>65</v>
      </c>
      <c r="L1411" t="s">
        <v>714</v>
      </c>
      <c r="M1411" t="s">
        <v>154</v>
      </c>
      <c r="N1411" t="s">
        <v>43</v>
      </c>
      <c r="O1411" t="s">
        <v>909</v>
      </c>
      <c r="P1411" t="s">
        <v>3833</v>
      </c>
      <c r="Q1411">
        <f t="shared" ref="Q1411:Q1474" si="396">IF(E1411="", "", LEFT(E1411, 1) * 1)</f>
        <v>4</v>
      </c>
      <c r="R1411">
        <f t="shared" ref="R1411:R1474" si="397">IF(F1411="","",VALUE(LEFT(F1411,FIND(" ",F1411)-1)))</f>
        <v>5</v>
      </c>
      <c r="S1411">
        <f t="shared" ref="S1411:S1474" si="398">IF(G1411="","",VALUE(LEFT(G1411,FIND(" ",G1411)-1)))</f>
        <v>5</v>
      </c>
      <c r="T1411">
        <f t="shared" ref="T1411:T1474" si="399">IF(H1411="","",VALUE(LEFT(H1411,FIND(" ",H1411)-1)))</f>
        <v>2</v>
      </c>
      <c r="U1411">
        <v>65</v>
      </c>
      <c r="V1411">
        <f t="shared" ref="V1411:V1474" si="400">IF(L1411="",0,IF(ISNUMBER(SEARCH("Bathroom",L1411)),1,0))</f>
        <v>0</v>
      </c>
      <c r="W1411">
        <f t="shared" ref="W1411:W1474" si="401">IF(L1411="",0,IF(ISNUMBER(SEARCH("Dining room",L1411)),1,0))</f>
        <v>0</v>
      </c>
      <c r="X1411">
        <f t="shared" ref="X1411:X1474" si="402">IF(L1411="",0,IF(ISNUMBER(SEARCH("Office",L1411)),1,0))</f>
        <v>1</v>
      </c>
      <c r="Y1411">
        <f t="shared" ref="Y1411:Y1474" si="403">IF(L1411="",0,IF(ISNUMBER(SEARCH("Bedroom",L1411)),1,0))</f>
        <v>1</v>
      </c>
      <c r="Z1411">
        <f t="shared" ref="Z1411:Z1474" si="404">IF(L1411="",0,IF(ISNUMBER(SEARCH("Living room",L1411)),1,0))</f>
        <v>1</v>
      </c>
      <c r="AA1411">
        <f t="shared" ref="AA1411:AA1474" si="405">IF(M1411="",0, IF(ISNUMBER(SEARCH("By yourself",M1411)), 1, 0))</f>
        <v>1</v>
      </c>
      <c r="AB1411">
        <f t="shared" ref="AB1411:AB1474" si="406">IF(M1411="", 0, IF(ISNUMBER(SEARCH("Friends", M1411)), 1, 0))</f>
        <v>0</v>
      </c>
      <c r="AC1411">
        <f t="shared" ref="AC1411:AC1474" si="407">IF(M1411="",0,IF(ISNUMBER(SEARCH("Family members", M1411)), 1, 0))</f>
        <v>1</v>
      </c>
      <c r="AD1411">
        <f t="shared" ref="AD1411:AD1474" si="408">IF(M1411="", 0, IF(ISNUMBER(SEARCH("Coworkers/Classmates", M1411)), 1, 0))</f>
        <v>0</v>
      </c>
      <c r="AE1411">
        <f t="shared" ref="AE1411:AE1474" si="409">IF(M1411="", 0, IF(ISNUMBER(SEARCH("Strangers", M1411)), 1, 0))</f>
        <v>0</v>
      </c>
      <c r="AF1411">
        <f t="shared" ref="AF1411:AF1474" si="410">IF(N1411="", 0, IF(ISNUMBER(SEARCH("Spring", N1411)), 1, 0))</f>
        <v>1</v>
      </c>
      <c r="AG1411">
        <f t="shared" ref="AG1411:AG1474" si="411">IF(N1411="", 0, IF(ISNUMBER(SEARCH("Summer", N1411)), 1, 0))</f>
        <v>1</v>
      </c>
      <c r="AH1411">
        <f t="shared" ref="AH1411:AH1474" si="412">IF(N1411="", 0, IF(ISNUMBER(SEARCH("Fall", N1411)), 1, 0))</f>
        <v>0</v>
      </c>
      <c r="AI1411">
        <f t="shared" ref="AI1411:AI1474" si="413">IF(N1411="", 0, IF(ISNUMBER(SEARCH("Winter", N1411)), 1, 0))</f>
        <v>0</v>
      </c>
    </row>
    <row r="1412" spans="1:35" x14ac:dyDescent="0.2">
      <c r="A1412">
        <v>287</v>
      </c>
      <c r="B1412" t="s">
        <v>1398</v>
      </c>
      <c r="C1412">
        <v>9</v>
      </c>
      <c r="D1412" t="s">
        <v>3834</v>
      </c>
      <c r="E1412" t="s">
        <v>21</v>
      </c>
      <c r="F1412" t="s">
        <v>39</v>
      </c>
      <c r="G1412" t="s">
        <v>19</v>
      </c>
      <c r="H1412" t="s">
        <v>20</v>
      </c>
      <c r="I1412">
        <v>4</v>
      </c>
      <c r="J1412">
        <v>2</v>
      </c>
      <c r="K1412">
        <v>20</v>
      </c>
      <c r="L1412" t="s">
        <v>494</v>
      </c>
      <c r="M1412" t="s">
        <v>48</v>
      </c>
      <c r="N1412" t="s">
        <v>43</v>
      </c>
      <c r="O1412" t="s">
        <v>3835</v>
      </c>
      <c r="P1412" t="s">
        <v>3836</v>
      </c>
      <c r="Q1412">
        <f t="shared" si="396"/>
        <v>1</v>
      </c>
      <c r="R1412">
        <f t="shared" si="397"/>
        <v>5</v>
      </c>
      <c r="S1412">
        <f t="shared" si="398"/>
        <v>3</v>
      </c>
      <c r="T1412">
        <f t="shared" si="399"/>
        <v>2</v>
      </c>
      <c r="U1412">
        <v>20</v>
      </c>
      <c r="V1412">
        <f t="shared" si="400"/>
        <v>0</v>
      </c>
      <c r="W1412">
        <f t="shared" si="401"/>
        <v>1</v>
      </c>
      <c r="X1412">
        <f t="shared" si="402"/>
        <v>1</v>
      </c>
      <c r="Y1412">
        <f t="shared" si="403"/>
        <v>1</v>
      </c>
      <c r="Z1412">
        <f t="shared" si="404"/>
        <v>1</v>
      </c>
      <c r="AA1412">
        <f t="shared" si="405"/>
        <v>1</v>
      </c>
      <c r="AB1412">
        <f t="shared" si="406"/>
        <v>1</v>
      </c>
      <c r="AC1412">
        <f t="shared" si="407"/>
        <v>1</v>
      </c>
      <c r="AD1412">
        <f t="shared" si="408"/>
        <v>0</v>
      </c>
      <c r="AE1412">
        <f t="shared" si="409"/>
        <v>0</v>
      </c>
      <c r="AF1412">
        <f t="shared" si="410"/>
        <v>1</v>
      </c>
      <c r="AG1412">
        <f t="shared" si="411"/>
        <v>1</v>
      </c>
      <c r="AH1412">
        <f t="shared" si="412"/>
        <v>0</v>
      </c>
      <c r="AI1412">
        <f t="shared" si="413"/>
        <v>0</v>
      </c>
    </row>
    <row r="1413" spans="1:35" x14ac:dyDescent="0.2">
      <c r="A1413">
        <v>288</v>
      </c>
      <c r="B1413" t="s">
        <v>1398</v>
      </c>
      <c r="C1413">
        <v>8</v>
      </c>
      <c r="D1413" t="s">
        <v>3837</v>
      </c>
      <c r="E1413" t="s">
        <v>21</v>
      </c>
      <c r="F1413" t="s">
        <v>19</v>
      </c>
      <c r="G1413" t="s">
        <v>39</v>
      </c>
      <c r="H1413" t="s">
        <v>19</v>
      </c>
      <c r="I1413">
        <v>3</v>
      </c>
      <c r="J1413">
        <v>2</v>
      </c>
      <c r="K1413">
        <v>3</v>
      </c>
      <c r="L1413" t="s">
        <v>22</v>
      </c>
      <c r="M1413" t="s">
        <v>42</v>
      </c>
      <c r="N1413" t="s">
        <v>215</v>
      </c>
      <c r="O1413" t="s">
        <v>3838</v>
      </c>
      <c r="P1413" t="s">
        <v>3839</v>
      </c>
      <c r="Q1413">
        <f t="shared" si="396"/>
        <v>1</v>
      </c>
      <c r="R1413">
        <f t="shared" si="397"/>
        <v>3</v>
      </c>
      <c r="S1413">
        <f t="shared" si="398"/>
        <v>5</v>
      </c>
      <c r="T1413">
        <f t="shared" si="399"/>
        <v>3</v>
      </c>
      <c r="U1413">
        <v>3</v>
      </c>
      <c r="V1413">
        <f t="shared" si="400"/>
        <v>1</v>
      </c>
      <c r="W1413">
        <f t="shared" si="401"/>
        <v>0</v>
      </c>
      <c r="X1413">
        <f t="shared" si="402"/>
        <v>0</v>
      </c>
      <c r="Y1413">
        <f t="shared" si="403"/>
        <v>0</v>
      </c>
      <c r="Z1413">
        <f t="shared" si="404"/>
        <v>0</v>
      </c>
      <c r="AA1413">
        <f t="shared" si="405"/>
        <v>0</v>
      </c>
      <c r="AB1413">
        <f t="shared" si="406"/>
        <v>1</v>
      </c>
      <c r="AC1413">
        <f t="shared" si="407"/>
        <v>0</v>
      </c>
      <c r="AD1413">
        <f t="shared" si="408"/>
        <v>0</v>
      </c>
      <c r="AE1413">
        <f t="shared" si="409"/>
        <v>0</v>
      </c>
      <c r="AF1413">
        <f t="shared" si="410"/>
        <v>1</v>
      </c>
      <c r="AG1413">
        <f t="shared" si="411"/>
        <v>0</v>
      </c>
      <c r="AH1413">
        <f t="shared" si="412"/>
        <v>0</v>
      </c>
      <c r="AI1413">
        <f t="shared" si="413"/>
        <v>0</v>
      </c>
    </row>
    <row r="1414" spans="1:35" x14ac:dyDescent="0.2">
      <c r="A1414">
        <v>289</v>
      </c>
      <c r="B1414" t="s">
        <v>1398</v>
      </c>
      <c r="C1414">
        <v>10</v>
      </c>
      <c r="D1414" t="s">
        <v>3840</v>
      </c>
      <c r="E1414" t="s">
        <v>21</v>
      </c>
      <c r="F1414" t="s">
        <v>39</v>
      </c>
      <c r="G1414" t="s">
        <v>39</v>
      </c>
      <c r="H1414" t="s">
        <v>20</v>
      </c>
      <c r="I1414">
        <v>6</v>
      </c>
      <c r="J1414">
        <v>8</v>
      </c>
      <c r="K1414">
        <v>600000</v>
      </c>
      <c r="L1414" t="s">
        <v>41</v>
      </c>
      <c r="M1414" t="s">
        <v>42</v>
      </c>
      <c r="N1414" t="s">
        <v>215</v>
      </c>
      <c r="O1414" t="s">
        <v>3841</v>
      </c>
      <c r="P1414" t="s">
        <v>3842</v>
      </c>
      <c r="Q1414">
        <f t="shared" si="396"/>
        <v>1</v>
      </c>
      <c r="R1414">
        <f t="shared" si="397"/>
        <v>5</v>
      </c>
      <c r="S1414">
        <f t="shared" si="398"/>
        <v>5</v>
      </c>
      <c r="T1414">
        <f t="shared" si="399"/>
        <v>2</v>
      </c>
      <c r="U1414">
        <v>600000</v>
      </c>
      <c r="V1414">
        <f t="shared" si="400"/>
        <v>0</v>
      </c>
      <c r="W1414">
        <f t="shared" si="401"/>
        <v>0</v>
      </c>
      <c r="X1414">
        <f t="shared" si="402"/>
        <v>0</v>
      </c>
      <c r="Y1414">
        <f t="shared" si="403"/>
        <v>0</v>
      </c>
      <c r="Z1414">
        <f t="shared" si="404"/>
        <v>1</v>
      </c>
      <c r="AA1414">
        <f t="shared" si="405"/>
        <v>0</v>
      </c>
      <c r="AB1414">
        <f t="shared" si="406"/>
        <v>1</v>
      </c>
      <c r="AC1414">
        <f t="shared" si="407"/>
        <v>0</v>
      </c>
      <c r="AD1414">
        <f t="shared" si="408"/>
        <v>0</v>
      </c>
      <c r="AE1414">
        <f t="shared" si="409"/>
        <v>0</v>
      </c>
      <c r="AF1414">
        <f t="shared" si="410"/>
        <v>1</v>
      </c>
      <c r="AG1414">
        <f t="shared" si="411"/>
        <v>0</v>
      </c>
      <c r="AH1414">
        <f t="shared" si="412"/>
        <v>0</v>
      </c>
      <c r="AI1414">
        <f t="shared" si="413"/>
        <v>0</v>
      </c>
    </row>
    <row r="1415" spans="1:35" x14ac:dyDescent="0.2">
      <c r="A1415">
        <v>290</v>
      </c>
      <c r="B1415" t="s">
        <v>1398</v>
      </c>
      <c r="C1415">
        <v>8</v>
      </c>
      <c r="D1415" t="s">
        <v>3843</v>
      </c>
      <c r="E1415" t="s">
        <v>20</v>
      </c>
      <c r="F1415" t="s">
        <v>18</v>
      </c>
      <c r="G1415" t="s">
        <v>39</v>
      </c>
      <c r="H1415" t="s">
        <v>21</v>
      </c>
      <c r="I1415">
        <v>2</v>
      </c>
      <c r="J1415">
        <v>2</v>
      </c>
      <c r="K1415">
        <v>10000</v>
      </c>
      <c r="L1415" t="s">
        <v>435</v>
      </c>
      <c r="M1415" t="s">
        <v>781</v>
      </c>
      <c r="N1415" t="s">
        <v>84</v>
      </c>
      <c r="O1415" t="s">
        <v>3844</v>
      </c>
      <c r="P1415" t="s">
        <v>3845</v>
      </c>
      <c r="Q1415">
        <f t="shared" si="396"/>
        <v>2</v>
      </c>
      <c r="R1415">
        <f t="shared" si="397"/>
        <v>4</v>
      </c>
      <c r="S1415">
        <f t="shared" si="398"/>
        <v>5</v>
      </c>
      <c r="T1415">
        <f t="shared" si="399"/>
        <v>1</v>
      </c>
      <c r="U1415">
        <v>10000</v>
      </c>
      <c r="V1415">
        <f t="shared" si="400"/>
        <v>1</v>
      </c>
      <c r="W1415">
        <f t="shared" si="401"/>
        <v>0</v>
      </c>
      <c r="X1415">
        <f t="shared" si="402"/>
        <v>0</v>
      </c>
      <c r="Y1415">
        <f t="shared" si="403"/>
        <v>0</v>
      </c>
      <c r="Z1415">
        <f t="shared" si="404"/>
        <v>1</v>
      </c>
      <c r="AA1415">
        <f t="shared" si="405"/>
        <v>0</v>
      </c>
      <c r="AB1415">
        <f t="shared" si="406"/>
        <v>1</v>
      </c>
      <c r="AC1415">
        <f t="shared" si="407"/>
        <v>1</v>
      </c>
      <c r="AD1415">
        <f t="shared" si="408"/>
        <v>1</v>
      </c>
      <c r="AE1415">
        <f t="shared" si="409"/>
        <v>1</v>
      </c>
      <c r="AF1415">
        <f t="shared" si="410"/>
        <v>0</v>
      </c>
      <c r="AG1415">
        <f t="shared" si="411"/>
        <v>1</v>
      </c>
      <c r="AH1415">
        <f t="shared" si="412"/>
        <v>0</v>
      </c>
      <c r="AI1415">
        <f t="shared" si="413"/>
        <v>0</v>
      </c>
    </row>
    <row r="1416" spans="1:35" x14ac:dyDescent="0.2">
      <c r="A1416">
        <v>291</v>
      </c>
      <c r="B1416" t="s">
        <v>1398</v>
      </c>
      <c r="C1416">
        <v>6</v>
      </c>
      <c r="D1416" t="s">
        <v>1418</v>
      </c>
      <c r="E1416" t="s">
        <v>21</v>
      </c>
      <c r="F1416" t="s">
        <v>18</v>
      </c>
      <c r="G1416" t="s">
        <v>39</v>
      </c>
      <c r="H1416" t="s">
        <v>21</v>
      </c>
      <c r="I1416">
        <v>2</v>
      </c>
      <c r="J1416">
        <v>1</v>
      </c>
      <c r="K1416">
        <v>75</v>
      </c>
      <c r="L1416" t="s">
        <v>230</v>
      </c>
      <c r="M1416" t="s">
        <v>468</v>
      </c>
      <c r="N1416" t="s">
        <v>43</v>
      </c>
      <c r="O1416" t="s">
        <v>148</v>
      </c>
      <c r="P1416" t="s">
        <v>3846</v>
      </c>
      <c r="Q1416">
        <f t="shared" si="396"/>
        <v>1</v>
      </c>
      <c r="R1416">
        <f t="shared" si="397"/>
        <v>4</v>
      </c>
      <c r="S1416">
        <f t="shared" si="398"/>
        <v>5</v>
      </c>
      <c r="T1416">
        <f t="shared" si="399"/>
        <v>1</v>
      </c>
      <c r="U1416">
        <v>75</v>
      </c>
      <c r="V1416">
        <f t="shared" si="400"/>
        <v>1</v>
      </c>
      <c r="W1416">
        <f t="shared" si="401"/>
        <v>1</v>
      </c>
      <c r="X1416">
        <f t="shared" si="402"/>
        <v>1</v>
      </c>
      <c r="Y1416">
        <f t="shared" si="403"/>
        <v>1</v>
      </c>
      <c r="Z1416">
        <f t="shared" si="404"/>
        <v>1</v>
      </c>
      <c r="AA1416">
        <f t="shared" si="405"/>
        <v>1</v>
      </c>
      <c r="AB1416">
        <f t="shared" si="406"/>
        <v>1</v>
      </c>
      <c r="AC1416">
        <f t="shared" si="407"/>
        <v>1</v>
      </c>
      <c r="AD1416">
        <f t="shared" si="408"/>
        <v>1</v>
      </c>
      <c r="AE1416">
        <f t="shared" si="409"/>
        <v>1</v>
      </c>
      <c r="AF1416">
        <f t="shared" si="410"/>
        <v>1</v>
      </c>
      <c r="AG1416">
        <f t="shared" si="411"/>
        <v>1</v>
      </c>
      <c r="AH1416">
        <f t="shared" si="412"/>
        <v>0</v>
      </c>
      <c r="AI1416">
        <f t="shared" si="413"/>
        <v>0</v>
      </c>
    </row>
    <row r="1417" spans="1:35" x14ac:dyDescent="0.2">
      <c r="A1417">
        <v>292</v>
      </c>
      <c r="B1417" t="s">
        <v>1398</v>
      </c>
      <c r="C1417">
        <v>8</v>
      </c>
      <c r="D1417" t="s">
        <v>3847</v>
      </c>
      <c r="E1417" t="s">
        <v>21</v>
      </c>
      <c r="F1417" t="s">
        <v>39</v>
      </c>
      <c r="G1417" t="s">
        <v>39</v>
      </c>
      <c r="H1417" t="s">
        <v>21</v>
      </c>
      <c r="I1417">
        <v>2</v>
      </c>
      <c r="J1417">
        <v>4</v>
      </c>
      <c r="K1417">
        <v>70</v>
      </c>
      <c r="L1417" t="s">
        <v>194</v>
      </c>
      <c r="M1417" t="s">
        <v>123</v>
      </c>
      <c r="N1417" t="s">
        <v>215</v>
      </c>
      <c r="O1417" t="s">
        <v>1419</v>
      </c>
      <c r="P1417" t="s">
        <v>3848</v>
      </c>
      <c r="Q1417">
        <f t="shared" si="396"/>
        <v>1</v>
      </c>
      <c r="R1417">
        <f t="shared" si="397"/>
        <v>5</v>
      </c>
      <c r="S1417">
        <f t="shared" si="398"/>
        <v>5</v>
      </c>
      <c r="T1417">
        <f t="shared" si="399"/>
        <v>1</v>
      </c>
      <c r="U1417">
        <v>70</v>
      </c>
      <c r="V1417">
        <f t="shared" si="400"/>
        <v>0</v>
      </c>
      <c r="W1417">
        <f t="shared" si="401"/>
        <v>0</v>
      </c>
      <c r="X1417">
        <f t="shared" si="402"/>
        <v>0</v>
      </c>
      <c r="Y1417">
        <f t="shared" si="403"/>
        <v>1</v>
      </c>
      <c r="Z1417">
        <f t="shared" si="404"/>
        <v>1</v>
      </c>
      <c r="AA1417">
        <f t="shared" si="405"/>
        <v>0</v>
      </c>
      <c r="AB1417">
        <f t="shared" si="406"/>
        <v>1</v>
      </c>
      <c r="AC1417">
        <f t="shared" si="407"/>
        <v>1</v>
      </c>
      <c r="AD1417">
        <f t="shared" si="408"/>
        <v>0</v>
      </c>
      <c r="AE1417">
        <f t="shared" si="409"/>
        <v>0</v>
      </c>
      <c r="AF1417">
        <f t="shared" si="410"/>
        <v>1</v>
      </c>
      <c r="AG1417">
        <f t="shared" si="411"/>
        <v>0</v>
      </c>
      <c r="AH1417">
        <f t="shared" si="412"/>
        <v>0</v>
      </c>
      <c r="AI1417">
        <f t="shared" si="413"/>
        <v>0</v>
      </c>
    </row>
    <row r="1418" spans="1:35" x14ac:dyDescent="0.2">
      <c r="A1418">
        <v>293</v>
      </c>
      <c r="B1418" t="s">
        <v>1398</v>
      </c>
      <c r="C1418">
        <v>8</v>
      </c>
      <c r="D1418" t="s">
        <v>3849</v>
      </c>
      <c r="E1418" t="s">
        <v>21</v>
      </c>
      <c r="F1418" t="s">
        <v>39</v>
      </c>
      <c r="G1418" t="s">
        <v>39</v>
      </c>
      <c r="H1418" t="s">
        <v>21</v>
      </c>
      <c r="I1418">
        <v>3</v>
      </c>
      <c r="J1418">
        <v>1</v>
      </c>
      <c r="K1418" s="1">
        <v>100</v>
      </c>
      <c r="L1418" t="s">
        <v>34</v>
      </c>
      <c r="M1418" t="s">
        <v>1354</v>
      </c>
      <c r="N1418" t="s">
        <v>43</v>
      </c>
      <c r="O1418" t="s">
        <v>3850</v>
      </c>
      <c r="P1418" t="s">
        <v>3851</v>
      </c>
      <c r="Q1418">
        <f t="shared" si="396"/>
        <v>1</v>
      </c>
      <c r="R1418">
        <f t="shared" si="397"/>
        <v>5</v>
      </c>
      <c r="S1418">
        <f t="shared" si="398"/>
        <v>5</v>
      </c>
      <c r="T1418">
        <f t="shared" si="399"/>
        <v>1</v>
      </c>
      <c r="U1418">
        <v>100</v>
      </c>
      <c r="V1418">
        <f t="shared" si="400"/>
        <v>1</v>
      </c>
      <c r="W1418">
        <f t="shared" si="401"/>
        <v>0</v>
      </c>
      <c r="X1418">
        <f t="shared" si="402"/>
        <v>0</v>
      </c>
      <c r="Y1418">
        <f t="shared" si="403"/>
        <v>1</v>
      </c>
      <c r="Z1418">
        <f t="shared" si="404"/>
        <v>0</v>
      </c>
      <c r="AA1418">
        <f t="shared" si="405"/>
        <v>0</v>
      </c>
      <c r="AB1418">
        <f t="shared" si="406"/>
        <v>1</v>
      </c>
      <c r="AC1418">
        <f t="shared" si="407"/>
        <v>1</v>
      </c>
      <c r="AD1418">
        <f t="shared" si="408"/>
        <v>0</v>
      </c>
      <c r="AE1418">
        <f t="shared" si="409"/>
        <v>1</v>
      </c>
      <c r="AF1418">
        <f t="shared" si="410"/>
        <v>1</v>
      </c>
      <c r="AG1418">
        <f t="shared" si="411"/>
        <v>1</v>
      </c>
      <c r="AH1418">
        <f t="shared" si="412"/>
        <v>0</v>
      </c>
      <c r="AI1418">
        <f t="shared" si="413"/>
        <v>0</v>
      </c>
    </row>
    <row r="1419" spans="1:35" x14ac:dyDescent="0.2">
      <c r="A1419">
        <v>294</v>
      </c>
      <c r="B1419" t="s">
        <v>1398</v>
      </c>
      <c r="C1419">
        <v>8</v>
      </c>
      <c r="D1419" t="s">
        <v>3852</v>
      </c>
      <c r="E1419" t="s">
        <v>20</v>
      </c>
      <c r="F1419" t="s">
        <v>39</v>
      </c>
      <c r="G1419" t="s">
        <v>39</v>
      </c>
      <c r="H1419" t="s">
        <v>21</v>
      </c>
      <c r="I1419">
        <v>1</v>
      </c>
      <c r="J1419">
        <v>3</v>
      </c>
      <c r="K1419" s="1">
        <v>5000</v>
      </c>
      <c r="L1419" t="s">
        <v>1521</v>
      </c>
      <c r="M1419" t="s">
        <v>135</v>
      </c>
      <c r="N1419" t="s">
        <v>43</v>
      </c>
      <c r="O1419" t="s">
        <v>3853</v>
      </c>
      <c r="P1419" t="s">
        <v>3854</v>
      </c>
      <c r="Q1419">
        <f t="shared" si="396"/>
        <v>2</v>
      </c>
      <c r="R1419">
        <f t="shared" si="397"/>
        <v>5</v>
      </c>
      <c r="S1419">
        <f t="shared" si="398"/>
        <v>5</v>
      </c>
      <c r="T1419">
        <f t="shared" si="399"/>
        <v>1</v>
      </c>
      <c r="U1419">
        <v>5000</v>
      </c>
      <c r="V1419">
        <f t="shared" si="400"/>
        <v>1</v>
      </c>
      <c r="W1419">
        <f t="shared" si="401"/>
        <v>1</v>
      </c>
      <c r="X1419">
        <f t="shared" si="402"/>
        <v>1</v>
      </c>
      <c r="Y1419">
        <f t="shared" si="403"/>
        <v>1</v>
      </c>
      <c r="Z1419">
        <f t="shared" si="404"/>
        <v>0</v>
      </c>
      <c r="AA1419">
        <f t="shared" si="405"/>
        <v>1</v>
      </c>
      <c r="AB1419">
        <f t="shared" si="406"/>
        <v>1</v>
      </c>
      <c r="AC1419">
        <f t="shared" si="407"/>
        <v>0</v>
      </c>
      <c r="AD1419">
        <f t="shared" si="408"/>
        <v>0</v>
      </c>
      <c r="AE1419">
        <f t="shared" si="409"/>
        <v>0</v>
      </c>
      <c r="AF1419">
        <f t="shared" si="410"/>
        <v>1</v>
      </c>
      <c r="AG1419">
        <f t="shared" si="411"/>
        <v>1</v>
      </c>
      <c r="AH1419">
        <f t="shared" si="412"/>
        <v>0</v>
      </c>
      <c r="AI1419">
        <f t="shared" si="413"/>
        <v>0</v>
      </c>
    </row>
    <row r="1420" spans="1:35" x14ac:dyDescent="0.2">
      <c r="A1420">
        <v>295</v>
      </c>
      <c r="B1420" t="s">
        <v>1398</v>
      </c>
      <c r="C1420">
        <v>4</v>
      </c>
      <c r="D1420" t="s">
        <v>3855</v>
      </c>
      <c r="E1420" t="s">
        <v>20</v>
      </c>
      <c r="F1420" t="s">
        <v>18</v>
      </c>
      <c r="G1420" t="s">
        <v>18</v>
      </c>
      <c r="H1420" t="s">
        <v>20</v>
      </c>
      <c r="I1420">
        <v>2</v>
      </c>
      <c r="J1420">
        <v>1</v>
      </c>
      <c r="K1420" s="1">
        <v>15</v>
      </c>
      <c r="L1420" t="s">
        <v>34</v>
      </c>
      <c r="M1420" t="s">
        <v>468</v>
      </c>
      <c r="N1420" t="s">
        <v>43</v>
      </c>
      <c r="O1420" t="s">
        <v>3856</v>
      </c>
      <c r="P1420" t="s">
        <v>3857</v>
      </c>
      <c r="Q1420">
        <f t="shared" si="396"/>
        <v>2</v>
      </c>
      <c r="R1420">
        <f t="shared" si="397"/>
        <v>4</v>
      </c>
      <c r="S1420">
        <f t="shared" si="398"/>
        <v>4</v>
      </c>
      <c r="T1420">
        <f t="shared" si="399"/>
        <v>2</v>
      </c>
      <c r="U1420">
        <v>15</v>
      </c>
      <c r="V1420">
        <f t="shared" si="400"/>
        <v>1</v>
      </c>
      <c r="W1420">
        <f t="shared" si="401"/>
        <v>0</v>
      </c>
      <c r="X1420">
        <f t="shared" si="402"/>
        <v>0</v>
      </c>
      <c r="Y1420">
        <f t="shared" si="403"/>
        <v>1</v>
      </c>
      <c r="Z1420">
        <f t="shared" si="404"/>
        <v>0</v>
      </c>
      <c r="AA1420">
        <f t="shared" si="405"/>
        <v>1</v>
      </c>
      <c r="AB1420">
        <f t="shared" si="406"/>
        <v>1</v>
      </c>
      <c r="AC1420">
        <f t="shared" si="407"/>
        <v>1</v>
      </c>
      <c r="AD1420">
        <f t="shared" si="408"/>
        <v>1</v>
      </c>
      <c r="AE1420">
        <f t="shared" si="409"/>
        <v>1</v>
      </c>
      <c r="AF1420">
        <f t="shared" si="410"/>
        <v>1</v>
      </c>
      <c r="AG1420">
        <f t="shared" si="411"/>
        <v>1</v>
      </c>
      <c r="AH1420">
        <f t="shared" si="412"/>
        <v>0</v>
      </c>
      <c r="AI1420">
        <f t="shared" si="413"/>
        <v>0</v>
      </c>
    </row>
    <row r="1421" spans="1:35" x14ac:dyDescent="0.2">
      <c r="A1421">
        <v>296</v>
      </c>
      <c r="B1421" t="s">
        <v>1398</v>
      </c>
      <c r="C1421">
        <v>6</v>
      </c>
      <c r="D1421" t="s">
        <v>3858</v>
      </c>
      <c r="E1421" t="s">
        <v>21</v>
      </c>
      <c r="F1421" t="s">
        <v>18</v>
      </c>
      <c r="G1421" t="s">
        <v>18</v>
      </c>
      <c r="H1421" t="s">
        <v>20</v>
      </c>
      <c r="I1421">
        <v>5</v>
      </c>
      <c r="J1421">
        <v>4</v>
      </c>
      <c r="K1421" s="1">
        <v>100</v>
      </c>
      <c r="L1421" t="s">
        <v>305</v>
      </c>
      <c r="M1421" t="s">
        <v>468</v>
      </c>
      <c r="N1421" t="s">
        <v>43</v>
      </c>
      <c r="O1421" t="s">
        <v>3859</v>
      </c>
      <c r="P1421" t="s">
        <v>3860</v>
      </c>
      <c r="Q1421">
        <f t="shared" si="396"/>
        <v>1</v>
      </c>
      <c r="R1421">
        <f t="shared" si="397"/>
        <v>4</v>
      </c>
      <c r="S1421">
        <f t="shared" si="398"/>
        <v>4</v>
      </c>
      <c r="T1421">
        <f t="shared" si="399"/>
        <v>2</v>
      </c>
      <c r="U1421">
        <v>100</v>
      </c>
      <c r="V1421">
        <f t="shared" si="400"/>
        <v>1</v>
      </c>
      <c r="W1421">
        <f t="shared" si="401"/>
        <v>1</v>
      </c>
      <c r="X1421">
        <f t="shared" si="402"/>
        <v>1</v>
      </c>
      <c r="Y1421">
        <f t="shared" si="403"/>
        <v>0</v>
      </c>
      <c r="Z1421">
        <f t="shared" si="404"/>
        <v>1</v>
      </c>
      <c r="AA1421">
        <f t="shared" si="405"/>
        <v>1</v>
      </c>
      <c r="AB1421">
        <f t="shared" si="406"/>
        <v>1</v>
      </c>
      <c r="AC1421">
        <f t="shared" si="407"/>
        <v>1</v>
      </c>
      <c r="AD1421">
        <f t="shared" si="408"/>
        <v>1</v>
      </c>
      <c r="AE1421">
        <f t="shared" si="409"/>
        <v>1</v>
      </c>
      <c r="AF1421">
        <f t="shared" si="410"/>
        <v>1</v>
      </c>
      <c r="AG1421">
        <f t="shared" si="411"/>
        <v>1</v>
      </c>
      <c r="AH1421">
        <f t="shared" si="412"/>
        <v>0</v>
      </c>
      <c r="AI1421">
        <f t="shared" si="413"/>
        <v>0</v>
      </c>
    </row>
    <row r="1422" spans="1:35" x14ac:dyDescent="0.2">
      <c r="A1422">
        <v>297</v>
      </c>
      <c r="B1422" t="s">
        <v>1398</v>
      </c>
      <c r="C1422">
        <v>8</v>
      </c>
      <c r="D1422" t="s">
        <v>3861</v>
      </c>
      <c r="E1422" t="s">
        <v>21</v>
      </c>
      <c r="F1422" t="s">
        <v>18</v>
      </c>
      <c r="G1422" t="s">
        <v>39</v>
      </c>
      <c r="H1422" t="s">
        <v>21</v>
      </c>
      <c r="I1422">
        <v>1</v>
      </c>
      <c r="J1422">
        <v>1</v>
      </c>
      <c r="K1422">
        <v>200</v>
      </c>
      <c r="L1422" t="s">
        <v>443</v>
      </c>
      <c r="M1422" t="s">
        <v>48</v>
      </c>
      <c r="N1422" t="s">
        <v>215</v>
      </c>
      <c r="O1422" t="s">
        <v>593</v>
      </c>
      <c r="P1422" t="s">
        <v>3862</v>
      </c>
      <c r="Q1422">
        <f t="shared" si="396"/>
        <v>1</v>
      </c>
      <c r="R1422">
        <f t="shared" si="397"/>
        <v>4</v>
      </c>
      <c r="S1422">
        <f t="shared" si="398"/>
        <v>5</v>
      </c>
      <c r="T1422">
        <f t="shared" si="399"/>
        <v>1</v>
      </c>
      <c r="U1422">
        <v>200</v>
      </c>
      <c r="V1422">
        <f t="shared" si="400"/>
        <v>1</v>
      </c>
      <c r="W1422">
        <f t="shared" si="401"/>
        <v>0</v>
      </c>
      <c r="X1422">
        <f t="shared" si="402"/>
        <v>0</v>
      </c>
      <c r="Y1422">
        <f t="shared" si="403"/>
        <v>1</v>
      </c>
      <c r="Z1422">
        <f t="shared" si="404"/>
        <v>1</v>
      </c>
      <c r="AA1422">
        <f t="shared" si="405"/>
        <v>1</v>
      </c>
      <c r="AB1422">
        <f t="shared" si="406"/>
        <v>1</v>
      </c>
      <c r="AC1422">
        <f t="shared" si="407"/>
        <v>1</v>
      </c>
      <c r="AD1422">
        <f t="shared" si="408"/>
        <v>0</v>
      </c>
      <c r="AE1422">
        <f t="shared" si="409"/>
        <v>0</v>
      </c>
      <c r="AF1422">
        <f t="shared" si="410"/>
        <v>1</v>
      </c>
      <c r="AG1422">
        <f t="shared" si="411"/>
        <v>0</v>
      </c>
      <c r="AH1422">
        <f t="shared" si="412"/>
        <v>0</v>
      </c>
      <c r="AI1422">
        <f t="shared" si="413"/>
        <v>0</v>
      </c>
    </row>
    <row r="1423" spans="1:35" x14ac:dyDescent="0.2">
      <c r="A1423">
        <v>298</v>
      </c>
      <c r="B1423" t="s">
        <v>1398</v>
      </c>
      <c r="C1423">
        <v>7</v>
      </c>
      <c r="D1423" t="s">
        <v>1246</v>
      </c>
      <c r="E1423" t="s">
        <v>21</v>
      </c>
      <c r="F1423" t="s">
        <v>18</v>
      </c>
      <c r="G1423" t="s">
        <v>18</v>
      </c>
      <c r="H1423" t="s">
        <v>21</v>
      </c>
      <c r="I1423">
        <v>3</v>
      </c>
      <c r="J1423">
        <v>4</v>
      </c>
      <c r="K1423" t="s">
        <v>2176</v>
      </c>
      <c r="L1423" t="s">
        <v>1477</v>
      </c>
      <c r="M1423" t="s">
        <v>468</v>
      </c>
      <c r="N1423" t="s">
        <v>84</v>
      </c>
      <c r="O1423" t="s">
        <v>3863</v>
      </c>
      <c r="Q1423">
        <f t="shared" si="396"/>
        <v>1</v>
      </c>
      <c r="R1423">
        <f t="shared" si="397"/>
        <v>4</v>
      </c>
      <c r="S1423">
        <f t="shared" si="398"/>
        <v>4</v>
      </c>
      <c r="T1423">
        <f t="shared" si="399"/>
        <v>1</v>
      </c>
      <c r="V1423">
        <f t="shared" si="400"/>
        <v>1</v>
      </c>
      <c r="W1423">
        <f t="shared" si="401"/>
        <v>0</v>
      </c>
      <c r="X1423">
        <f t="shared" si="402"/>
        <v>1</v>
      </c>
      <c r="Y1423">
        <f t="shared" si="403"/>
        <v>1</v>
      </c>
      <c r="Z1423">
        <f t="shared" si="404"/>
        <v>1</v>
      </c>
      <c r="AA1423">
        <f t="shared" si="405"/>
        <v>1</v>
      </c>
      <c r="AB1423">
        <f t="shared" si="406"/>
        <v>1</v>
      </c>
      <c r="AC1423">
        <f t="shared" si="407"/>
        <v>1</v>
      </c>
      <c r="AD1423">
        <f t="shared" si="408"/>
        <v>1</v>
      </c>
      <c r="AE1423">
        <f t="shared" si="409"/>
        <v>1</v>
      </c>
      <c r="AF1423">
        <f t="shared" si="410"/>
        <v>0</v>
      </c>
      <c r="AG1423">
        <f t="shared" si="411"/>
        <v>1</v>
      </c>
      <c r="AH1423">
        <f t="shared" si="412"/>
        <v>0</v>
      </c>
      <c r="AI1423">
        <f t="shared" si="413"/>
        <v>0</v>
      </c>
    </row>
    <row r="1424" spans="1:35" x14ac:dyDescent="0.2">
      <c r="A1424">
        <v>299</v>
      </c>
      <c r="B1424" t="s">
        <v>1398</v>
      </c>
      <c r="C1424">
        <v>5</v>
      </c>
      <c r="D1424" t="s">
        <v>3864</v>
      </c>
      <c r="E1424" t="s">
        <v>20</v>
      </c>
      <c r="F1424" t="s">
        <v>18</v>
      </c>
      <c r="G1424" t="s">
        <v>18</v>
      </c>
      <c r="H1424" t="s">
        <v>21</v>
      </c>
      <c r="I1424">
        <v>2</v>
      </c>
      <c r="J1424">
        <v>1</v>
      </c>
      <c r="K1424" t="s">
        <v>3865</v>
      </c>
      <c r="L1424" t="s">
        <v>714</v>
      </c>
      <c r="M1424" t="s">
        <v>48</v>
      </c>
      <c r="N1424" t="s">
        <v>43</v>
      </c>
      <c r="O1424" t="s">
        <v>3866</v>
      </c>
      <c r="P1424" t="s">
        <v>3867</v>
      </c>
      <c r="Q1424">
        <f t="shared" si="396"/>
        <v>2</v>
      </c>
      <c r="R1424">
        <f t="shared" si="397"/>
        <v>4</v>
      </c>
      <c r="S1424">
        <f t="shared" si="398"/>
        <v>4</v>
      </c>
      <c r="T1424">
        <f t="shared" si="399"/>
        <v>1</v>
      </c>
      <c r="U1424">
        <v>150</v>
      </c>
      <c r="V1424">
        <f t="shared" si="400"/>
        <v>0</v>
      </c>
      <c r="W1424">
        <f t="shared" si="401"/>
        <v>0</v>
      </c>
      <c r="X1424">
        <f t="shared" si="402"/>
        <v>1</v>
      </c>
      <c r="Y1424">
        <f t="shared" si="403"/>
        <v>1</v>
      </c>
      <c r="Z1424">
        <f t="shared" si="404"/>
        <v>1</v>
      </c>
      <c r="AA1424">
        <f t="shared" si="405"/>
        <v>1</v>
      </c>
      <c r="AB1424">
        <f t="shared" si="406"/>
        <v>1</v>
      </c>
      <c r="AC1424">
        <f t="shared" si="407"/>
        <v>1</v>
      </c>
      <c r="AD1424">
        <f t="shared" si="408"/>
        <v>0</v>
      </c>
      <c r="AE1424">
        <f t="shared" si="409"/>
        <v>0</v>
      </c>
      <c r="AF1424">
        <f t="shared" si="410"/>
        <v>1</v>
      </c>
      <c r="AG1424">
        <f t="shared" si="411"/>
        <v>1</v>
      </c>
      <c r="AH1424">
        <f t="shared" si="412"/>
        <v>0</v>
      </c>
      <c r="AI1424">
        <f t="shared" si="413"/>
        <v>0</v>
      </c>
    </row>
    <row r="1425" spans="1:35" x14ac:dyDescent="0.2">
      <c r="A1425">
        <v>300</v>
      </c>
      <c r="B1425" t="s">
        <v>1398</v>
      </c>
      <c r="C1425">
        <v>4</v>
      </c>
      <c r="D1425" t="s">
        <v>3868</v>
      </c>
      <c r="E1425" t="s">
        <v>20</v>
      </c>
      <c r="F1425" t="s">
        <v>18</v>
      </c>
      <c r="G1425" t="s">
        <v>18</v>
      </c>
      <c r="H1425" t="s">
        <v>20</v>
      </c>
      <c r="I1425">
        <v>1</v>
      </c>
      <c r="J1425">
        <v>1</v>
      </c>
      <c r="K1425">
        <v>35</v>
      </c>
      <c r="L1425" t="s">
        <v>435</v>
      </c>
      <c r="M1425" t="s">
        <v>42</v>
      </c>
      <c r="N1425" t="s">
        <v>215</v>
      </c>
      <c r="O1425" t="s">
        <v>2989</v>
      </c>
      <c r="P1425" t="s">
        <v>3869</v>
      </c>
      <c r="Q1425">
        <f t="shared" si="396"/>
        <v>2</v>
      </c>
      <c r="R1425">
        <f t="shared" si="397"/>
        <v>4</v>
      </c>
      <c r="S1425">
        <f t="shared" si="398"/>
        <v>4</v>
      </c>
      <c r="T1425">
        <f t="shared" si="399"/>
        <v>2</v>
      </c>
      <c r="U1425">
        <v>35</v>
      </c>
      <c r="V1425">
        <f t="shared" si="400"/>
        <v>1</v>
      </c>
      <c r="W1425">
        <f t="shared" si="401"/>
        <v>0</v>
      </c>
      <c r="X1425">
        <f t="shared" si="402"/>
        <v>0</v>
      </c>
      <c r="Y1425">
        <f t="shared" si="403"/>
        <v>0</v>
      </c>
      <c r="Z1425">
        <f t="shared" si="404"/>
        <v>1</v>
      </c>
      <c r="AA1425">
        <f t="shared" si="405"/>
        <v>0</v>
      </c>
      <c r="AB1425">
        <f t="shared" si="406"/>
        <v>1</v>
      </c>
      <c r="AC1425">
        <f t="shared" si="407"/>
        <v>0</v>
      </c>
      <c r="AD1425">
        <f t="shared" si="408"/>
        <v>0</v>
      </c>
      <c r="AE1425">
        <f t="shared" si="409"/>
        <v>0</v>
      </c>
      <c r="AF1425">
        <f t="shared" si="410"/>
        <v>1</v>
      </c>
      <c r="AG1425">
        <f t="shared" si="411"/>
        <v>0</v>
      </c>
      <c r="AH1425">
        <f t="shared" si="412"/>
        <v>0</v>
      </c>
      <c r="AI1425">
        <f t="shared" si="413"/>
        <v>0</v>
      </c>
    </row>
    <row r="1426" spans="1:35" x14ac:dyDescent="0.2">
      <c r="A1426">
        <v>301</v>
      </c>
      <c r="B1426" t="s">
        <v>1398</v>
      </c>
      <c r="C1426">
        <v>5</v>
      </c>
      <c r="D1426" t="s">
        <v>1649</v>
      </c>
      <c r="E1426" t="s">
        <v>20</v>
      </c>
      <c r="F1426" t="s">
        <v>39</v>
      </c>
      <c r="G1426" t="s">
        <v>18</v>
      </c>
      <c r="H1426" t="s">
        <v>21</v>
      </c>
      <c r="I1426">
        <v>3</v>
      </c>
      <c r="J1426">
        <v>3</v>
      </c>
      <c r="K1426">
        <v>5000</v>
      </c>
      <c r="L1426" t="s">
        <v>47</v>
      </c>
      <c r="M1426" t="s">
        <v>42</v>
      </c>
      <c r="N1426" t="s">
        <v>84</v>
      </c>
      <c r="O1426" t="s">
        <v>3870</v>
      </c>
      <c r="P1426" t="s">
        <v>3871</v>
      </c>
      <c r="Q1426">
        <f t="shared" si="396"/>
        <v>2</v>
      </c>
      <c r="R1426">
        <f t="shared" si="397"/>
        <v>5</v>
      </c>
      <c r="S1426">
        <f t="shared" si="398"/>
        <v>4</v>
      </c>
      <c r="T1426">
        <f t="shared" si="399"/>
        <v>1</v>
      </c>
      <c r="U1426">
        <v>5000</v>
      </c>
      <c r="V1426">
        <f t="shared" si="400"/>
        <v>0</v>
      </c>
      <c r="W1426">
        <f t="shared" si="401"/>
        <v>0</v>
      </c>
      <c r="X1426">
        <f t="shared" si="402"/>
        <v>1</v>
      </c>
      <c r="Y1426">
        <f t="shared" si="403"/>
        <v>0</v>
      </c>
      <c r="Z1426">
        <f t="shared" si="404"/>
        <v>1</v>
      </c>
      <c r="AA1426">
        <f t="shared" si="405"/>
        <v>0</v>
      </c>
      <c r="AB1426">
        <f t="shared" si="406"/>
        <v>1</v>
      </c>
      <c r="AC1426">
        <f t="shared" si="407"/>
        <v>0</v>
      </c>
      <c r="AD1426">
        <f t="shared" si="408"/>
        <v>0</v>
      </c>
      <c r="AE1426">
        <f t="shared" si="409"/>
        <v>0</v>
      </c>
      <c r="AF1426">
        <f t="shared" si="410"/>
        <v>0</v>
      </c>
      <c r="AG1426">
        <f t="shared" si="411"/>
        <v>1</v>
      </c>
      <c r="AH1426">
        <f t="shared" si="412"/>
        <v>0</v>
      </c>
      <c r="AI1426">
        <f t="shared" si="413"/>
        <v>0</v>
      </c>
    </row>
    <row r="1427" spans="1:35" x14ac:dyDescent="0.2">
      <c r="A1427">
        <v>302</v>
      </c>
      <c r="B1427" t="s">
        <v>1398</v>
      </c>
      <c r="C1427">
        <v>7</v>
      </c>
      <c r="D1427" t="s">
        <v>3872</v>
      </c>
      <c r="E1427" t="s">
        <v>21</v>
      </c>
      <c r="F1427" t="s">
        <v>18</v>
      </c>
      <c r="G1427" t="s">
        <v>39</v>
      </c>
      <c r="H1427" t="s">
        <v>21</v>
      </c>
      <c r="I1427">
        <v>2</v>
      </c>
      <c r="J1427">
        <v>2</v>
      </c>
      <c r="K1427">
        <v>5000000</v>
      </c>
      <c r="L1427" t="s">
        <v>194</v>
      </c>
      <c r="M1427" t="s">
        <v>23</v>
      </c>
      <c r="N1427" t="s">
        <v>215</v>
      </c>
      <c r="O1427" t="s">
        <v>1105</v>
      </c>
      <c r="P1427" t="s">
        <v>3873</v>
      </c>
      <c r="Q1427">
        <f t="shared" si="396"/>
        <v>1</v>
      </c>
      <c r="R1427">
        <f t="shared" si="397"/>
        <v>4</v>
      </c>
      <c r="S1427">
        <f t="shared" si="398"/>
        <v>5</v>
      </c>
      <c r="T1427">
        <f t="shared" si="399"/>
        <v>1</v>
      </c>
      <c r="U1427">
        <v>5000000</v>
      </c>
      <c r="V1427">
        <f t="shared" si="400"/>
        <v>0</v>
      </c>
      <c r="W1427">
        <f t="shared" si="401"/>
        <v>0</v>
      </c>
      <c r="X1427">
        <f t="shared" si="402"/>
        <v>0</v>
      </c>
      <c r="Y1427">
        <f t="shared" si="403"/>
        <v>1</v>
      </c>
      <c r="Z1427">
        <f t="shared" si="404"/>
        <v>1</v>
      </c>
      <c r="AA1427">
        <f t="shared" si="405"/>
        <v>1</v>
      </c>
      <c r="AB1427">
        <f t="shared" si="406"/>
        <v>0</v>
      </c>
      <c r="AC1427">
        <f t="shared" si="407"/>
        <v>0</v>
      </c>
      <c r="AD1427">
        <f t="shared" si="408"/>
        <v>0</v>
      </c>
      <c r="AE1427">
        <f t="shared" si="409"/>
        <v>0</v>
      </c>
      <c r="AF1427">
        <f t="shared" si="410"/>
        <v>1</v>
      </c>
      <c r="AG1427">
        <f t="shared" si="411"/>
        <v>0</v>
      </c>
      <c r="AH1427">
        <f t="shared" si="412"/>
        <v>0</v>
      </c>
      <c r="AI1427">
        <f t="shared" si="413"/>
        <v>0</v>
      </c>
    </row>
    <row r="1428" spans="1:35" x14ac:dyDescent="0.2">
      <c r="A1428">
        <v>303</v>
      </c>
      <c r="B1428" t="s">
        <v>1398</v>
      </c>
      <c r="C1428">
        <v>5</v>
      </c>
      <c r="D1428" t="s">
        <v>3874</v>
      </c>
      <c r="E1428" t="s">
        <v>20</v>
      </c>
      <c r="F1428" t="s">
        <v>19</v>
      </c>
      <c r="G1428" t="s">
        <v>18</v>
      </c>
      <c r="H1428" t="s">
        <v>20</v>
      </c>
      <c r="I1428">
        <v>3</v>
      </c>
      <c r="J1428">
        <v>2</v>
      </c>
      <c r="K1428">
        <v>5</v>
      </c>
      <c r="L1428" t="s">
        <v>41</v>
      </c>
      <c r="M1428" t="s">
        <v>115</v>
      </c>
      <c r="N1428" t="s">
        <v>84</v>
      </c>
      <c r="O1428" t="s">
        <v>3875</v>
      </c>
      <c r="P1428" t="s">
        <v>3876</v>
      </c>
      <c r="Q1428">
        <f t="shared" si="396"/>
        <v>2</v>
      </c>
      <c r="R1428">
        <f t="shared" si="397"/>
        <v>3</v>
      </c>
      <c r="S1428">
        <f t="shared" si="398"/>
        <v>4</v>
      </c>
      <c r="T1428">
        <f t="shared" si="399"/>
        <v>2</v>
      </c>
      <c r="U1428">
        <v>5</v>
      </c>
      <c r="V1428">
        <f t="shared" si="400"/>
        <v>0</v>
      </c>
      <c r="W1428">
        <f t="shared" si="401"/>
        <v>0</v>
      </c>
      <c r="X1428">
        <f t="shared" si="402"/>
        <v>0</v>
      </c>
      <c r="Y1428">
        <f t="shared" si="403"/>
        <v>0</v>
      </c>
      <c r="Z1428">
        <f t="shared" si="404"/>
        <v>1</v>
      </c>
      <c r="AA1428">
        <f t="shared" si="405"/>
        <v>0</v>
      </c>
      <c r="AB1428">
        <f t="shared" si="406"/>
        <v>0</v>
      </c>
      <c r="AC1428">
        <f t="shared" si="407"/>
        <v>1</v>
      </c>
      <c r="AD1428">
        <f t="shared" si="408"/>
        <v>0</v>
      </c>
      <c r="AE1428">
        <f t="shared" si="409"/>
        <v>0</v>
      </c>
      <c r="AF1428">
        <f t="shared" si="410"/>
        <v>0</v>
      </c>
      <c r="AG1428">
        <f t="shared" si="411"/>
        <v>1</v>
      </c>
      <c r="AH1428">
        <f t="shared" si="412"/>
        <v>0</v>
      </c>
      <c r="AI1428">
        <f t="shared" si="413"/>
        <v>0</v>
      </c>
    </row>
    <row r="1429" spans="1:35" x14ac:dyDescent="0.2">
      <c r="A1429">
        <v>304</v>
      </c>
      <c r="B1429" t="s">
        <v>1398</v>
      </c>
      <c r="C1429">
        <v>8</v>
      </c>
      <c r="D1429" t="s">
        <v>3877</v>
      </c>
      <c r="E1429" t="s">
        <v>21</v>
      </c>
      <c r="F1429" t="s">
        <v>18</v>
      </c>
      <c r="G1429" t="s">
        <v>18</v>
      </c>
      <c r="H1429" t="s">
        <v>20</v>
      </c>
      <c r="I1429">
        <v>3</v>
      </c>
      <c r="J1429">
        <v>2</v>
      </c>
      <c r="K1429">
        <v>800</v>
      </c>
      <c r="L1429" t="s">
        <v>194</v>
      </c>
      <c r="M1429" t="s">
        <v>135</v>
      </c>
      <c r="N1429" t="s">
        <v>43</v>
      </c>
      <c r="O1429" t="s">
        <v>3878</v>
      </c>
      <c r="P1429" t="s">
        <v>3879</v>
      </c>
      <c r="Q1429">
        <f t="shared" si="396"/>
        <v>1</v>
      </c>
      <c r="R1429">
        <f t="shared" si="397"/>
        <v>4</v>
      </c>
      <c r="S1429">
        <f t="shared" si="398"/>
        <v>4</v>
      </c>
      <c r="T1429">
        <f t="shared" si="399"/>
        <v>2</v>
      </c>
      <c r="U1429">
        <v>800</v>
      </c>
      <c r="V1429">
        <f t="shared" si="400"/>
        <v>0</v>
      </c>
      <c r="W1429">
        <f t="shared" si="401"/>
        <v>0</v>
      </c>
      <c r="X1429">
        <f t="shared" si="402"/>
        <v>0</v>
      </c>
      <c r="Y1429">
        <f t="shared" si="403"/>
        <v>1</v>
      </c>
      <c r="Z1429">
        <f t="shared" si="404"/>
        <v>1</v>
      </c>
      <c r="AA1429">
        <f t="shared" si="405"/>
        <v>1</v>
      </c>
      <c r="AB1429">
        <f t="shared" si="406"/>
        <v>1</v>
      </c>
      <c r="AC1429">
        <f t="shared" si="407"/>
        <v>0</v>
      </c>
      <c r="AD1429">
        <f t="shared" si="408"/>
        <v>0</v>
      </c>
      <c r="AE1429">
        <f t="shared" si="409"/>
        <v>0</v>
      </c>
      <c r="AF1429">
        <f t="shared" si="410"/>
        <v>1</v>
      </c>
      <c r="AG1429">
        <f t="shared" si="411"/>
        <v>1</v>
      </c>
      <c r="AH1429">
        <f t="shared" si="412"/>
        <v>0</v>
      </c>
      <c r="AI1429">
        <f t="shared" si="413"/>
        <v>0</v>
      </c>
    </row>
    <row r="1430" spans="1:35" x14ac:dyDescent="0.2">
      <c r="A1430">
        <v>305</v>
      </c>
      <c r="B1430" t="s">
        <v>1398</v>
      </c>
      <c r="C1430">
        <v>9</v>
      </c>
      <c r="D1430" t="s">
        <v>3880</v>
      </c>
      <c r="E1430" t="s">
        <v>21</v>
      </c>
      <c r="F1430" t="s">
        <v>39</v>
      </c>
      <c r="G1430" t="s">
        <v>18</v>
      </c>
      <c r="H1430" t="s">
        <v>20</v>
      </c>
      <c r="I1430">
        <v>25</v>
      </c>
      <c r="J1430">
        <v>30</v>
      </c>
      <c r="K1430" t="s">
        <v>3881</v>
      </c>
      <c r="L1430" t="s">
        <v>714</v>
      </c>
      <c r="M1430" t="s">
        <v>161</v>
      </c>
      <c r="N1430" t="s">
        <v>43</v>
      </c>
      <c r="O1430" t="s">
        <v>3882</v>
      </c>
      <c r="P1430" t="s">
        <v>3883</v>
      </c>
      <c r="Q1430">
        <f t="shared" si="396"/>
        <v>1</v>
      </c>
      <c r="R1430">
        <f t="shared" si="397"/>
        <v>5</v>
      </c>
      <c r="S1430">
        <f t="shared" si="398"/>
        <v>4</v>
      </c>
      <c r="T1430">
        <f t="shared" si="399"/>
        <v>2</v>
      </c>
      <c r="V1430">
        <f t="shared" si="400"/>
        <v>0</v>
      </c>
      <c r="W1430">
        <f t="shared" si="401"/>
        <v>0</v>
      </c>
      <c r="X1430">
        <f t="shared" si="402"/>
        <v>1</v>
      </c>
      <c r="Y1430">
        <f t="shared" si="403"/>
        <v>1</v>
      </c>
      <c r="Z1430">
        <f t="shared" si="404"/>
        <v>1</v>
      </c>
      <c r="AA1430">
        <f t="shared" si="405"/>
        <v>1</v>
      </c>
      <c r="AB1430">
        <f t="shared" si="406"/>
        <v>1</v>
      </c>
      <c r="AC1430">
        <f t="shared" si="407"/>
        <v>1</v>
      </c>
      <c r="AD1430">
        <f t="shared" si="408"/>
        <v>1</v>
      </c>
      <c r="AE1430">
        <f t="shared" si="409"/>
        <v>0</v>
      </c>
      <c r="AF1430">
        <f t="shared" si="410"/>
        <v>1</v>
      </c>
      <c r="AG1430">
        <f t="shared" si="411"/>
        <v>1</v>
      </c>
      <c r="AH1430">
        <f t="shared" si="412"/>
        <v>0</v>
      </c>
      <c r="AI1430">
        <f t="shared" si="413"/>
        <v>0</v>
      </c>
    </row>
    <row r="1431" spans="1:35" x14ac:dyDescent="0.2">
      <c r="A1431">
        <v>306</v>
      </c>
      <c r="B1431" t="s">
        <v>1398</v>
      </c>
      <c r="C1431">
        <v>2</v>
      </c>
      <c r="D1431" t="s">
        <v>3884</v>
      </c>
      <c r="E1431" t="s">
        <v>18</v>
      </c>
      <c r="F1431" t="s">
        <v>39</v>
      </c>
      <c r="G1431" t="s">
        <v>39</v>
      </c>
      <c r="H1431" t="s">
        <v>21</v>
      </c>
      <c r="I1431">
        <v>2</v>
      </c>
      <c r="J1431">
        <v>1</v>
      </c>
      <c r="K1431">
        <v>100</v>
      </c>
      <c r="L1431" t="s">
        <v>70</v>
      </c>
      <c r="M1431" t="s">
        <v>23</v>
      </c>
      <c r="N1431" t="s">
        <v>215</v>
      </c>
      <c r="O1431" t="s">
        <v>3885</v>
      </c>
      <c r="P1431" t="s">
        <v>3886</v>
      </c>
      <c r="Q1431">
        <f t="shared" si="396"/>
        <v>4</v>
      </c>
      <c r="R1431">
        <f t="shared" si="397"/>
        <v>5</v>
      </c>
      <c r="S1431">
        <f t="shared" si="398"/>
        <v>5</v>
      </c>
      <c r="T1431">
        <f t="shared" si="399"/>
        <v>1</v>
      </c>
      <c r="U1431">
        <v>100</v>
      </c>
      <c r="V1431">
        <f t="shared" si="400"/>
        <v>0</v>
      </c>
      <c r="W1431">
        <f t="shared" si="401"/>
        <v>0</v>
      </c>
      <c r="X1431">
        <f t="shared" si="402"/>
        <v>0</v>
      </c>
      <c r="Y1431">
        <f t="shared" si="403"/>
        <v>1</v>
      </c>
      <c r="Z1431">
        <f t="shared" si="404"/>
        <v>0</v>
      </c>
      <c r="AA1431">
        <f t="shared" si="405"/>
        <v>1</v>
      </c>
      <c r="AB1431">
        <f t="shared" si="406"/>
        <v>0</v>
      </c>
      <c r="AC1431">
        <f t="shared" si="407"/>
        <v>0</v>
      </c>
      <c r="AD1431">
        <f t="shared" si="408"/>
        <v>0</v>
      </c>
      <c r="AE1431">
        <f t="shared" si="409"/>
        <v>0</v>
      </c>
      <c r="AF1431">
        <f t="shared" si="410"/>
        <v>1</v>
      </c>
      <c r="AG1431">
        <f t="shared" si="411"/>
        <v>0</v>
      </c>
      <c r="AH1431">
        <f t="shared" si="412"/>
        <v>0</v>
      </c>
      <c r="AI1431">
        <f t="shared" si="413"/>
        <v>0</v>
      </c>
    </row>
    <row r="1432" spans="1:35" x14ac:dyDescent="0.2">
      <c r="A1432">
        <v>307</v>
      </c>
      <c r="B1432" t="s">
        <v>1398</v>
      </c>
      <c r="C1432">
        <v>8</v>
      </c>
      <c r="D1432" t="s">
        <v>3887</v>
      </c>
      <c r="E1432" t="s">
        <v>39</v>
      </c>
      <c r="F1432" t="s">
        <v>39</v>
      </c>
      <c r="G1432" t="s">
        <v>39</v>
      </c>
      <c r="H1432" t="s">
        <v>39</v>
      </c>
      <c r="I1432">
        <v>5</v>
      </c>
      <c r="J1432">
        <v>4</v>
      </c>
      <c r="K1432">
        <v>55</v>
      </c>
      <c r="L1432" t="s">
        <v>70</v>
      </c>
      <c r="M1432" t="s">
        <v>115</v>
      </c>
      <c r="N1432" t="s">
        <v>215</v>
      </c>
      <c r="O1432" t="s">
        <v>3888</v>
      </c>
      <c r="P1432" t="s">
        <v>3889</v>
      </c>
      <c r="Q1432">
        <f t="shared" si="396"/>
        <v>5</v>
      </c>
      <c r="R1432">
        <f t="shared" si="397"/>
        <v>5</v>
      </c>
      <c r="S1432">
        <f t="shared" si="398"/>
        <v>5</v>
      </c>
      <c r="T1432">
        <f t="shared" si="399"/>
        <v>5</v>
      </c>
      <c r="U1432">
        <v>55</v>
      </c>
      <c r="V1432">
        <f t="shared" si="400"/>
        <v>0</v>
      </c>
      <c r="W1432">
        <f t="shared" si="401"/>
        <v>0</v>
      </c>
      <c r="X1432">
        <f t="shared" si="402"/>
        <v>0</v>
      </c>
      <c r="Y1432">
        <f t="shared" si="403"/>
        <v>1</v>
      </c>
      <c r="Z1432">
        <f t="shared" si="404"/>
        <v>0</v>
      </c>
      <c r="AA1432">
        <f t="shared" si="405"/>
        <v>0</v>
      </c>
      <c r="AB1432">
        <f t="shared" si="406"/>
        <v>0</v>
      </c>
      <c r="AC1432">
        <f t="shared" si="407"/>
        <v>1</v>
      </c>
      <c r="AD1432">
        <f t="shared" si="408"/>
        <v>0</v>
      </c>
      <c r="AE1432">
        <f t="shared" si="409"/>
        <v>0</v>
      </c>
      <c r="AF1432">
        <f t="shared" si="410"/>
        <v>1</v>
      </c>
      <c r="AG1432">
        <f t="shared" si="411"/>
        <v>0</v>
      </c>
      <c r="AH1432">
        <f t="shared" si="412"/>
        <v>0</v>
      </c>
      <c r="AI1432">
        <f t="shared" si="413"/>
        <v>0</v>
      </c>
    </row>
    <row r="1433" spans="1:35" x14ac:dyDescent="0.2">
      <c r="A1433">
        <v>308</v>
      </c>
      <c r="B1433" t="s">
        <v>1398</v>
      </c>
      <c r="C1433">
        <v>7</v>
      </c>
      <c r="D1433" t="s">
        <v>3890</v>
      </c>
      <c r="E1433" t="s">
        <v>20</v>
      </c>
      <c r="G1433" t="s">
        <v>18</v>
      </c>
      <c r="H1433" t="s">
        <v>21</v>
      </c>
      <c r="I1433">
        <v>5</v>
      </c>
      <c r="J1433">
        <v>1</v>
      </c>
      <c r="K1433" s="1">
        <v>20000</v>
      </c>
      <c r="L1433" t="s">
        <v>41</v>
      </c>
      <c r="M1433" t="s">
        <v>115</v>
      </c>
      <c r="N1433" t="s">
        <v>84</v>
      </c>
      <c r="O1433" t="s">
        <v>3891</v>
      </c>
      <c r="P1433" t="s">
        <v>3892</v>
      </c>
      <c r="Q1433">
        <f t="shared" si="396"/>
        <v>2</v>
      </c>
      <c r="R1433" t="str">
        <f t="shared" si="397"/>
        <v/>
      </c>
      <c r="S1433">
        <f t="shared" si="398"/>
        <v>4</v>
      </c>
      <c r="T1433">
        <f t="shared" si="399"/>
        <v>1</v>
      </c>
      <c r="U1433">
        <v>20000</v>
      </c>
      <c r="V1433">
        <f t="shared" si="400"/>
        <v>0</v>
      </c>
      <c r="W1433">
        <f t="shared" si="401"/>
        <v>0</v>
      </c>
      <c r="X1433">
        <f t="shared" si="402"/>
        <v>0</v>
      </c>
      <c r="Y1433">
        <f t="shared" si="403"/>
        <v>0</v>
      </c>
      <c r="Z1433">
        <f t="shared" si="404"/>
        <v>1</v>
      </c>
      <c r="AA1433">
        <f t="shared" si="405"/>
        <v>0</v>
      </c>
      <c r="AB1433">
        <f t="shared" si="406"/>
        <v>0</v>
      </c>
      <c r="AC1433">
        <f t="shared" si="407"/>
        <v>1</v>
      </c>
      <c r="AD1433">
        <f t="shared" si="408"/>
        <v>0</v>
      </c>
      <c r="AE1433">
        <f t="shared" si="409"/>
        <v>0</v>
      </c>
      <c r="AF1433">
        <f t="shared" si="410"/>
        <v>0</v>
      </c>
      <c r="AG1433">
        <f t="shared" si="411"/>
        <v>1</v>
      </c>
      <c r="AH1433">
        <f t="shared" si="412"/>
        <v>0</v>
      </c>
      <c r="AI1433">
        <f t="shared" si="413"/>
        <v>0</v>
      </c>
    </row>
    <row r="1434" spans="1:35" x14ac:dyDescent="0.2">
      <c r="A1434">
        <v>309</v>
      </c>
      <c r="B1434" t="s">
        <v>1398</v>
      </c>
      <c r="C1434">
        <v>7</v>
      </c>
      <c r="D1434" t="s">
        <v>1199</v>
      </c>
      <c r="E1434" t="s">
        <v>20</v>
      </c>
      <c r="F1434" t="s">
        <v>18</v>
      </c>
      <c r="G1434" t="s">
        <v>39</v>
      </c>
      <c r="H1434" t="s">
        <v>21</v>
      </c>
      <c r="I1434">
        <v>3</v>
      </c>
      <c r="J1434">
        <v>3</v>
      </c>
      <c r="K1434" s="1">
        <v>100</v>
      </c>
      <c r="L1434" t="s">
        <v>714</v>
      </c>
      <c r="M1434" t="s">
        <v>42</v>
      </c>
      <c r="N1434" t="s">
        <v>215</v>
      </c>
      <c r="O1434" t="s">
        <v>3893</v>
      </c>
      <c r="P1434" t="s">
        <v>3894</v>
      </c>
      <c r="Q1434">
        <f t="shared" si="396"/>
        <v>2</v>
      </c>
      <c r="R1434">
        <f t="shared" si="397"/>
        <v>4</v>
      </c>
      <c r="S1434">
        <f t="shared" si="398"/>
        <v>5</v>
      </c>
      <c r="T1434">
        <f t="shared" si="399"/>
        <v>1</v>
      </c>
      <c r="U1434">
        <v>100</v>
      </c>
      <c r="V1434">
        <f t="shared" si="400"/>
        <v>0</v>
      </c>
      <c r="W1434">
        <f t="shared" si="401"/>
        <v>0</v>
      </c>
      <c r="X1434">
        <f t="shared" si="402"/>
        <v>1</v>
      </c>
      <c r="Y1434">
        <f t="shared" si="403"/>
        <v>1</v>
      </c>
      <c r="Z1434">
        <f t="shared" si="404"/>
        <v>1</v>
      </c>
      <c r="AA1434">
        <f t="shared" si="405"/>
        <v>0</v>
      </c>
      <c r="AB1434">
        <f t="shared" si="406"/>
        <v>1</v>
      </c>
      <c r="AC1434">
        <f t="shared" si="407"/>
        <v>0</v>
      </c>
      <c r="AD1434">
        <f t="shared" si="408"/>
        <v>0</v>
      </c>
      <c r="AE1434">
        <f t="shared" si="409"/>
        <v>0</v>
      </c>
      <c r="AF1434">
        <f t="shared" si="410"/>
        <v>1</v>
      </c>
      <c r="AG1434">
        <f t="shared" si="411"/>
        <v>0</v>
      </c>
      <c r="AH1434">
        <f t="shared" si="412"/>
        <v>0</v>
      </c>
      <c r="AI1434">
        <f t="shared" si="413"/>
        <v>0</v>
      </c>
    </row>
    <row r="1435" spans="1:35" x14ac:dyDescent="0.2">
      <c r="A1435">
        <v>310</v>
      </c>
      <c r="B1435" t="s">
        <v>1398</v>
      </c>
      <c r="C1435">
        <v>3</v>
      </c>
      <c r="D1435" t="s">
        <v>3895</v>
      </c>
      <c r="E1435" t="s">
        <v>20</v>
      </c>
      <c r="F1435" t="s">
        <v>20</v>
      </c>
      <c r="G1435" t="s">
        <v>19</v>
      </c>
      <c r="H1435" t="s">
        <v>20</v>
      </c>
      <c r="I1435">
        <v>2</v>
      </c>
      <c r="J1435">
        <v>1</v>
      </c>
      <c r="K1435">
        <v>10</v>
      </c>
      <c r="L1435" t="s">
        <v>22</v>
      </c>
      <c r="M1435" t="s">
        <v>23</v>
      </c>
      <c r="N1435" t="s">
        <v>43</v>
      </c>
      <c r="O1435" t="s">
        <v>2986</v>
      </c>
      <c r="P1435" t="s">
        <v>2074</v>
      </c>
      <c r="Q1435">
        <f t="shared" si="396"/>
        <v>2</v>
      </c>
      <c r="R1435">
        <f t="shared" si="397"/>
        <v>2</v>
      </c>
      <c r="S1435">
        <f t="shared" si="398"/>
        <v>3</v>
      </c>
      <c r="T1435">
        <f t="shared" si="399"/>
        <v>2</v>
      </c>
      <c r="U1435">
        <v>10</v>
      </c>
      <c r="V1435">
        <f t="shared" si="400"/>
        <v>1</v>
      </c>
      <c r="W1435">
        <f t="shared" si="401"/>
        <v>0</v>
      </c>
      <c r="X1435">
        <f t="shared" si="402"/>
        <v>0</v>
      </c>
      <c r="Y1435">
        <f t="shared" si="403"/>
        <v>0</v>
      </c>
      <c r="Z1435">
        <f t="shared" si="404"/>
        <v>0</v>
      </c>
      <c r="AA1435">
        <f t="shared" si="405"/>
        <v>1</v>
      </c>
      <c r="AB1435">
        <f t="shared" si="406"/>
        <v>0</v>
      </c>
      <c r="AC1435">
        <f t="shared" si="407"/>
        <v>0</v>
      </c>
      <c r="AD1435">
        <f t="shared" si="408"/>
        <v>0</v>
      </c>
      <c r="AE1435">
        <f t="shared" si="409"/>
        <v>0</v>
      </c>
      <c r="AF1435">
        <f t="shared" si="410"/>
        <v>1</v>
      </c>
      <c r="AG1435">
        <f t="shared" si="411"/>
        <v>1</v>
      </c>
      <c r="AH1435">
        <f t="shared" si="412"/>
        <v>0</v>
      </c>
      <c r="AI1435">
        <f t="shared" si="413"/>
        <v>0</v>
      </c>
    </row>
    <row r="1436" spans="1:35" x14ac:dyDescent="0.2">
      <c r="A1436">
        <v>311</v>
      </c>
      <c r="B1436" t="s">
        <v>1398</v>
      </c>
      <c r="C1436">
        <v>3</v>
      </c>
      <c r="D1436" t="s">
        <v>3896</v>
      </c>
      <c r="E1436" t="s">
        <v>21</v>
      </c>
      <c r="F1436" t="s">
        <v>39</v>
      </c>
      <c r="G1436" t="s">
        <v>39</v>
      </c>
      <c r="H1436" t="s">
        <v>21</v>
      </c>
      <c r="I1436">
        <v>1</v>
      </c>
      <c r="J1436">
        <v>1</v>
      </c>
      <c r="K1436" s="2">
        <v>5000</v>
      </c>
      <c r="L1436" t="s">
        <v>22</v>
      </c>
      <c r="M1436" t="s">
        <v>42</v>
      </c>
      <c r="N1436" t="s">
        <v>43</v>
      </c>
      <c r="O1436" t="s">
        <v>3897</v>
      </c>
      <c r="P1436" t="s">
        <v>3898</v>
      </c>
      <c r="Q1436">
        <f t="shared" si="396"/>
        <v>1</v>
      </c>
      <c r="R1436">
        <f t="shared" si="397"/>
        <v>5</v>
      </c>
      <c r="S1436">
        <f t="shared" si="398"/>
        <v>5</v>
      </c>
      <c r="T1436">
        <f t="shared" si="399"/>
        <v>1</v>
      </c>
      <c r="U1436">
        <v>5000</v>
      </c>
      <c r="V1436">
        <f t="shared" si="400"/>
        <v>1</v>
      </c>
      <c r="W1436">
        <f t="shared" si="401"/>
        <v>0</v>
      </c>
      <c r="X1436">
        <f t="shared" si="402"/>
        <v>0</v>
      </c>
      <c r="Y1436">
        <f t="shared" si="403"/>
        <v>0</v>
      </c>
      <c r="Z1436">
        <f t="shared" si="404"/>
        <v>0</v>
      </c>
      <c r="AA1436">
        <f t="shared" si="405"/>
        <v>0</v>
      </c>
      <c r="AB1436">
        <f t="shared" si="406"/>
        <v>1</v>
      </c>
      <c r="AC1436">
        <f t="shared" si="407"/>
        <v>0</v>
      </c>
      <c r="AD1436">
        <f t="shared" si="408"/>
        <v>0</v>
      </c>
      <c r="AE1436">
        <f t="shared" si="409"/>
        <v>0</v>
      </c>
      <c r="AF1436">
        <f t="shared" si="410"/>
        <v>1</v>
      </c>
      <c r="AG1436">
        <f t="shared" si="411"/>
        <v>1</v>
      </c>
      <c r="AH1436">
        <f t="shared" si="412"/>
        <v>0</v>
      </c>
      <c r="AI1436">
        <f t="shared" si="413"/>
        <v>0</v>
      </c>
    </row>
    <row r="1437" spans="1:35" x14ac:dyDescent="0.2">
      <c r="A1437">
        <v>312</v>
      </c>
      <c r="B1437" t="s">
        <v>1398</v>
      </c>
      <c r="C1437">
        <v>3</v>
      </c>
      <c r="D1437" t="s">
        <v>3899</v>
      </c>
      <c r="E1437" t="s">
        <v>20</v>
      </c>
      <c r="F1437" t="s">
        <v>39</v>
      </c>
      <c r="G1437" t="s">
        <v>18</v>
      </c>
      <c r="H1437" t="s">
        <v>21</v>
      </c>
      <c r="I1437">
        <v>4</v>
      </c>
      <c r="J1437">
        <v>1</v>
      </c>
      <c r="K1437">
        <v>6000</v>
      </c>
      <c r="L1437" t="s">
        <v>194</v>
      </c>
      <c r="M1437" t="s">
        <v>23</v>
      </c>
      <c r="N1437" t="s">
        <v>43</v>
      </c>
      <c r="O1437" t="s">
        <v>3900</v>
      </c>
      <c r="P1437" t="s">
        <v>3901</v>
      </c>
      <c r="Q1437">
        <f t="shared" si="396"/>
        <v>2</v>
      </c>
      <c r="R1437">
        <f t="shared" si="397"/>
        <v>5</v>
      </c>
      <c r="S1437">
        <f t="shared" si="398"/>
        <v>4</v>
      </c>
      <c r="T1437">
        <f t="shared" si="399"/>
        <v>1</v>
      </c>
      <c r="U1437">
        <v>6000</v>
      </c>
      <c r="V1437">
        <f t="shared" si="400"/>
        <v>0</v>
      </c>
      <c r="W1437">
        <f t="shared" si="401"/>
        <v>0</v>
      </c>
      <c r="X1437">
        <f t="shared" si="402"/>
        <v>0</v>
      </c>
      <c r="Y1437">
        <f t="shared" si="403"/>
        <v>1</v>
      </c>
      <c r="Z1437">
        <f t="shared" si="404"/>
        <v>1</v>
      </c>
      <c r="AA1437">
        <f t="shared" si="405"/>
        <v>1</v>
      </c>
      <c r="AB1437">
        <f t="shared" si="406"/>
        <v>0</v>
      </c>
      <c r="AC1437">
        <f t="shared" si="407"/>
        <v>0</v>
      </c>
      <c r="AD1437">
        <f t="shared" si="408"/>
        <v>0</v>
      </c>
      <c r="AE1437">
        <f t="shared" si="409"/>
        <v>0</v>
      </c>
      <c r="AF1437">
        <f t="shared" si="410"/>
        <v>1</v>
      </c>
      <c r="AG1437">
        <f t="shared" si="411"/>
        <v>1</v>
      </c>
      <c r="AH1437">
        <f t="shared" si="412"/>
        <v>0</v>
      </c>
      <c r="AI1437">
        <f t="shared" si="413"/>
        <v>0</v>
      </c>
    </row>
    <row r="1438" spans="1:35" x14ac:dyDescent="0.2">
      <c r="A1438">
        <v>313</v>
      </c>
      <c r="B1438" t="s">
        <v>1398</v>
      </c>
      <c r="C1438">
        <v>6</v>
      </c>
      <c r="D1438" t="s">
        <v>1130</v>
      </c>
      <c r="E1438" t="s">
        <v>19</v>
      </c>
      <c r="F1438" t="s">
        <v>18</v>
      </c>
      <c r="G1438" t="s">
        <v>39</v>
      </c>
      <c r="H1438" t="s">
        <v>21</v>
      </c>
      <c r="I1438">
        <v>4</v>
      </c>
      <c r="J1438">
        <v>1</v>
      </c>
      <c r="K1438">
        <v>100</v>
      </c>
      <c r="L1438" t="s">
        <v>601</v>
      </c>
      <c r="M1438" t="s">
        <v>123</v>
      </c>
      <c r="N1438" t="s">
        <v>84</v>
      </c>
      <c r="O1438" t="s">
        <v>3902</v>
      </c>
      <c r="P1438" t="s">
        <v>3903</v>
      </c>
      <c r="Q1438">
        <f t="shared" si="396"/>
        <v>3</v>
      </c>
      <c r="R1438">
        <f t="shared" si="397"/>
        <v>4</v>
      </c>
      <c r="S1438">
        <f t="shared" si="398"/>
        <v>5</v>
      </c>
      <c r="T1438">
        <f t="shared" si="399"/>
        <v>1</v>
      </c>
      <c r="U1438">
        <v>100</v>
      </c>
      <c r="V1438">
        <f t="shared" si="400"/>
        <v>0</v>
      </c>
      <c r="W1438">
        <f t="shared" si="401"/>
        <v>1</v>
      </c>
      <c r="X1438">
        <f t="shared" si="402"/>
        <v>0</v>
      </c>
      <c r="Y1438">
        <f t="shared" si="403"/>
        <v>1</v>
      </c>
      <c r="Z1438">
        <f t="shared" si="404"/>
        <v>1</v>
      </c>
      <c r="AA1438">
        <f t="shared" si="405"/>
        <v>0</v>
      </c>
      <c r="AB1438">
        <f t="shared" si="406"/>
        <v>1</v>
      </c>
      <c r="AC1438">
        <f t="shared" si="407"/>
        <v>1</v>
      </c>
      <c r="AD1438">
        <f t="shared" si="408"/>
        <v>0</v>
      </c>
      <c r="AE1438">
        <f t="shared" si="409"/>
        <v>0</v>
      </c>
      <c r="AF1438">
        <f t="shared" si="410"/>
        <v>0</v>
      </c>
      <c r="AG1438">
        <f t="shared" si="411"/>
        <v>1</v>
      </c>
      <c r="AH1438">
        <f t="shared" si="412"/>
        <v>0</v>
      </c>
      <c r="AI1438">
        <f t="shared" si="413"/>
        <v>0</v>
      </c>
    </row>
    <row r="1439" spans="1:35" x14ac:dyDescent="0.2">
      <c r="A1439">
        <v>314</v>
      </c>
      <c r="B1439" t="s">
        <v>1398</v>
      </c>
      <c r="C1439">
        <v>6</v>
      </c>
      <c r="D1439" t="s">
        <v>3904</v>
      </c>
      <c r="E1439" t="s">
        <v>21</v>
      </c>
      <c r="F1439" t="s">
        <v>18</v>
      </c>
      <c r="G1439" t="s">
        <v>39</v>
      </c>
      <c r="H1439" t="s">
        <v>21</v>
      </c>
      <c r="I1439">
        <v>4</v>
      </c>
      <c r="J1439">
        <v>2</v>
      </c>
      <c r="K1439">
        <v>500</v>
      </c>
      <c r="L1439" t="s">
        <v>22</v>
      </c>
      <c r="M1439" t="s">
        <v>115</v>
      </c>
      <c r="N1439" t="s">
        <v>43</v>
      </c>
      <c r="O1439" t="s">
        <v>3905</v>
      </c>
      <c r="P1439" t="s">
        <v>3906</v>
      </c>
      <c r="Q1439">
        <f t="shared" si="396"/>
        <v>1</v>
      </c>
      <c r="R1439">
        <f t="shared" si="397"/>
        <v>4</v>
      </c>
      <c r="S1439">
        <f t="shared" si="398"/>
        <v>5</v>
      </c>
      <c r="T1439">
        <f t="shared" si="399"/>
        <v>1</v>
      </c>
      <c r="U1439">
        <v>500</v>
      </c>
      <c r="V1439">
        <f t="shared" si="400"/>
        <v>1</v>
      </c>
      <c r="W1439">
        <f t="shared" si="401"/>
        <v>0</v>
      </c>
      <c r="X1439">
        <f t="shared" si="402"/>
        <v>0</v>
      </c>
      <c r="Y1439">
        <f t="shared" si="403"/>
        <v>0</v>
      </c>
      <c r="Z1439">
        <f t="shared" si="404"/>
        <v>0</v>
      </c>
      <c r="AA1439">
        <f t="shared" si="405"/>
        <v>0</v>
      </c>
      <c r="AB1439">
        <f t="shared" si="406"/>
        <v>0</v>
      </c>
      <c r="AC1439">
        <f t="shared" si="407"/>
        <v>1</v>
      </c>
      <c r="AD1439">
        <f t="shared" si="408"/>
        <v>0</v>
      </c>
      <c r="AE1439">
        <f t="shared" si="409"/>
        <v>0</v>
      </c>
      <c r="AF1439">
        <f t="shared" si="410"/>
        <v>1</v>
      </c>
      <c r="AG1439">
        <f t="shared" si="411"/>
        <v>1</v>
      </c>
      <c r="AH1439">
        <f t="shared" si="412"/>
        <v>0</v>
      </c>
      <c r="AI1439">
        <f t="shared" si="413"/>
        <v>0</v>
      </c>
    </row>
    <row r="1440" spans="1:35" x14ac:dyDescent="0.2">
      <c r="A1440">
        <v>315</v>
      </c>
      <c r="B1440" t="s">
        <v>1398</v>
      </c>
      <c r="C1440">
        <v>5</v>
      </c>
      <c r="D1440" t="s">
        <v>3907</v>
      </c>
      <c r="E1440" t="s">
        <v>21</v>
      </c>
      <c r="F1440" t="s">
        <v>39</v>
      </c>
      <c r="G1440" t="s">
        <v>39</v>
      </c>
      <c r="H1440" t="s">
        <v>21</v>
      </c>
      <c r="I1440">
        <v>2</v>
      </c>
      <c r="J1440">
        <v>2</v>
      </c>
      <c r="K1440">
        <v>60</v>
      </c>
      <c r="L1440" t="s">
        <v>601</v>
      </c>
      <c r="M1440" t="s">
        <v>23</v>
      </c>
      <c r="N1440" t="s">
        <v>215</v>
      </c>
      <c r="O1440" t="s">
        <v>1558</v>
      </c>
      <c r="P1440" t="s">
        <v>3908</v>
      </c>
      <c r="Q1440">
        <f t="shared" si="396"/>
        <v>1</v>
      </c>
      <c r="R1440">
        <f t="shared" si="397"/>
        <v>5</v>
      </c>
      <c r="S1440">
        <f t="shared" si="398"/>
        <v>5</v>
      </c>
      <c r="T1440">
        <f t="shared" si="399"/>
        <v>1</v>
      </c>
      <c r="U1440">
        <v>60</v>
      </c>
      <c r="V1440">
        <f t="shared" si="400"/>
        <v>0</v>
      </c>
      <c r="W1440">
        <f t="shared" si="401"/>
        <v>1</v>
      </c>
      <c r="X1440">
        <f t="shared" si="402"/>
        <v>0</v>
      </c>
      <c r="Y1440">
        <f t="shared" si="403"/>
        <v>1</v>
      </c>
      <c r="Z1440">
        <f t="shared" si="404"/>
        <v>1</v>
      </c>
      <c r="AA1440">
        <f t="shared" si="405"/>
        <v>1</v>
      </c>
      <c r="AB1440">
        <f t="shared" si="406"/>
        <v>0</v>
      </c>
      <c r="AC1440">
        <f t="shared" si="407"/>
        <v>0</v>
      </c>
      <c r="AD1440">
        <f t="shared" si="408"/>
        <v>0</v>
      </c>
      <c r="AE1440">
        <f t="shared" si="409"/>
        <v>0</v>
      </c>
      <c r="AF1440">
        <f t="shared" si="410"/>
        <v>1</v>
      </c>
      <c r="AG1440">
        <f t="shared" si="411"/>
        <v>0</v>
      </c>
      <c r="AH1440">
        <f t="shared" si="412"/>
        <v>0</v>
      </c>
      <c r="AI1440">
        <f t="shared" si="413"/>
        <v>0</v>
      </c>
    </row>
    <row r="1441" spans="1:35" x14ac:dyDescent="0.2">
      <c r="A1441">
        <v>316</v>
      </c>
      <c r="B1441" t="s">
        <v>1398</v>
      </c>
      <c r="C1441">
        <v>7</v>
      </c>
      <c r="D1441" t="s">
        <v>3909</v>
      </c>
      <c r="E1441" t="s">
        <v>18</v>
      </c>
      <c r="F1441" t="s">
        <v>18</v>
      </c>
      <c r="G1441" t="s">
        <v>18</v>
      </c>
      <c r="H1441" t="s">
        <v>20</v>
      </c>
      <c r="I1441">
        <v>2</v>
      </c>
      <c r="J1441">
        <v>3</v>
      </c>
      <c r="K1441">
        <v>1500</v>
      </c>
      <c r="L1441" t="s">
        <v>230</v>
      </c>
      <c r="M1441" t="s">
        <v>161</v>
      </c>
      <c r="N1441" t="s">
        <v>822</v>
      </c>
      <c r="O1441" t="s">
        <v>1419</v>
      </c>
      <c r="P1441" t="s">
        <v>3910</v>
      </c>
      <c r="Q1441">
        <f t="shared" si="396"/>
        <v>4</v>
      </c>
      <c r="R1441">
        <f t="shared" si="397"/>
        <v>4</v>
      </c>
      <c r="S1441">
        <f t="shared" si="398"/>
        <v>4</v>
      </c>
      <c r="T1441">
        <f t="shared" si="399"/>
        <v>2</v>
      </c>
      <c r="U1441">
        <v>1500</v>
      </c>
      <c r="V1441">
        <f t="shared" si="400"/>
        <v>1</v>
      </c>
      <c r="W1441">
        <f t="shared" si="401"/>
        <v>1</v>
      </c>
      <c r="X1441">
        <f t="shared" si="402"/>
        <v>1</v>
      </c>
      <c r="Y1441">
        <f t="shared" si="403"/>
        <v>1</v>
      </c>
      <c r="Z1441">
        <f t="shared" si="404"/>
        <v>1</v>
      </c>
      <c r="AA1441">
        <f t="shared" si="405"/>
        <v>1</v>
      </c>
      <c r="AB1441">
        <f t="shared" si="406"/>
        <v>1</v>
      </c>
      <c r="AC1441">
        <f t="shared" si="407"/>
        <v>1</v>
      </c>
      <c r="AD1441">
        <f t="shared" si="408"/>
        <v>1</v>
      </c>
      <c r="AE1441">
        <f t="shared" si="409"/>
        <v>0</v>
      </c>
      <c r="AF1441">
        <f t="shared" si="410"/>
        <v>1</v>
      </c>
      <c r="AG1441">
        <f t="shared" si="411"/>
        <v>1</v>
      </c>
      <c r="AH1441">
        <f t="shared" si="412"/>
        <v>1</v>
      </c>
      <c r="AI1441">
        <f t="shared" si="413"/>
        <v>0</v>
      </c>
    </row>
    <row r="1442" spans="1:35" x14ac:dyDescent="0.2">
      <c r="A1442">
        <v>317</v>
      </c>
      <c r="B1442" t="s">
        <v>1398</v>
      </c>
      <c r="C1442">
        <v>9</v>
      </c>
      <c r="D1442" t="s">
        <v>816</v>
      </c>
      <c r="E1442" t="s">
        <v>21</v>
      </c>
      <c r="F1442" t="s">
        <v>39</v>
      </c>
      <c r="G1442" t="s">
        <v>39</v>
      </c>
      <c r="H1442" t="s">
        <v>21</v>
      </c>
      <c r="I1442">
        <v>8</v>
      </c>
      <c r="J1442">
        <v>2</v>
      </c>
      <c r="K1442">
        <v>10</v>
      </c>
      <c r="M1442" t="s">
        <v>219</v>
      </c>
      <c r="N1442" t="s">
        <v>215</v>
      </c>
      <c r="O1442" t="s">
        <v>1668</v>
      </c>
      <c r="P1442" t="s">
        <v>816</v>
      </c>
      <c r="Q1442">
        <f t="shared" si="396"/>
        <v>1</v>
      </c>
      <c r="R1442">
        <f t="shared" si="397"/>
        <v>5</v>
      </c>
      <c r="S1442">
        <f t="shared" si="398"/>
        <v>5</v>
      </c>
      <c r="T1442">
        <f t="shared" si="399"/>
        <v>1</v>
      </c>
      <c r="U1442">
        <v>10</v>
      </c>
      <c r="V1442">
        <f t="shared" si="400"/>
        <v>0</v>
      </c>
      <c r="W1442">
        <f t="shared" si="401"/>
        <v>0</v>
      </c>
      <c r="X1442">
        <f t="shared" si="402"/>
        <v>0</v>
      </c>
      <c r="Y1442">
        <f t="shared" si="403"/>
        <v>0</v>
      </c>
      <c r="Z1442">
        <f t="shared" si="404"/>
        <v>0</v>
      </c>
      <c r="AA1442">
        <f t="shared" si="405"/>
        <v>0</v>
      </c>
      <c r="AB1442">
        <f t="shared" si="406"/>
        <v>0</v>
      </c>
      <c r="AC1442">
        <f t="shared" si="407"/>
        <v>0</v>
      </c>
      <c r="AD1442">
        <f t="shared" si="408"/>
        <v>0</v>
      </c>
      <c r="AE1442">
        <f t="shared" si="409"/>
        <v>1</v>
      </c>
      <c r="AF1442">
        <f t="shared" si="410"/>
        <v>1</v>
      </c>
      <c r="AG1442">
        <f t="shared" si="411"/>
        <v>0</v>
      </c>
      <c r="AH1442">
        <f t="shared" si="412"/>
        <v>0</v>
      </c>
      <c r="AI1442">
        <f t="shared" si="413"/>
        <v>0</v>
      </c>
    </row>
    <row r="1443" spans="1:35" x14ac:dyDescent="0.2">
      <c r="A1443">
        <v>318</v>
      </c>
      <c r="B1443" t="s">
        <v>1398</v>
      </c>
      <c r="C1443">
        <v>7</v>
      </c>
      <c r="D1443" t="s">
        <v>1418</v>
      </c>
      <c r="E1443" t="s">
        <v>19</v>
      </c>
      <c r="F1443" t="s">
        <v>39</v>
      </c>
      <c r="G1443" t="s">
        <v>18</v>
      </c>
      <c r="H1443" t="s">
        <v>21</v>
      </c>
      <c r="I1443">
        <v>3</v>
      </c>
      <c r="J1443">
        <v>3</v>
      </c>
      <c r="K1443" s="1">
        <v>20</v>
      </c>
      <c r="L1443" t="s">
        <v>70</v>
      </c>
      <c r="M1443" t="s">
        <v>42</v>
      </c>
      <c r="N1443" t="s">
        <v>215</v>
      </c>
      <c r="O1443" t="s">
        <v>3911</v>
      </c>
      <c r="P1443" t="s">
        <v>3912</v>
      </c>
      <c r="Q1443">
        <f t="shared" si="396"/>
        <v>3</v>
      </c>
      <c r="R1443">
        <f t="shared" si="397"/>
        <v>5</v>
      </c>
      <c r="S1443">
        <f t="shared" si="398"/>
        <v>4</v>
      </c>
      <c r="T1443">
        <f t="shared" si="399"/>
        <v>1</v>
      </c>
      <c r="U1443">
        <v>20</v>
      </c>
      <c r="V1443">
        <f t="shared" si="400"/>
        <v>0</v>
      </c>
      <c r="W1443">
        <f t="shared" si="401"/>
        <v>0</v>
      </c>
      <c r="X1443">
        <f t="shared" si="402"/>
        <v>0</v>
      </c>
      <c r="Y1443">
        <f t="shared" si="403"/>
        <v>1</v>
      </c>
      <c r="Z1443">
        <f t="shared" si="404"/>
        <v>0</v>
      </c>
      <c r="AA1443">
        <f t="shared" si="405"/>
        <v>0</v>
      </c>
      <c r="AB1443">
        <f t="shared" si="406"/>
        <v>1</v>
      </c>
      <c r="AC1443">
        <f t="shared" si="407"/>
        <v>0</v>
      </c>
      <c r="AD1443">
        <f t="shared" si="408"/>
        <v>0</v>
      </c>
      <c r="AE1443">
        <f t="shared" si="409"/>
        <v>0</v>
      </c>
      <c r="AF1443">
        <f t="shared" si="410"/>
        <v>1</v>
      </c>
      <c r="AG1443">
        <f t="shared" si="411"/>
        <v>0</v>
      </c>
      <c r="AH1443">
        <f t="shared" si="412"/>
        <v>0</v>
      </c>
      <c r="AI1443">
        <f t="shared" si="413"/>
        <v>0</v>
      </c>
    </row>
    <row r="1444" spans="1:35" x14ac:dyDescent="0.2">
      <c r="A1444">
        <v>319</v>
      </c>
      <c r="B1444" t="s">
        <v>1398</v>
      </c>
      <c r="C1444">
        <v>7</v>
      </c>
      <c r="D1444" t="s">
        <v>3913</v>
      </c>
      <c r="E1444" t="s">
        <v>21</v>
      </c>
      <c r="F1444" t="s">
        <v>18</v>
      </c>
      <c r="G1444" t="s">
        <v>39</v>
      </c>
      <c r="H1444" t="s">
        <v>21</v>
      </c>
      <c r="I1444">
        <v>2</v>
      </c>
      <c r="J1444">
        <v>1</v>
      </c>
      <c r="K1444">
        <v>200</v>
      </c>
      <c r="L1444" t="s">
        <v>41</v>
      </c>
      <c r="M1444" t="s">
        <v>115</v>
      </c>
      <c r="N1444" t="s">
        <v>43</v>
      </c>
      <c r="O1444" t="s">
        <v>3914</v>
      </c>
      <c r="P1444" t="s">
        <v>3915</v>
      </c>
      <c r="Q1444">
        <f t="shared" si="396"/>
        <v>1</v>
      </c>
      <c r="R1444">
        <f t="shared" si="397"/>
        <v>4</v>
      </c>
      <c r="S1444">
        <f t="shared" si="398"/>
        <v>5</v>
      </c>
      <c r="T1444">
        <f t="shared" si="399"/>
        <v>1</v>
      </c>
      <c r="U1444">
        <v>200</v>
      </c>
      <c r="V1444">
        <f t="shared" si="400"/>
        <v>0</v>
      </c>
      <c r="W1444">
        <f t="shared" si="401"/>
        <v>0</v>
      </c>
      <c r="X1444">
        <f t="shared" si="402"/>
        <v>0</v>
      </c>
      <c r="Y1444">
        <f t="shared" si="403"/>
        <v>0</v>
      </c>
      <c r="Z1444">
        <f t="shared" si="404"/>
        <v>1</v>
      </c>
      <c r="AA1444">
        <f t="shared" si="405"/>
        <v>0</v>
      </c>
      <c r="AB1444">
        <f t="shared" si="406"/>
        <v>0</v>
      </c>
      <c r="AC1444">
        <f t="shared" si="407"/>
        <v>1</v>
      </c>
      <c r="AD1444">
        <f t="shared" si="408"/>
        <v>0</v>
      </c>
      <c r="AE1444">
        <f t="shared" si="409"/>
        <v>0</v>
      </c>
      <c r="AF1444">
        <f t="shared" si="410"/>
        <v>1</v>
      </c>
      <c r="AG1444">
        <f t="shared" si="411"/>
        <v>1</v>
      </c>
      <c r="AH1444">
        <f t="shared" si="412"/>
        <v>0</v>
      </c>
      <c r="AI1444">
        <f t="shared" si="413"/>
        <v>0</v>
      </c>
    </row>
    <row r="1445" spans="1:35" x14ac:dyDescent="0.2">
      <c r="A1445">
        <v>320</v>
      </c>
      <c r="B1445" t="s">
        <v>1398</v>
      </c>
      <c r="C1445">
        <v>5</v>
      </c>
      <c r="D1445" t="s">
        <v>3916</v>
      </c>
      <c r="E1445" t="s">
        <v>21</v>
      </c>
      <c r="F1445" t="s">
        <v>39</v>
      </c>
      <c r="G1445" t="s">
        <v>39</v>
      </c>
      <c r="H1445" t="s">
        <v>21</v>
      </c>
      <c r="I1445">
        <v>4</v>
      </c>
      <c r="J1445">
        <v>2</v>
      </c>
      <c r="K1445" t="s">
        <v>3101</v>
      </c>
      <c r="L1445" t="s">
        <v>305</v>
      </c>
      <c r="M1445" t="s">
        <v>48</v>
      </c>
      <c r="N1445" t="s">
        <v>43</v>
      </c>
      <c r="O1445" t="s">
        <v>3917</v>
      </c>
      <c r="P1445" t="s">
        <v>3918</v>
      </c>
      <c r="Q1445">
        <f t="shared" si="396"/>
        <v>1</v>
      </c>
      <c r="R1445">
        <f t="shared" si="397"/>
        <v>5</v>
      </c>
      <c r="S1445">
        <f t="shared" si="398"/>
        <v>5</v>
      </c>
      <c r="T1445">
        <f t="shared" si="399"/>
        <v>1</v>
      </c>
      <c r="U1445">
        <v>1000000</v>
      </c>
      <c r="V1445">
        <f t="shared" si="400"/>
        <v>1</v>
      </c>
      <c r="W1445">
        <f t="shared" si="401"/>
        <v>1</v>
      </c>
      <c r="X1445">
        <f t="shared" si="402"/>
        <v>1</v>
      </c>
      <c r="Y1445">
        <f t="shared" si="403"/>
        <v>0</v>
      </c>
      <c r="Z1445">
        <f t="shared" si="404"/>
        <v>1</v>
      </c>
      <c r="AA1445">
        <f t="shared" si="405"/>
        <v>1</v>
      </c>
      <c r="AB1445">
        <f t="shared" si="406"/>
        <v>1</v>
      </c>
      <c r="AC1445">
        <f t="shared" si="407"/>
        <v>1</v>
      </c>
      <c r="AD1445">
        <f t="shared" si="408"/>
        <v>0</v>
      </c>
      <c r="AE1445">
        <f t="shared" si="409"/>
        <v>0</v>
      </c>
      <c r="AF1445">
        <f t="shared" si="410"/>
        <v>1</v>
      </c>
      <c r="AG1445">
        <f t="shared" si="411"/>
        <v>1</v>
      </c>
      <c r="AH1445">
        <f t="shared" si="412"/>
        <v>0</v>
      </c>
      <c r="AI1445">
        <f t="shared" si="413"/>
        <v>0</v>
      </c>
    </row>
    <row r="1446" spans="1:35" x14ac:dyDescent="0.2">
      <c r="A1446">
        <v>321</v>
      </c>
      <c r="B1446" t="s">
        <v>1398</v>
      </c>
      <c r="C1446">
        <v>5</v>
      </c>
      <c r="D1446" t="s">
        <v>3919</v>
      </c>
      <c r="E1446" t="s">
        <v>21</v>
      </c>
      <c r="F1446" t="s">
        <v>39</v>
      </c>
      <c r="G1446" t="s">
        <v>18</v>
      </c>
      <c r="H1446" t="s">
        <v>20</v>
      </c>
      <c r="I1446">
        <v>4</v>
      </c>
      <c r="J1446">
        <v>3</v>
      </c>
      <c r="K1446" t="s">
        <v>3920</v>
      </c>
      <c r="L1446" t="s">
        <v>601</v>
      </c>
      <c r="M1446" t="s">
        <v>280</v>
      </c>
      <c r="N1446" t="s">
        <v>215</v>
      </c>
      <c r="O1446" t="s">
        <v>3921</v>
      </c>
      <c r="P1446" t="s">
        <v>3922</v>
      </c>
      <c r="Q1446">
        <f t="shared" si="396"/>
        <v>1</v>
      </c>
      <c r="R1446">
        <f t="shared" si="397"/>
        <v>5</v>
      </c>
      <c r="S1446">
        <f t="shared" si="398"/>
        <v>4</v>
      </c>
      <c r="T1446">
        <f t="shared" si="399"/>
        <v>2</v>
      </c>
      <c r="U1446">
        <v>100</v>
      </c>
      <c r="V1446">
        <f t="shared" si="400"/>
        <v>0</v>
      </c>
      <c r="W1446">
        <f t="shared" si="401"/>
        <v>1</v>
      </c>
      <c r="X1446">
        <f t="shared" si="402"/>
        <v>0</v>
      </c>
      <c r="Y1446">
        <f t="shared" si="403"/>
        <v>1</v>
      </c>
      <c r="Z1446">
        <f t="shared" si="404"/>
        <v>1</v>
      </c>
      <c r="AA1446">
        <f t="shared" si="405"/>
        <v>0</v>
      </c>
      <c r="AB1446">
        <f t="shared" si="406"/>
        <v>1</v>
      </c>
      <c r="AC1446">
        <f t="shared" si="407"/>
        <v>1</v>
      </c>
      <c r="AD1446">
        <f t="shared" si="408"/>
        <v>1</v>
      </c>
      <c r="AE1446">
        <f t="shared" si="409"/>
        <v>0</v>
      </c>
      <c r="AF1446">
        <f t="shared" si="410"/>
        <v>1</v>
      </c>
      <c r="AG1446">
        <f t="shared" si="411"/>
        <v>0</v>
      </c>
      <c r="AH1446">
        <f t="shared" si="412"/>
        <v>0</v>
      </c>
      <c r="AI1446">
        <f t="shared" si="413"/>
        <v>0</v>
      </c>
    </row>
    <row r="1447" spans="1:35" x14ac:dyDescent="0.2">
      <c r="A1447">
        <v>322</v>
      </c>
      <c r="B1447" t="s">
        <v>1398</v>
      </c>
      <c r="C1447">
        <v>9</v>
      </c>
      <c r="D1447" t="s">
        <v>3923</v>
      </c>
      <c r="E1447" t="s">
        <v>21</v>
      </c>
      <c r="F1447" t="s">
        <v>18</v>
      </c>
      <c r="G1447" t="s">
        <v>21</v>
      </c>
      <c r="H1447" t="s">
        <v>39</v>
      </c>
      <c r="I1447">
        <v>6</v>
      </c>
      <c r="J1447">
        <v>4</v>
      </c>
      <c r="K1447">
        <v>1000</v>
      </c>
      <c r="L1447" t="s">
        <v>28</v>
      </c>
      <c r="M1447" t="s">
        <v>154</v>
      </c>
      <c r="N1447" t="s">
        <v>43</v>
      </c>
      <c r="O1447" t="s">
        <v>3924</v>
      </c>
      <c r="P1447" t="s">
        <v>3925</v>
      </c>
      <c r="Q1447">
        <f t="shared" si="396"/>
        <v>1</v>
      </c>
      <c r="R1447">
        <f t="shared" si="397"/>
        <v>4</v>
      </c>
      <c r="S1447">
        <f t="shared" si="398"/>
        <v>1</v>
      </c>
      <c r="T1447">
        <f t="shared" si="399"/>
        <v>5</v>
      </c>
      <c r="U1447">
        <v>1000</v>
      </c>
      <c r="V1447">
        <f t="shared" si="400"/>
        <v>1</v>
      </c>
      <c r="W1447">
        <f t="shared" si="401"/>
        <v>1</v>
      </c>
      <c r="X1447">
        <f t="shared" si="402"/>
        <v>0</v>
      </c>
      <c r="Y1447">
        <f t="shared" si="403"/>
        <v>0</v>
      </c>
      <c r="Z1447">
        <f t="shared" si="404"/>
        <v>0</v>
      </c>
      <c r="AA1447">
        <f t="shared" si="405"/>
        <v>1</v>
      </c>
      <c r="AB1447">
        <f t="shared" si="406"/>
        <v>0</v>
      </c>
      <c r="AC1447">
        <f t="shared" si="407"/>
        <v>1</v>
      </c>
      <c r="AD1447">
        <f t="shared" si="408"/>
        <v>0</v>
      </c>
      <c r="AE1447">
        <f t="shared" si="409"/>
        <v>0</v>
      </c>
      <c r="AF1447">
        <f t="shared" si="410"/>
        <v>1</v>
      </c>
      <c r="AG1447">
        <f t="shared" si="411"/>
        <v>1</v>
      </c>
      <c r="AH1447">
        <f t="shared" si="412"/>
        <v>0</v>
      </c>
      <c r="AI1447">
        <f t="shared" si="413"/>
        <v>0</v>
      </c>
    </row>
    <row r="1448" spans="1:35" x14ac:dyDescent="0.2">
      <c r="A1448">
        <v>323</v>
      </c>
      <c r="B1448" t="s">
        <v>1398</v>
      </c>
      <c r="C1448">
        <v>10</v>
      </c>
      <c r="D1448" t="s">
        <v>3926</v>
      </c>
      <c r="E1448" t="s">
        <v>21</v>
      </c>
      <c r="F1448" t="s">
        <v>39</v>
      </c>
      <c r="G1448" t="s">
        <v>39</v>
      </c>
      <c r="H1448" t="s">
        <v>21</v>
      </c>
      <c r="I1448">
        <v>3</v>
      </c>
      <c r="J1448">
        <v>3</v>
      </c>
      <c r="K1448">
        <v>200</v>
      </c>
      <c r="L1448" t="s">
        <v>22</v>
      </c>
      <c r="M1448" t="s">
        <v>704</v>
      </c>
      <c r="N1448" t="s">
        <v>215</v>
      </c>
      <c r="O1448" t="s">
        <v>1419</v>
      </c>
      <c r="P1448" t="s">
        <v>3927</v>
      </c>
      <c r="Q1448">
        <f t="shared" si="396"/>
        <v>1</v>
      </c>
      <c r="R1448">
        <f t="shared" si="397"/>
        <v>5</v>
      </c>
      <c r="S1448">
        <f t="shared" si="398"/>
        <v>5</v>
      </c>
      <c r="T1448">
        <f t="shared" si="399"/>
        <v>1</v>
      </c>
      <c r="U1448">
        <v>200</v>
      </c>
      <c r="V1448">
        <f t="shared" si="400"/>
        <v>1</v>
      </c>
      <c r="W1448">
        <f t="shared" si="401"/>
        <v>0</v>
      </c>
      <c r="X1448">
        <f t="shared" si="402"/>
        <v>0</v>
      </c>
      <c r="Y1448">
        <f t="shared" si="403"/>
        <v>0</v>
      </c>
      <c r="Z1448">
        <f t="shared" si="404"/>
        <v>0</v>
      </c>
      <c r="AA1448">
        <f t="shared" si="405"/>
        <v>0</v>
      </c>
      <c r="AB1448">
        <f t="shared" si="406"/>
        <v>0</v>
      </c>
      <c r="AC1448">
        <f t="shared" si="407"/>
        <v>1</v>
      </c>
      <c r="AD1448">
        <f t="shared" si="408"/>
        <v>1</v>
      </c>
      <c r="AE1448">
        <f t="shared" si="409"/>
        <v>0</v>
      </c>
      <c r="AF1448">
        <f t="shared" si="410"/>
        <v>1</v>
      </c>
      <c r="AG1448">
        <f t="shared" si="411"/>
        <v>0</v>
      </c>
      <c r="AH1448">
        <f t="shared" si="412"/>
        <v>0</v>
      </c>
      <c r="AI1448">
        <f t="shared" si="413"/>
        <v>0</v>
      </c>
    </row>
    <row r="1449" spans="1:35" x14ac:dyDescent="0.2">
      <c r="A1449">
        <v>324</v>
      </c>
      <c r="B1449" t="s">
        <v>1398</v>
      </c>
      <c r="C1449">
        <v>2</v>
      </c>
      <c r="D1449" t="s">
        <v>3928</v>
      </c>
      <c r="E1449" t="s">
        <v>19</v>
      </c>
      <c r="F1449" t="s">
        <v>19</v>
      </c>
      <c r="G1449" t="s">
        <v>18</v>
      </c>
      <c r="H1449" t="s">
        <v>19</v>
      </c>
      <c r="I1449">
        <v>3</v>
      </c>
      <c r="J1449">
        <v>1</v>
      </c>
      <c r="K1449" s="1">
        <v>50</v>
      </c>
      <c r="L1449" t="s">
        <v>22</v>
      </c>
      <c r="M1449" t="s">
        <v>42</v>
      </c>
      <c r="N1449" t="s">
        <v>215</v>
      </c>
      <c r="O1449" t="s">
        <v>3771</v>
      </c>
      <c r="P1449" t="s">
        <v>3929</v>
      </c>
      <c r="Q1449">
        <f t="shared" si="396"/>
        <v>3</v>
      </c>
      <c r="R1449">
        <f t="shared" si="397"/>
        <v>3</v>
      </c>
      <c r="S1449">
        <f t="shared" si="398"/>
        <v>4</v>
      </c>
      <c r="T1449">
        <f t="shared" si="399"/>
        <v>3</v>
      </c>
      <c r="U1449">
        <v>50</v>
      </c>
      <c r="V1449">
        <f t="shared" si="400"/>
        <v>1</v>
      </c>
      <c r="W1449">
        <f t="shared" si="401"/>
        <v>0</v>
      </c>
      <c r="X1449">
        <f t="shared" si="402"/>
        <v>0</v>
      </c>
      <c r="Y1449">
        <f t="shared" si="403"/>
        <v>0</v>
      </c>
      <c r="Z1449">
        <f t="shared" si="404"/>
        <v>0</v>
      </c>
      <c r="AA1449">
        <f t="shared" si="405"/>
        <v>0</v>
      </c>
      <c r="AB1449">
        <f t="shared" si="406"/>
        <v>1</v>
      </c>
      <c r="AC1449">
        <f t="shared" si="407"/>
        <v>0</v>
      </c>
      <c r="AD1449">
        <f t="shared" si="408"/>
        <v>0</v>
      </c>
      <c r="AE1449">
        <f t="shared" si="409"/>
        <v>0</v>
      </c>
      <c r="AF1449">
        <f t="shared" si="410"/>
        <v>1</v>
      </c>
      <c r="AG1449">
        <f t="shared" si="411"/>
        <v>0</v>
      </c>
      <c r="AH1449">
        <f t="shared" si="412"/>
        <v>0</v>
      </c>
      <c r="AI1449">
        <f t="shared" si="413"/>
        <v>0</v>
      </c>
    </row>
    <row r="1450" spans="1:35" x14ac:dyDescent="0.2">
      <c r="A1450">
        <v>325</v>
      </c>
      <c r="B1450" t="s">
        <v>1398</v>
      </c>
      <c r="C1450">
        <v>8</v>
      </c>
      <c r="D1450" t="s">
        <v>3930</v>
      </c>
      <c r="E1450" t="s">
        <v>20</v>
      </c>
      <c r="F1450" t="s">
        <v>18</v>
      </c>
      <c r="G1450" t="s">
        <v>18</v>
      </c>
      <c r="H1450" t="s">
        <v>21</v>
      </c>
      <c r="I1450">
        <v>2</v>
      </c>
      <c r="J1450">
        <v>1</v>
      </c>
      <c r="K1450">
        <v>100</v>
      </c>
      <c r="L1450" t="s">
        <v>128</v>
      </c>
      <c r="M1450" t="s">
        <v>154</v>
      </c>
      <c r="N1450" t="s">
        <v>43</v>
      </c>
      <c r="O1450" t="s">
        <v>1419</v>
      </c>
      <c r="P1450" t="s">
        <v>3931</v>
      </c>
      <c r="Q1450">
        <f t="shared" si="396"/>
        <v>2</v>
      </c>
      <c r="R1450">
        <f t="shared" si="397"/>
        <v>4</v>
      </c>
      <c r="S1450">
        <f t="shared" si="398"/>
        <v>4</v>
      </c>
      <c r="T1450">
        <f t="shared" si="399"/>
        <v>1</v>
      </c>
      <c r="U1450">
        <v>100</v>
      </c>
      <c r="V1450">
        <f t="shared" si="400"/>
        <v>1</v>
      </c>
      <c r="W1450">
        <f t="shared" si="401"/>
        <v>0</v>
      </c>
      <c r="X1450">
        <f t="shared" si="402"/>
        <v>1</v>
      </c>
      <c r="Y1450">
        <f t="shared" si="403"/>
        <v>0</v>
      </c>
      <c r="Z1450">
        <f t="shared" si="404"/>
        <v>0</v>
      </c>
      <c r="AA1450">
        <f t="shared" si="405"/>
        <v>1</v>
      </c>
      <c r="AB1450">
        <f t="shared" si="406"/>
        <v>0</v>
      </c>
      <c r="AC1450">
        <f t="shared" si="407"/>
        <v>1</v>
      </c>
      <c r="AD1450">
        <f t="shared" si="408"/>
        <v>0</v>
      </c>
      <c r="AE1450">
        <f t="shared" si="409"/>
        <v>0</v>
      </c>
      <c r="AF1450">
        <f t="shared" si="410"/>
        <v>1</v>
      </c>
      <c r="AG1450">
        <f t="shared" si="411"/>
        <v>1</v>
      </c>
      <c r="AH1450">
        <f t="shared" si="412"/>
        <v>0</v>
      </c>
      <c r="AI1450">
        <f t="shared" si="413"/>
        <v>0</v>
      </c>
    </row>
    <row r="1451" spans="1:35" x14ac:dyDescent="0.2">
      <c r="A1451">
        <v>326</v>
      </c>
      <c r="B1451" t="s">
        <v>1398</v>
      </c>
      <c r="C1451">
        <v>5</v>
      </c>
      <c r="D1451" t="s">
        <v>2257</v>
      </c>
      <c r="E1451" t="s">
        <v>18</v>
      </c>
      <c r="F1451" t="s">
        <v>18</v>
      </c>
      <c r="G1451" t="s">
        <v>18</v>
      </c>
      <c r="H1451" t="s">
        <v>18</v>
      </c>
      <c r="I1451">
        <v>4</v>
      </c>
      <c r="J1451">
        <v>3</v>
      </c>
      <c r="K1451">
        <v>1000</v>
      </c>
      <c r="L1451" t="s">
        <v>70</v>
      </c>
      <c r="M1451" t="s">
        <v>48</v>
      </c>
      <c r="N1451" t="s">
        <v>24</v>
      </c>
      <c r="O1451" t="s">
        <v>3932</v>
      </c>
      <c r="P1451" t="s">
        <v>3933</v>
      </c>
      <c r="Q1451">
        <f t="shared" si="396"/>
        <v>4</v>
      </c>
      <c r="R1451">
        <f t="shared" si="397"/>
        <v>4</v>
      </c>
      <c r="S1451">
        <f t="shared" si="398"/>
        <v>4</v>
      </c>
      <c r="T1451">
        <f t="shared" si="399"/>
        <v>4</v>
      </c>
      <c r="U1451">
        <v>1000</v>
      </c>
      <c r="V1451">
        <f t="shared" si="400"/>
        <v>0</v>
      </c>
      <c r="W1451">
        <f t="shared" si="401"/>
        <v>0</v>
      </c>
      <c r="X1451">
        <f t="shared" si="402"/>
        <v>0</v>
      </c>
      <c r="Y1451">
        <f t="shared" si="403"/>
        <v>1</v>
      </c>
      <c r="Z1451">
        <f t="shared" si="404"/>
        <v>0</v>
      </c>
      <c r="AA1451">
        <f t="shared" si="405"/>
        <v>1</v>
      </c>
      <c r="AB1451">
        <f t="shared" si="406"/>
        <v>1</v>
      </c>
      <c r="AC1451">
        <f t="shared" si="407"/>
        <v>1</v>
      </c>
      <c r="AD1451">
        <f t="shared" si="408"/>
        <v>0</v>
      </c>
      <c r="AE1451">
        <f t="shared" si="409"/>
        <v>0</v>
      </c>
      <c r="AF1451">
        <f t="shared" si="410"/>
        <v>0</v>
      </c>
      <c r="AG1451">
        <f t="shared" si="411"/>
        <v>0</v>
      </c>
      <c r="AH1451">
        <f t="shared" si="412"/>
        <v>1</v>
      </c>
      <c r="AI1451">
        <f t="shared" si="413"/>
        <v>0</v>
      </c>
    </row>
    <row r="1452" spans="1:35" x14ac:dyDescent="0.2">
      <c r="A1452">
        <v>327</v>
      </c>
      <c r="B1452" t="s">
        <v>1398</v>
      </c>
      <c r="C1452">
        <v>2</v>
      </c>
      <c r="D1452" t="s">
        <v>3934</v>
      </c>
      <c r="E1452" t="s">
        <v>21</v>
      </c>
      <c r="F1452" t="s">
        <v>39</v>
      </c>
      <c r="G1452" t="s">
        <v>39</v>
      </c>
      <c r="H1452" t="s">
        <v>21</v>
      </c>
      <c r="I1452">
        <v>1</v>
      </c>
      <c r="J1452">
        <v>3</v>
      </c>
      <c r="K1452" s="1">
        <v>60</v>
      </c>
      <c r="L1452" t="s">
        <v>79</v>
      </c>
      <c r="M1452" t="s">
        <v>48</v>
      </c>
      <c r="N1452" t="s">
        <v>43</v>
      </c>
      <c r="O1452" t="s">
        <v>593</v>
      </c>
      <c r="P1452" t="s">
        <v>3935</v>
      </c>
      <c r="Q1452">
        <f t="shared" si="396"/>
        <v>1</v>
      </c>
      <c r="R1452">
        <f t="shared" si="397"/>
        <v>5</v>
      </c>
      <c r="S1452">
        <f t="shared" si="398"/>
        <v>5</v>
      </c>
      <c r="T1452">
        <f t="shared" si="399"/>
        <v>1</v>
      </c>
      <c r="U1452">
        <v>60</v>
      </c>
      <c r="V1452">
        <f t="shared" si="400"/>
        <v>0</v>
      </c>
      <c r="W1452">
        <f t="shared" si="401"/>
        <v>1</v>
      </c>
      <c r="X1452">
        <f t="shared" si="402"/>
        <v>0</v>
      </c>
      <c r="Y1452">
        <f t="shared" si="403"/>
        <v>0</v>
      </c>
      <c r="Z1452">
        <f t="shared" si="404"/>
        <v>1</v>
      </c>
      <c r="AA1452">
        <f t="shared" si="405"/>
        <v>1</v>
      </c>
      <c r="AB1452">
        <f t="shared" si="406"/>
        <v>1</v>
      </c>
      <c r="AC1452">
        <f t="shared" si="407"/>
        <v>1</v>
      </c>
      <c r="AD1452">
        <f t="shared" si="408"/>
        <v>0</v>
      </c>
      <c r="AE1452">
        <f t="shared" si="409"/>
        <v>0</v>
      </c>
      <c r="AF1452">
        <f t="shared" si="410"/>
        <v>1</v>
      </c>
      <c r="AG1452">
        <f t="shared" si="411"/>
        <v>1</v>
      </c>
      <c r="AH1452">
        <f t="shared" si="412"/>
        <v>0</v>
      </c>
      <c r="AI1452">
        <f t="shared" si="413"/>
        <v>0</v>
      </c>
    </row>
    <row r="1453" spans="1:35" x14ac:dyDescent="0.2">
      <c r="A1453">
        <v>328</v>
      </c>
      <c r="B1453" t="s">
        <v>1398</v>
      </c>
      <c r="C1453">
        <v>8</v>
      </c>
      <c r="D1453" t="s">
        <v>3936</v>
      </c>
      <c r="E1453" t="s">
        <v>18</v>
      </c>
      <c r="F1453" t="s">
        <v>18</v>
      </c>
      <c r="G1453" t="s">
        <v>18</v>
      </c>
      <c r="H1453" t="s">
        <v>20</v>
      </c>
      <c r="I1453">
        <v>3</v>
      </c>
      <c r="J1453">
        <v>1</v>
      </c>
      <c r="K1453">
        <v>15</v>
      </c>
      <c r="L1453" t="s">
        <v>70</v>
      </c>
      <c r="M1453" t="s">
        <v>123</v>
      </c>
      <c r="N1453" t="s">
        <v>215</v>
      </c>
      <c r="O1453" t="s">
        <v>3937</v>
      </c>
      <c r="P1453" t="s">
        <v>3938</v>
      </c>
      <c r="Q1453">
        <f t="shared" si="396"/>
        <v>4</v>
      </c>
      <c r="R1453">
        <f t="shared" si="397"/>
        <v>4</v>
      </c>
      <c r="S1453">
        <f t="shared" si="398"/>
        <v>4</v>
      </c>
      <c r="T1453">
        <f t="shared" si="399"/>
        <v>2</v>
      </c>
      <c r="U1453">
        <v>15</v>
      </c>
      <c r="V1453">
        <f t="shared" si="400"/>
        <v>0</v>
      </c>
      <c r="W1453">
        <f t="shared" si="401"/>
        <v>0</v>
      </c>
      <c r="X1453">
        <f t="shared" si="402"/>
        <v>0</v>
      </c>
      <c r="Y1453">
        <f t="shared" si="403"/>
        <v>1</v>
      </c>
      <c r="Z1453">
        <f t="shared" si="404"/>
        <v>0</v>
      </c>
      <c r="AA1453">
        <f t="shared" si="405"/>
        <v>0</v>
      </c>
      <c r="AB1453">
        <f t="shared" si="406"/>
        <v>1</v>
      </c>
      <c r="AC1453">
        <f t="shared" si="407"/>
        <v>1</v>
      </c>
      <c r="AD1453">
        <f t="shared" si="408"/>
        <v>0</v>
      </c>
      <c r="AE1453">
        <f t="shared" si="409"/>
        <v>0</v>
      </c>
      <c r="AF1453">
        <f t="shared" si="410"/>
        <v>1</v>
      </c>
      <c r="AG1453">
        <f t="shared" si="411"/>
        <v>0</v>
      </c>
      <c r="AH1453">
        <f t="shared" si="412"/>
        <v>0</v>
      </c>
      <c r="AI1453">
        <f t="shared" si="413"/>
        <v>0</v>
      </c>
    </row>
    <row r="1454" spans="1:35" x14ac:dyDescent="0.2">
      <c r="A1454">
        <v>329</v>
      </c>
      <c r="B1454" t="s">
        <v>1398</v>
      </c>
      <c r="C1454">
        <v>5</v>
      </c>
      <c r="D1454" t="s">
        <v>3939</v>
      </c>
      <c r="E1454" t="s">
        <v>21</v>
      </c>
      <c r="F1454" t="s">
        <v>18</v>
      </c>
      <c r="G1454" t="s">
        <v>18</v>
      </c>
      <c r="H1454" t="s">
        <v>21</v>
      </c>
      <c r="I1454">
        <v>4</v>
      </c>
      <c r="J1454">
        <v>1</v>
      </c>
      <c r="K1454" s="1">
        <v>15000</v>
      </c>
      <c r="L1454" t="s">
        <v>75</v>
      </c>
      <c r="M1454" t="s">
        <v>42</v>
      </c>
      <c r="N1454" t="s">
        <v>215</v>
      </c>
      <c r="O1454" t="s">
        <v>3940</v>
      </c>
      <c r="P1454" t="s">
        <v>3941</v>
      </c>
      <c r="Q1454">
        <f t="shared" si="396"/>
        <v>1</v>
      </c>
      <c r="R1454">
        <f t="shared" si="397"/>
        <v>4</v>
      </c>
      <c r="S1454">
        <f t="shared" si="398"/>
        <v>4</v>
      </c>
      <c r="T1454">
        <f t="shared" si="399"/>
        <v>1</v>
      </c>
      <c r="U1454">
        <v>15000</v>
      </c>
      <c r="V1454">
        <f t="shared" si="400"/>
        <v>0</v>
      </c>
      <c r="W1454">
        <f t="shared" si="401"/>
        <v>0</v>
      </c>
      <c r="X1454">
        <f t="shared" si="402"/>
        <v>1</v>
      </c>
      <c r="Y1454">
        <f t="shared" si="403"/>
        <v>1</v>
      </c>
      <c r="Z1454">
        <f t="shared" si="404"/>
        <v>0</v>
      </c>
      <c r="AA1454">
        <f t="shared" si="405"/>
        <v>0</v>
      </c>
      <c r="AB1454">
        <f t="shared" si="406"/>
        <v>1</v>
      </c>
      <c r="AC1454">
        <f t="shared" si="407"/>
        <v>0</v>
      </c>
      <c r="AD1454">
        <f t="shared" si="408"/>
        <v>0</v>
      </c>
      <c r="AE1454">
        <f t="shared" si="409"/>
        <v>0</v>
      </c>
      <c r="AF1454">
        <f t="shared" si="410"/>
        <v>1</v>
      </c>
      <c r="AG1454">
        <f t="shared" si="411"/>
        <v>0</v>
      </c>
      <c r="AH1454">
        <f t="shared" si="412"/>
        <v>0</v>
      </c>
      <c r="AI1454">
        <f t="shared" si="413"/>
        <v>0</v>
      </c>
    </row>
    <row r="1455" spans="1:35" x14ac:dyDescent="0.2">
      <c r="A1455">
        <v>330</v>
      </c>
      <c r="B1455" t="s">
        <v>1398</v>
      </c>
      <c r="C1455">
        <v>7</v>
      </c>
      <c r="D1455" t="s">
        <v>3942</v>
      </c>
      <c r="E1455" t="s">
        <v>21</v>
      </c>
      <c r="F1455" t="s">
        <v>39</v>
      </c>
      <c r="G1455" t="s">
        <v>39</v>
      </c>
      <c r="H1455" t="s">
        <v>21</v>
      </c>
      <c r="I1455">
        <v>3</v>
      </c>
      <c r="J1455">
        <v>3</v>
      </c>
      <c r="K1455">
        <v>200</v>
      </c>
      <c r="L1455" t="s">
        <v>601</v>
      </c>
      <c r="M1455" t="s">
        <v>48</v>
      </c>
      <c r="N1455" t="s">
        <v>43</v>
      </c>
      <c r="O1455" t="s">
        <v>3943</v>
      </c>
      <c r="P1455" t="s">
        <v>3944</v>
      </c>
      <c r="Q1455">
        <f t="shared" si="396"/>
        <v>1</v>
      </c>
      <c r="R1455">
        <f t="shared" si="397"/>
        <v>5</v>
      </c>
      <c r="S1455">
        <f t="shared" si="398"/>
        <v>5</v>
      </c>
      <c r="T1455">
        <f t="shared" si="399"/>
        <v>1</v>
      </c>
      <c r="U1455">
        <v>200</v>
      </c>
      <c r="V1455">
        <f t="shared" si="400"/>
        <v>0</v>
      </c>
      <c r="W1455">
        <f t="shared" si="401"/>
        <v>1</v>
      </c>
      <c r="X1455">
        <f t="shared" si="402"/>
        <v>0</v>
      </c>
      <c r="Y1455">
        <f t="shared" si="403"/>
        <v>1</v>
      </c>
      <c r="Z1455">
        <f t="shared" si="404"/>
        <v>1</v>
      </c>
      <c r="AA1455">
        <f t="shared" si="405"/>
        <v>1</v>
      </c>
      <c r="AB1455">
        <f t="shared" si="406"/>
        <v>1</v>
      </c>
      <c r="AC1455">
        <f t="shared" si="407"/>
        <v>1</v>
      </c>
      <c r="AD1455">
        <f t="shared" si="408"/>
        <v>0</v>
      </c>
      <c r="AE1455">
        <f t="shared" si="409"/>
        <v>0</v>
      </c>
      <c r="AF1455">
        <f t="shared" si="410"/>
        <v>1</v>
      </c>
      <c r="AG1455">
        <f t="shared" si="411"/>
        <v>1</v>
      </c>
      <c r="AH1455">
        <f t="shared" si="412"/>
        <v>0</v>
      </c>
      <c r="AI1455">
        <f t="shared" si="413"/>
        <v>0</v>
      </c>
    </row>
    <row r="1456" spans="1:35" x14ac:dyDescent="0.2">
      <c r="A1456">
        <v>331</v>
      </c>
      <c r="B1456" t="s">
        <v>1398</v>
      </c>
      <c r="C1456">
        <v>4</v>
      </c>
      <c r="D1456" t="s">
        <v>3945</v>
      </c>
      <c r="E1456" t="s">
        <v>21</v>
      </c>
      <c r="F1456" t="s">
        <v>18</v>
      </c>
      <c r="G1456" t="s">
        <v>18</v>
      </c>
      <c r="H1456" t="s">
        <v>21</v>
      </c>
      <c r="I1456">
        <v>1</v>
      </c>
      <c r="J1456">
        <v>1</v>
      </c>
      <c r="K1456">
        <v>250</v>
      </c>
      <c r="L1456" t="s">
        <v>122</v>
      </c>
      <c r="M1456" t="s">
        <v>123</v>
      </c>
      <c r="N1456" t="s">
        <v>43</v>
      </c>
      <c r="O1456" t="s">
        <v>3946</v>
      </c>
      <c r="P1456" t="s">
        <v>3947</v>
      </c>
      <c r="Q1456">
        <f t="shared" si="396"/>
        <v>1</v>
      </c>
      <c r="R1456">
        <f t="shared" si="397"/>
        <v>4</v>
      </c>
      <c r="S1456">
        <f t="shared" si="398"/>
        <v>4</v>
      </c>
      <c r="T1456">
        <f t="shared" si="399"/>
        <v>1</v>
      </c>
      <c r="U1456">
        <v>250</v>
      </c>
      <c r="V1456">
        <f t="shared" si="400"/>
        <v>1</v>
      </c>
      <c r="W1456">
        <f t="shared" si="401"/>
        <v>0</v>
      </c>
      <c r="X1456">
        <f t="shared" si="402"/>
        <v>1</v>
      </c>
      <c r="Y1456">
        <f t="shared" si="403"/>
        <v>0</v>
      </c>
      <c r="Z1456">
        <f t="shared" si="404"/>
        <v>1</v>
      </c>
      <c r="AA1456">
        <f t="shared" si="405"/>
        <v>0</v>
      </c>
      <c r="AB1456">
        <f t="shared" si="406"/>
        <v>1</v>
      </c>
      <c r="AC1456">
        <f t="shared" si="407"/>
        <v>1</v>
      </c>
      <c r="AD1456">
        <f t="shared" si="408"/>
        <v>0</v>
      </c>
      <c r="AE1456">
        <f t="shared" si="409"/>
        <v>0</v>
      </c>
      <c r="AF1456">
        <f t="shared" si="410"/>
        <v>1</v>
      </c>
      <c r="AG1456">
        <f t="shared" si="411"/>
        <v>1</v>
      </c>
      <c r="AH1456">
        <f t="shared" si="412"/>
        <v>0</v>
      </c>
      <c r="AI1456">
        <f t="shared" si="413"/>
        <v>0</v>
      </c>
    </row>
    <row r="1457" spans="1:35" x14ac:dyDescent="0.2">
      <c r="A1457">
        <v>332</v>
      </c>
      <c r="B1457" t="s">
        <v>1398</v>
      </c>
      <c r="C1457">
        <v>1</v>
      </c>
      <c r="D1457" t="s">
        <v>3948</v>
      </c>
      <c r="E1457" t="s">
        <v>20</v>
      </c>
      <c r="F1457" t="s">
        <v>19</v>
      </c>
      <c r="G1457" t="s">
        <v>19</v>
      </c>
      <c r="H1457" t="s">
        <v>20</v>
      </c>
      <c r="I1457">
        <v>1</v>
      </c>
      <c r="J1457">
        <v>2</v>
      </c>
      <c r="K1457">
        <v>10</v>
      </c>
      <c r="L1457" t="s">
        <v>41</v>
      </c>
      <c r="M1457" t="s">
        <v>42</v>
      </c>
      <c r="N1457" t="s">
        <v>84</v>
      </c>
      <c r="O1457" t="s">
        <v>3949</v>
      </c>
      <c r="P1457" t="s">
        <v>3950</v>
      </c>
      <c r="Q1457">
        <f t="shared" si="396"/>
        <v>2</v>
      </c>
      <c r="R1457">
        <f t="shared" si="397"/>
        <v>3</v>
      </c>
      <c r="S1457">
        <f t="shared" si="398"/>
        <v>3</v>
      </c>
      <c r="T1457">
        <f t="shared" si="399"/>
        <v>2</v>
      </c>
      <c r="U1457">
        <v>10</v>
      </c>
      <c r="V1457">
        <f t="shared" si="400"/>
        <v>0</v>
      </c>
      <c r="W1457">
        <f t="shared" si="401"/>
        <v>0</v>
      </c>
      <c r="X1457">
        <f t="shared" si="402"/>
        <v>0</v>
      </c>
      <c r="Y1457">
        <f t="shared" si="403"/>
        <v>0</v>
      </c>
      <c r="Z1457">
        <f t="shared" si="404"/>
        <v>1</v>
      </c>
      <c r="AA1457">
        <f t="shared" si="405"/>
        <v>0</v>
      </c>
      <c r="AB1457">
        <f t="shared" si="406"/>
        <v>1</v>
      </c>
      <c r="AC1457">
        <f t="shared" si="407"/>
        <v>0</v>
      </c>
      <c r="AD1457">
        <f t="shared" si="408"/>
        <v>0</v>
      </c>
      <c r="AE1457">
        <f t="shared" si="409"/>
        <v>0</v>
      </c>
      <c r="AF1457">
        <f t="shared" si="410"/>
        <v>0</v>
      </c>
      <c r="AG1457">
        <f t="shared" si="411"/>
        <v>1</v>
      </c>
      <c r="AH1457">
        <f t="shared" si="412"/>
        <v>0</v>
      </c>
      <c r="AI1457">
        <f t="shared" si="413"/>
        <v>0</v>
      </c>
    </row>
    <row r="1458" spans="1:35" x14ac:dyDescent="0.2">
      <c r="A1458">
        <v>333</v>
      </c>
      <c r="B1458" t="s">
        <v>1398</v>
      </c>
      <c r="C1458">
        <v>4</v>
      </c>
      <c r="D1458" t="s">
        <v>3951</v>
      </c>
      <c r="E1458" t="s">
        <v>21</v>
      </c>
      <c r="F1458" t="s">
        <v>39</v>
      </c>
      <c r="G1458" t="s">
        <v>39</v>
      </c>
      <c r="H1458" t="s">
        <v>21</v>
      </c>
      <c r="I1458">
        <v>4</v>
      </c>
      <c r="J1458">
        <v>4</v>
      </c>
      <c r="K1458" s="1">
        <v>100</v>
      </c>
      <c r="L1458" t="s">
        <v>1477</v>
      </c>
      <c r="M1458" t="s">
        <v>468</v>
      </c>
      <c r="N1458" t="s">
        <v>43</v>
      </c>
      <c r="O1458" t="s">
        <v>3952</v>
      </c>
      <c r="P1458" t="s">
        <v>3953</v>
      </c>
      <c r="Q1458">
        <f t="shared" si="396"/>
        <v>1</v>
      </c>
      <c r="R1458">
        <f t="shared" si="397"/>
        <v>5</v>
      </c>
      <c r="S1458">
        <f t="shared" si="398"/>
        <v>5</v>
      </c>
      <c r="T1458">
        <f t="shared" si="399"/>
        <v>1</v>
      </c>
      <c r="U1458">
        <v>100</v>
      </c>
      <c r="V1458">
        <f t="shared" si="400"/>
        <v>1</v>
      </c>
      <c r="W1458">
        <f t="shared" si="401"/>
        <v>0</v>
      </c>
      <c r="X1458">
        <f t="shared" si="402"/>
        <v>1</v>
      </c>
      <c r="Y1458">
        <f t="shared" si="403"/>
        <v>1</v>
      </c>
      <c r="Z1458">
        <f t="shared" si="404"/>
        <v>1</v>
      </c>
      <c r="AA1458">
        <f t="shared" si="405"/>
        <v>1</v>
      </c>
      <c r="AB1458">
        <f t="shared" si="406"/>
        <v>1</v>
      </c>
      <c r="AC1458">
        <f t="shared" si="407"/>
        <v>1</v>
      </c>
      <c r="AD1458">
        <f t="shared" si="408"/>
        <v>1</v>
      </c>
      <c r="AE1458">
        <f t="shared" si="409"/>
        <v>1</v>
      </c>
      <c r="AF1458">
        <f t="shared" si="410"/>
        <v>1</v>
      </c>
      <c r="AG1458">
        <f t="shared" si="411"/>
        <v>1</v>
      </c>
      <c r="AH1458">
        <f t="shared" si="412"/>
        <v>0</v>
      </c>
      <c r="AI1458">
        <f t="shared" si="413"/>
        <v>0</v>
      </c>
    </row>
    <row r="1459" spans="1:35" x14ac:dyDescent="0.2">
      <c r="A1459">
        <v>334</v>
      </c>
      <c r="B1459" t="s">
        <v>1398</v>
      </c>
      <c r="C1459">
        <v>1</v>
      </c>
      <c r="D1459" t="s">
        <v>2278</v>
      </c>
      <c r="E1459" t="s">
        <v>21</v>
      </c>
      <c r="F1459" t="s">
        <v>21</v>
      </c>
      <c r="G1459" t="s">
        <v>18</v>
      </c>
      <c r="H1459" t="s">
        <v>21</v>
      </c>
      <c r="I1459">
        <v>1</v>
      </c>
      <c r="J1459">
        <v>1</v>
      </c>
      <c r="K1459" t="s">
        <v>3954</v>
      </c>
      <c r="L1459" t="s">
        <v>514</v>
      </c>
      <c r="M1459" t="s">
        <v>48</v>
      </c>
      <c r="N1459" t="s">
        <v>215</v>
      </c>
      <c r="O1459" t="s">
        <v>909</v>
      </c>
      <c r="P1459" t="s">
        <v>3955</v>
      </c>
      <c r="Q1459">
        <f t="shared" si="396"/>
        <v>1</v>
      </c>
      <c r="R1459">
        <f t="shared" si="397"/>
        <v>1</v>
      </c>
      <c r="S1459">
        <f t="shared" si="398"/>
        <v>4</v>
      </c>
      <c r="T1459">
        <f t="shared" si="399"/>
        <v>1</v>
      </c>
      <c r="U1459">
        <v>30</v>
      </c>
      <c r="V1459">
        <f t="shared" si="400"/>
        <v>1</v>
      </c>
      <c r="W1459">
        <f t="shared" si="401"/>
        <v>1</v>
      </c>
      <c r="X1459">
        <f t="shared" si="402"/>
        <v>0</v>
      </c>
      <c r="Y1459">
        <f t="shared" si="403"/>
        <v>0</v>
      </c>
      <c r="Z1459">
        <f t="shared" si="404"/>
        <v>1</v>
      </c>
      <c r="AA1459">
        <f t="shared" si="405"/>
        <v>1</v>
      </c>
      <c r="AB1459">
        <f t="shared" si="406"/>
        <v>1</v>
      </c>
      <c r="AC1459">
        <f t="shared" si="407"/>
        <v>1</v>
      </c>
      <c r="AD1459">
        <f t="shared" si="408"/>
        <v>0</v>
      </c>
      <c r="AE1459">
        <f t="shared" si="409"/>
        <v>0</v>
      </c>
      <c r="AF1459">
        <f t="shared" si="410"/>
        <v>1</v>
      </c>
      <c r="AG1459">
        <f t="shared" si="411"/>
        <v>0</v>
      </c>
      <c r="AH1459">
        <f t="shared" si="412"/>
        <v>0</v>
      </c>
      <c r="AI1459">
        <f t="shared" si="413"/>
        <v>0</v>
      </c>
    </row>
    <row r="1460" spans="1:35" x14ac:dyDescent="0.2">
      <c r="A1460">
        <v>335</v>
      </c>
      <c r="B1460" t="s">
        <v>1398</v>
      </c>
      <c r="C1460">
        <v>8</v>
      </c>
      <c r="D1460" t="s">
        <v>3956</v>
      </c>
      <c r="E1460" t="s">
        <v>21</v>
      </c>
      <c r="F1460" t="s">
        <v>18</v>
      </c>
      <c r="G1460" t="s">
        <v>18</v>
      </c>
      <c r="H1460" t="s">
        <v>21</v>
      </c>
      <c r="I1460">
        <v>3</v>
      </c>
      <c r="J1460">
        <v>2</v>
      </c>
      <c r="K1460">
        <v>0</v>
      </c>
      <c r="L1460" t="s">
        <v>22</v>
      </c>
      <c r="M1460" t="s">
        <v>42</v>
      </c>
      <c r="N1460" t="s">
        <v>84</v>
      </c>
      <c r="O1460" t="s">
        <v>3957</v>
      </c>
      <c r="P1460" t="s">
        <v>3958</v>
      </c>
      <c r="Q1460">
        <f t="shared" si="396"/>
        <v>1</v>
      </c>
      <c r="R1460">
        <f t="shared" si="397"/>
        <v>4</v>
      </c>
      <c r="S1460">
        <f t="shared" si="398"/>
        <v>4</v>
      </c>
      <c r="T1460">
        <f t="shared" si="399"/>
        <v>1</v>
      </c>
      <c r="U1460">
        <v>0</v>
      </c>
      <c r="V1460">
        <f t="shared" si="400"/>
        <v>1</v>
      </c>
      <c r="W1460">
        <f t="shared" si="401"/>
        <v>0</v>
      </c>
      <c r="X1460">
        <f t="shared" si="402"/>
        <v>0</v>
      </c>
      <c r="Y1460">
        <f t="shared" si="403"/>
        <v>0</v>
      </c>
      <c r="Z1460">
        <f t="shared" si="404"/>
        <v>0</v>
      </c>
      <c r="AA1460">
        <f t="shared" si="405"/>
        <v>0</v>
      </c>
      <c r="AB1460">
        <f t="shared" si="406"/>
        <v>1</v>
      </c>
      <c r="AC1460">
        <f t="shared" si="407"/>
        <v>0</v>
      </c>
      <c r="AD1460">
        <f t="shared" si="408"/>
        <v>0</v>
      </c>
      <c r="AE1460">
        <f t="shared" si="409"/>
        <v>0</v>
      </c>
      <c r="AF1460">
        <f t="shared" si="410"/>
        <v>0</v>
      </c>
      <c r="AG1460">
        <f t="shared" si="411"/>
        <v>1</v>
      </c>
      <c r="AH1460">
        <f t="shared" si="412"/>
        <v>0</v>
      </c>
      <c r="AI1460">
        <f t="shared" si="413"/>
        <v>0</v>
      </c>
    </row>
    <row r="1461" spans="1:35" x14ac:dyDescent="0.2">
      <c r="A1461">
        <v>336</v>
      </c>
      <c r="B1461" t="s">
        <v>1398</v>
      </c>
      <c r="C1461">
        <v>9</v>
      </c>
      <c r="D1461" t="s">
        <v>3959</v>
      </c>
      <c r="E1461" t="s">
        <v>39</v>
      </c>
      <c r="F1461" t="s">
        <v>39</v>
      </c>
      <c r="G1461" t="s">
        <v>39</v>
      </c>
      <c r="H1461" t="s">
        <v>21</v>
      </c>
      <c r="I1461">
        <v>3</v>
      </c>
      <c r="J1461">
        <v>3</v>
      </c>
      <c r="K1461">
        <v>300</v>
      </c>
      <c r="L1461" t="s">
        <v>79</v>
      </c>
      <c r="M1461" t="s">
        <v>280</v>
      </c>
      <c r="N1461" t="s">
        <v>215</v>
      </c>
      <c r="O1461" t="s">
        <v>3960</v>
      </c>
      <c r="P1461" t="s">
        <v>3961</v>
      </c>
      <c r="Q1461">
        <f t="shared" si="396"/>
        <v>5</v>
      </c>
      <c r="R1461">
        <f t="shared" si="397"/>
        <v>5</v>
      </c>
      <c r="S1461">
        <f t="shared" si="398"/>
        <v>5</v>
      </c>
      <c r="T1461">
        <f t="shared" si="399"/>
        <v>1</v>
      </c>
      <c r="U1461">
        <v>300</v>
      </c>
      <c r="V1461">
        <f t="shared" si="400"/>
        <v>0</v>
      </c>
      <c r="W1461">
        <f t="shared" si="401"/>
        <v>1</v>
      </c>
      <c r="X1461">
        <f t="shared" si="402"/>
        <v>0</v>
      </c>
      <c r="Y1461">
        <f t="shared" si="403"/>
        <v>0</v>
      </c>
      <c r="Z1461">
        <f t="shared" si="404"/>
        <v>1</v>
      </c>
      <c r="AA1461">
        <f t="shared" si="405"/>
        <v>0</v>
      </c>
      <c r="AB1461">
        <f t="shared" si="406"/>
        <v>1</v>
      </c>
      <c r="AC1461">
        <f t="shared" si="407"/>
        <v>1</v>
      </c>
      <c r="AD1461">
        <f t="shared" si="408"/>
        <v>1</v>
      </c>
      <c r="AE1461">
        <f t="shared" si="409"/>
        <v>0</v>
      </c>
      <c r="AF1461">
        <f t="shared" si="410"/>
        <v>1</v>
      </c>
      <c r="AG1461">
        <f t="shared" si="411"/>
        <v>0</v>
      </c>
      <c r="AH1461">
        <f t="shared" si="412"/>
        <v>0</v>
      </c>
      <c r="AI1461">
        <f t="shared" si="413"/>
        <v>0</v>
      </c>
    </row>
    <row r="1462" spans="1:35" x14ac:dyDescent="0.2">
      <c r="A1462">
        <v>337</v>
      </c>
      <c r="B1462" t="s">
        <v>1398</v>
      </c>
      <c r="C1462">
        <v>9</v>
      </c>
      <c r="D1462" t="s">
        <v>3962</v>
      </c>
      <c r="E1462" t="s">
        <v>21</v>
      </c>
      <c r="F1462" t="s">
        <v>39</v>
      </c>
      <c r="G1462" t="s">
        <v>39</v>
      </c>
      <c r="H1462" t="s">
        <v>21</v>
      </c>
      <c r="I1462">
        <v>2</v>
      </c>
      <c r="J1462">
        <v>1</v>
      </c>
      <c r="K1462" t="s">
        <v>3963</v>
      </c>
      <c r="L1462" t="s">
        <v>41</v>
      </c>
      <c r="M1462" t="s">
        <v>1354</v>
      </c>
      <c r="N1462" t="s">
        <v>84</v>
      </c>
      <c r="O1462" t="s">
        <v>3741</v>
      </c>
      <c r="P1462" t="s">
        <v>3964</v>
      </c>
      <c r="Q1462">
        <f t="shared" si="396"/>
        <v>1</v>
      </c>
      <c r="R1462">
        <f t="shared" si="397"/>
        <v>5</v>
      </c>
      <c r="S1462">
        <f t="shared" si="398"/>
        <v>5</v>
      </c>
      <c r="T1462">
        <f t="shared" si="399"/>
        <v>1</v>
      </c>
      <c r="U1462">
        <v>40</v>
      </c>
      <c r="V1462">
        <f t="shared" si="400"/>
        <v>0</v>
      </c>
      <c r="W1462">
        <f t="shared" si="401"/>
        <v>0</v>
      </c>
      <c r="X1462">
        <f t="shared" si="402"/>
        <v>0</v>
      </c>
      <c r="Y1462">
        <f t="shared" si="403"/>
        <v>0</v>
      </c>
      <c r="Z1462">
        <f t="shared" si="404"/>
        <v>1</v>
      </c>
      <c r="AA1462">
        <f t="shared" si="405"/>
        <v>0</v>
      </c>
      <c r="AB1462">
        <f t="shared" si="406"/>
        <v>1</v>
      </c>
      <c r="AC1462">
        <f t="shared" si="407"/>
        <v>1</v>
      </c>
      <c r="AD1462">
        <f t="shared" si="408"/>
        <v>0</v>
      </c>
      <c r="AE1462">
        <f t="shared" si="409"/>
        <v>1</v>
      </c>
      <c r="AF1462">
        <f t="shared" si="410"/>
        <v>0</v>
      </c>
      <c r="AG1462">
        <f t="shared" si="411"/>
        <v>1</v>
      </c>
      <c r="AH1462">
        <f t="shared" si="412"/>
        <v>0</v>
      </c>
      <c r="AI1462">
        <f t="shared" si="413"/>
        <v>0</v>
      </c>
    </row>
    <row r="1463" spans="1:35" x14ac:dyDescent="0.2">
      <c r="A1463">
        <v>338</v>
      </c>
      <c r="B1463" t="s">
        <v>1398</v>
      </c>
      <c r="C1463">
        <v>7</v>
      </c>
      <c r="D1463" t="s">
        <v>3965</v>
      </c>
      <c r="E1463" t="s">
        <v>21</v>
      </c>
      <c r="F1463" t="s">
        <v>18</v>
      </c>
      <c r="G1463" t="s">
        <v>19</v>
      </c>
      <c r="H1463" t="s">
        <v>20</v>
      </c>
      <c r="I1463">
        <v>3</v>
      </c>
      <c r="J1463">
        <v>3</v>
      </c>
      <c r="K1463" t="s">
        <v>3966</v>
      </c>
      <c r="L1463" t="s">
        <v>79</v>
      </c>
      <c r="M1463" t="s">
        <v>123</v>
      </c>
      <c r="N1463" t="s">
        <v>651</v>
      </c>
      <c r="O1463" t="s">
        <v>3967</v>
      </c>
      <c r="P1463" t="s">
        <v>3968</v>
      </c>
      <c r="Q1463">
        <f t="shared" si="396"/>
        <v>1</v>
      </c>
      <c r="R1463">
        <f t="shared" si="397"/>
        <v>4</v>
      </c>
      <c r="S1463">
        <f t="shared" si="398"/>
        <v>3</v>
      </c>
      <c r="T1463">
        <f t="shared" si="399"/>
        <v>2</v>
      </c>
      <c r="U1463">
        <v>50</v>
      </c>
      <c r="V1463">
        <f t="shared" si="400"/>
        <v>0</v>
      </c>
      <c r="W1463">
        <f t="shared" si="401"/>
        <v>1</v>
      </c>
      <c r="X1463">
        <f t="shared" si="402"/>
        <v>0</v>
      </c>
      <c r="Y1463">
        <f t="shared" si="403"/>
        <v>0</v>
      </c>
      <c r="Z1463">
        <f t="shared" si="404"/>
        <v>1</v>
      </c>
      <c r="AA1463">
        <f t="shared" si="405"/>
        <v>0</v>
      </c>
      <c r="AB1463">
        <f t="shared" si="406"/>
        <v>1</v>
      </c>
      <c r="AC1463">
        <f t="shared" si="407"/>
        <v>1</v>
      </c>
      <c r="AD1463">
        <f t="shared" si="408"/>
        <v>0</v>
      </c>
      <c r="AE1463">
        <f t="shared" si="409"/>
        <v>0</v>
      </c>
      <c r="AF1463">
        <f t="shared" si="410"/>
        <v>1</v>
      </c>
      <c r="AG1463">
        <f t="shared" si="411"/>
        <v>0</v>
      </c>
      <c r="AH1463">
        <f t="shared" si="412"/>
        <v>1</v>
      </c>
      <c r="AI1463">
        <f t="shared" si="413"/>
        <v>0</v>
      </c>
    </row>
    <row r="1464" spans="1:35" x14ac:dyDescent="0.2">
      <c r="A1464">
        <v>339</v>
      </c>
      <c r="B1464" t="s">
        <v>1398</v>
      </c>
      <c r="C1464">
        <v>7</v>
      </c>
      <c r="D1464" t="s">
        <v>3969</v>
      </c>
      <c r="E1464" t="s">
        <v>21</v>
      </c>
      <c r="F1464" t="s">
        <v>18</v>
      </c>
      <c r="G1464" t="s">
        <v>18</v>
      </c>
      <c r="H1464" t="s">
        <v>21</v>
      </c>
      <c r="I1464">
        <v>3</v>
      </c>
      <c r="J1464">
        <v>2</v>
      </c>
      <c r="K1464">
        <v>100000</v>
      </c>
      <c r="L1464" t="s">
        <v>1477</v>
      </c>
      <c r="M1464" t="s">
        <v>48</v>
      </c>
      <c r="N1464" t="s">
        <v>215</v>
      </c>
      <c r="O1464" t="s">
        <v>3970</v>
      </c>
      <c r="P1464" t="s">
        <v>3971</v>
      </c>
      <c r="Q1464">
        <f t="shared" si="396"/>
        <v>1</v>
      </c>
      <c r="R1464">
        <f t="shared" si="397"/>
        <v>4</v>
      </c>
      <c r="S1464">
        <f t="shared" si="398"/>
        <v>4</v>
      </c>
      <c r="T1464">
        <f t="shared" si="399"/>
        <v>1</v>
      </c>
      <c r="U1464">
        <v>100000</v>
      </c>
      <c r="V1464">
        <f t="shared" si="400"/>
        <v>1</v>
      </c>
      <c r="W1464">
        <f t="shared" si="401"/>
        <v>0</v>
      </c>
      <c r="X1464">
        <f t="shared" si="402"/>
        <v>1</v>
      </c>
      <c r="Y1464">
        <f t="shared" si="403"/>
        <v>1</v>
      </c>
      <c r="Z1464">
        <f t="shared" si="404"/>
        <v>1</v>
      </c>
      <c r="AA1464">
        <f t="shared" si="405"/>
        <v>1</v>
      </c>
      <c r="AB1464">
        <f t="shared" si="406"/>
        <v>1</v>
      </c>
      <c r="AC1464">
        <f t="shared" si="407"/>
        <v>1</v>
      </c>
      <c r="AD1464">
        <f t="shared" si="408"/>
        <v>0</v>
      </c>
      <c r="AE1464">
        <f t="shared" si="409"/>
        <v>0</v>
      </c>
      <c r="AF1464">
        <f t="shared" si="410"/>
        <v>1</v>
      </c>
      <c r="AG1464">
        <f t="shared" si="411"/>
        <v>0</v>
      </c>
      <c r="AH1464">
        <f t="shared" si="412"/>
        <v>0</v>
      </c>
      <c r="AI1464">
        <f t="shared" si="413"/>
        <v>0</v>
      </c>
    </row>
    <row r="1465" spans="1:35" x14ac:dyDescent="0.2">
      <c r="A1465">
        <v>340</v>
      </c>
      <c r="B1465" t="s">
        <v>1398</v>
      </c>
      <c r="C1465">
        <v>8</v>
      </c>
      <c r="D1465" t="s">
        <v>3972</v>
      </c>
      <c r="E1465" t="s">
        <v>21</v>
      </c>
      <c r="F1465" t="s">
        <v>39</v>
      </c>
      <c r="G1465" t="s">
        <v>18</v>
      </c>
      <c r="H1465" t="s">
        <v>20</v>
      </c>
      <c r="I1465">
        <v>3</v>
      </c>
      <c r="J1465">
        <v>2</v>
      </c>
      <c r="K1465" t="s">
        <v>3973</v>
      </c>
      <c r="L1465" t="s">
        <v>562</v>
      </c>
      <c r="M1465" t="s">
        <v>48</v>
      </c>
      <c r="N1465" t="s">
        <v>215</v>
      </c>
      <c r="O1465" t="s">
        <v>3974</v>
      </c>
      <c r="P1465" t="s">
        <v>3975</v>
      </c>
      <c r="Q1465">
        <f t="shared" si="396"/>
        <v>1</v>
      </c>
      <c r="R1465">
        <f t="shared" si="397"/>
        <v>5</v>
      </c>
      <c r="S1465">
        <f t="shared" si="398"/>
        <v>4</v>
      </c>
      <c r="T1465">
        <f t="shared" si="399"/>
        <v>2</v>
      </c>
      <c r="U1465">
        <v>200</v>
      </c>
      <c r="V1465">
        <f t="shared" si="400"/>
        <v>0</v>
      </c>
      <c r="W1465">
        <f t="shared" si="401"/>
        <v>1</v>
      </c>
      <c r="X1465">
        <f t="shared" si="402"/>
        <v>1</v>
      </c>
      <c r="Y1465">
        <f t="shared" si="403"/>
        <v>0</v>
      </c>
      <c r="Z1465">
        <f t="shared" si="404"/>
        <v>1</v>
      </c>
      <c r="AA1465">
        <f t="shared" si="405"/>
        <v>1</v>
      </c>
      <c r="AB1465">
        <f t="shared" si="406"/>
        <v>1</v>
      </c>
      <c r="AC1465">
        <f t="shared" si="407"/>
        <v>1</v>
      </c>
      <c r="AD1465">
        <f t="shared" si="408"/>
        <v>0</v>
      </c>
      <c r="AE1465">
        <f t="shared" si="409"/>
        <v>0</v>
      </c>
      <c r="AF1465">
        <f t="shared" si="410"/>
        <v>1</v>
      </c>
      <c r="AG1465">
        <f t="shared" si="411"/>
        <v>0</v>
      </c>
      <c r="AH1465">
        <f t="shared" si="412"/>
        <v>0</v>
      </c>
      <c r="AI1465">
        <f t="shared" si="413"/>
        <v>0</v>
      </c>
    </row>
    <row r="1466" spans="1:35" x14ac:dyDescent="0.2">
      <c r="A1466">
        <v>341</v>
      </c>
      <c r="B1466" t="s">
        <v>1398</v>
      </c>
      <c r="C1466">
        <v>7</v>
      </c>
      <c r="D1466" t="s">
        <v>3976</v>
      </c>
      <c r="E1466" t="s">
        <v>21</v>
      </c>
      <c r="F1466" t="s">
        <v>39</v>
      </c>
      <c r="G1466" t="s">
        <v>39</v>
      </c>
      <c r="H1466" t="s">
        <v>21</v>
      </c>
      <c r="I1466">
        <v>1</v>
      </c>
      <c r="J1466">
        <v>3</v>
      </c>
      <c r="K1466">
        <v>30000</v>
      </c>
      <c r="L1466" t="s">
        <v>494</v>
      </c>
      <c r="M1466" t="s">
        <v>48</v>
      </c>
      <c r="N1466" t="s">
        <v>215</v>
      </c>
      <c r="O1466" t="s">
        <v>3977</v>
      </c>
      <c r="P1466" t="s">
        <v>3978</v>
      </c>
      <c r="Q1466">
        <f t="shared" si="396"/>
        <v>1</v>
      </c>
      <c r="R1466">
        <f t="shared" si="397"/>
        <v>5</v>
      </c>
      <c r="S1466">
        <f t="shared" si="398"/>
        <v>5</v>
      </c>
      <c r="T1466">
        <f t="shared" si="399"/>
        <v>1</v>
      </c>
      <c r="U1466">
        <v>30000</v>
      </c>
      <c r="V1466">
        <f t="shared" si="400"/>
        <v>0</v>
      </c>
      <c r="W1466">
        <f t="shared" si="401"/>
        <v>1</v>
      </c>
      <c r="X1466">
        <f t="shared" si="402"/>
        <v>1</v>
      </c>
      <c r="Y1466">
        <f t="shared" si="403"/>
        <v>1</v>
      </c>
      <c r="Z1466">
        <f t="shared" si="404"/>
        <v>1</v>
      </c>
      <c r="AA1466">
        <f t="shared" si="405"/>
        <v>1</v>
      </c>
      <c r="AB1466">
        <f t="shared" si="406"/>
        <v>1</v>
      </c>
      <c r="AC1466">
        <f t="shared" si="407"/>
        <v>1</v>
      </c>
      <c r="AD1466">
        <f t="shared" si="408"/>
        <v>0</v>
      </c>
      <c r="AE1466">
        <f t="shared" si="409"/>
        <v>0</v>
      </c>
      <c r="AF1466">
        <f t="shared" si="410"/>
        <v>1</v>
      </c>
      <c r="AG1466">
        <f t="shared" si="411"/>
        <v>0</v>
      </c>
      <c r="AH1466">
        <f t="shared" si="412"/>
        <v>0</v>
      </c>
      <c r="AI1466">
        <f t="shared" si="413"/>
        <v>0</v>
      </c>
    </row>
    <row r="1467" spans="1:35" x14ac:dyDescent="0.2">
      <c r="A1467">
        <v>342</v>
      </c>
      <c r="B1467" t="s">
        <v>1398</v>
      </c>
      <c r="C1467">
        <v>6</v>
      </c>
      <c r="D1467" t="s">
        <v>3979</v>
      </c>
      <c r="E1467" t="s">
        <v>20</v>
      </c>
      <c r="F1467" t="s">
        <v>39</v>
      </c>
      <c r="G1467" t="s">
        <v>39</v>
      </c>
      <c r="H1467" t="s">
        <v>21</v>
      </c>
      <c r="I1467">
        <v>4</v>
      </c>
      <c r="J1467">
        <v>4</v>
      </c>
      <c r="K1467">
        <v>150</v>
      </c>
      <c r="L1467" t="s">
        <v>70</v>
      </c>
      <c r="M1467" t="s">
        <v>23</v>
      </c>
      <c r="N1467" t="s">
        <v>215</v>
      </c>
      <c r="O1467" t="s">
        <v>3980</v>
      </c>
      <c r="P1467" t="s">
        <v>3981</v>
      </c>
      <c r="Q1467">
        <f t="shared" si="396"/>
        <v>2</v>
      </c>
      <c r="R1467">
        <f t="shared" si="397"/>
        <v>5</v>
      </c>
      <c r="S1467">
        <f t="shared" si="398"/>
        <v>5</v>
      </c>
      <c r="T1467">
        <f t="shared" si="399"/>
        <v>1</v>
      </c>
      <c r="U1467">
        <v>150</v>
      </c>
      <c r="V1467">
        <f t="shared" si="400"/>
        <v>0</v>
      </c>
      <c r="W1467">
        <f t="shared" si="401"/>
        <v>0</v>
      </c>
      <c r="X1467">
        <f t="shared" si="402"/>
        <v>0</v>
      </c>
      <c r="Y1467">
        <f t="shared" si="403"/>
        <v>1</v>
      </c>
      <c r="Z1467">
        <f t="shared" si="404"/>
        <v>0</v>
      </c>
      <c r="AA1467">
        <f t="shared" si="405"/>
        <v>1</v>
      </c>
      <c r="AB1467">
        <f t="shared" si="406"/>
        <v>0</v>
      </c>
      <c r="AC1467">
        <f t="shared" si="407"/>
        <v>0</v>
      </c>
      <c r="AD1467">
        <f t="shared" si="408"/>
        <v>0</v>
      </c>
      <c r="AE1467">
        <f t="shared" si="409"/>
        <v>0</v>
      </c>
      <c r="AF1467">
        <f t="shared" si="410"/>
        <v>1</v>
      </c>
      <c r="AG1467">
        <f t="shared" si="411"/>
        <v>0</v>
      </c>
      <c r="AH1467">
        <f t="shared" si="412"/>
        <v>0</v>
      </c>
      <c r="AI1467">
        <f t="shared" si="413"/>
        <v>0</v>
      </c>
    </row>
    <row r="1468" spans="1:35" x14ac:dyDescent="0.2">
      <c r="A1468">
        <v>343</v>
      </c>
      <c r="B1468" t="s">
        <v>1398</v>
      </c>
      <c r="C1468">
        <v>2</v>
      </c>
      <c r="D1468" t="s">
        <v>1418</v>
      </c>
      <c r="E1468" t="s">
        <v>20</v>
      </c>
      <c r="F1468" t="s">
        <v>18</v>
      </c>
      <c r="G1468" t="s">
        <v>18</v>
      </c>
      <c r="H1468" t="s">
        <v>21</v>
      </c>
      <c r="I1468">
        <v>2</v>
      </c>
      <c r="J1468">
        <v>1</v>
      </c>
      <c r="K1468">
        <v>30</v>
      </c>
      <c r="L1468" t="s">
        <v>98</v>
      </c>
      <c r="M1468" t="s">
        <v>115</v>
      </c>
      <c r="N1468" t="s">
        <v>215</v>
      </c>
      <c r="O1468" t="s">
        <v>3982</v>
      </c>
      <c r="P1468" t="s">
        <v>3983</v>
      </c>
      <c r="Q1468">
        <f t="shared" si="396"/>
        <v>2</v>
      </c>
      <c r="R1468">
        <f t="shared" si="397"/>
        <v>4</v>
      </c>
      <c r="S1468">
        <f t="shared" si="398"/>
        <v>4</v>
      </c>
      <c r="T1468">
        <f t="shared" si="399"/>
        <v>1</v>
      </c>
      <c r="U1468">
        <v>30</v>
      </c>
      <c r="V1468">
        <f t="shared" si="400"/>
        <v>0</v>
      </c>
      <c r="W1468">
        <f t="shared" si="401"/>
        <v>1</v>
      </c>
      <c r="X1468">
        <f t="shared" si="402"/>
        <v>0</v>
      </c>
      <c r="Y1468">
        <f t="shared" si="403"/>
        <v>0</v>
      </c>
      <c r="Z1468">
        <f t="shared" si="404"/>
        <v>0</v>
      </c>
      <c r="AA1468">
        <f t="shared" si="405"/>
        <v>0</v>
      </c>
      <c r="AB1468">
        <f t="shared" si="406"/>
        <v>0</v>
      </c>
      <c r="AC1468">
        <f t="shared" si="407"/>
        <v>1</v>
      </c>
      <c r="AD1468">
        <f t="shared" si="408"/>
        <v>0</v>
      </c>
      <c r="AE1468">
        <f t="shared" si="409"/>
        <v>0</v>
      </c>
      <c r="AF1468">
        <f t="shared" si="410"/>
        <v>1</v>
      </c>
      <c r="AG1468">
        <f t="shared" si="411"/>
        <v>0</v>
      </c>
      <c r="AH1468">
        <f t="shared" si="412"/>
        <v>0</v>
      </c>
      <c r="AI1468">
        <f t="shared" si="413"/>
        <v>0</v>
      </c>
    </row>
    <row r="1469" spans="1:35" x14ac:dyDescent="0.2">
      <c r="A1469">
        <v>344</v>
      </c>
      <c r="B1469" t="s">
        <v>1398</v>
      </c>
      <c r="C1469">
        <v>3</v>
      </c>
      <c r="D1469" t="s">
        <v>3984</v>
      </c>
      <c r="E1469" t="s">
        <v>18</v>
      </c>
      <c r="F1469" t="s">
        <v>18</v>
      </c>
      <c r="G1469" t="s">
        <v>18</v>
      </c>
      <c r="H1469" t="s">
        <v>20</v>
      </c>
      <c r="I1469">
        <v>1</v>
      </c>
      <c r="J1469">
        <v>1</v>
      </c>
      <c r="K1469">
        <v>30</v>
      </c>
      <c r="L1469" t="s">
        <v>53</v>
      </c>
      <c r="M1469" t="s">
        <v>23</v>
      </c>
      <c r="N1469" t="s">
        <v>84</v>
      </c>
      <c r="O1469" t="s">
        <v>3985</v>
      </c>
      <c r="P1469" t="s">
        <v>3986</v>
      </c>
      <c r="Q1469">
        <f t="shared" si="396"/>
        <v>4</v>
      </c>
      <c r="R1469">
        <f t="shared" si="397"/>
        <v>4</v>
      </c>
      <c r="S1469">
        <f t="shared" si="398"/>
        <v>4</v>
      </c>
      <c r="T1469">
        <f t="shared" si="399"/>
        <v>2</v>
      </c>
      <c r="U1469">
        <v>30</v>
      </c>
      <c r="V1469">
        <f t="shared" si="400"/>
        <v>0</v>
      </c>
      <c r="W1469">
        <f t="shared" si="401"/>
        <v>0</v>
      </c>
      <c r="X1469">
        <f t="shared" si="402"/>
        <v>1</v>
      </c>
      <c r="Y1469">
        <f t="shared" si="403"/>
        <v>0</v>
      </c>
      <c r="Z1469">
        <f t="shared" si="404"/>
        <v>0</v>
      </c>
      <c r="AA1469">
        <f t="shared" si="405"/>
        <v>1</v>
      </c>
      <c r="AB1469">
        <f t="shared" si="406"/>
        <v>0</v>
      </c>
      <c r="AC1469">
        <f t="shared" si="407"/>
        <v>0</v>
      </c>
      <c r="AD1469">
        <f t="shared" si="408"/>
        <v>0</v>
      </c>
      <c r="AE1469">
        <f t="shared" si="409"/>
        <v>0</v>
      </c>
      <c r="AF1469">
        <f t="shared" si="410"/>
        <v>0</v>
      </c>
      <c r="AG1469">
        <f t="shared" si="411"/>
        <v>1</v>
      </c>
      <c r="AH1469">
        <f t="shared" si="412"/>
        <v>0</v>
      </c>
      <c r="AI1469">
        <f t="shared" si="413"/>
        <v>0</v>
      </c>
    </row>
    <row r="1470" spans="1:35" x14ac:dyDescent="0.2">
      <c r="A1470">
        <v>345</v>
      </c>
      <c r="B1470" t="s">
        <v>1398</v>
      </c>
      <c r="C1470">
        <v>8</v>
      </c>
      <c r="D1470" t="s">
        <v>3987</v>
      </c>
      <c r="E1470" t="s">
        <v>20</v>
      </c>
      <c r="F1470" t="s">
        <v>18</v>
      </c>
      <c r="G1470" t="s">
        <v>39</v>
      </c>
      <c r="H1470" t="s">
        <v>21</v>
      </c>
      <c r="I1470">
        <v>1</v>
      </c>
      <c r="J1470">
        <v>3</v>
      </c>
      <c r="K1470" s="1">
        <v>20</v>
      </c>
      <c r="L1470" t="s">
        <v>41</v>
      </c>
      <c r="M1470" t="s">
        <v>115</v>
      </c>
      <c r="N1470" t="s">
        <v>43</v>
      </c>
      <c r="O1470" t="s">
        <v>836</v>
      </c>
      <c r="P1470" t="s">
        <v>3988</v>
      </c>
      <c r="Q1470">
        <f t="shared" si="396"/>
        <v>2</v>
      </c>
      <c r="R1470">
        <f t="shared" si="397"/>
        <v>4</v>
      </c>
      <c r="S1470">
        <f t="shared" si="398"/>
        <v>5</v>
      </c>
      <c r="T1470">
        <f t="shared" si="399"/>
        <v>1</v>
      </c>
      <c r="U1470">
        <v>20</v>
      </c>
      <c r="V1470">
        <f t="shared" si="400"/>
        <v>0</v>
      </c>
      <c r="W1470">
        <f t="shared" si="401"/>
        <v>0</v>
      </c>
      <c r="X1470">
        <f t="shared" si="402"/>
        <v>0</v>
      </c>
      <c r="Y1470">
        <f t="shared" si="403"/>
        <v>0</v>
      </c>
      <c r="Z1470">
        <f t="shared" si="404"/>
        <v>1</v>
      </c>
      <c r="AA1470">
        <f t="shared" si="405"/>
        <v>0</v>
      </c>
      <c r="AB1470">
        <f t="shared" si="406"/>
        <v>0</v>
      </c>
      <c r="AC1470">
        <f t="shared" si="407"/>
        <v>1</v>
      </c>
      <c r="AD1470">
        <f t="shared" si="408"/>
        <v>0</v>
      </c>
      <c r="AE1470">
        <f t="shared" si="409"/>
        <v>0</v>
      </c>
      <c r="AF1470">
        <f t="shared" si="410"/>
        <v>1</v>
      </c>
      <c r="AG1470">
        <f t="shared" si="411"/>
        <v>1</v>
      </c>
      <c r="AH1470">
        <f t="shared" si="412"/>
        <v>0</v>
      </c>
      <c r="AI1470">
        <f t="shared" si="413"/>
        <v>0</v>
      </c>
    </row>
    <row r="1471" spans="1:35" x14ac:dyDescent="0.2">
      <c r="A1471">
        <v>346</v>
      </c>
      <c r="B1471" t="s">
        <v>1398</v>
      </c>
      <c r="C1471">
        <v>10</v>
      </c>
      <c r="D1471" t="s">
        <v>3989</v>
      </c>
      <c r="E1471" t="s">
        <v>21</v>
      </c>
      <c r="F1471" t="s">
        <v>39</v>
      </c>
      <c r="G1471" t="s">
        <v>39</v>
      </c>
      <c r="H1471" t="s">
        <v>21</v>
      </c>
      <c r="I1471">
        <v>4</v>
      </c>
      <c r="J1471">
        <v>4</v>
      </c>
      <c r="K1471">
        <v>400</v>
      </c>
      <c r="L1471" t="s">
        <v>230</v>
      </c>
      <c r="M1471" t="s">
        <v>48</v>
      </c>
      <c r="N1471" t="s">
        <v>43</v>
      </c>
      <c r="O1471" t="s">
        <v>3990</v>
      </c>
      <c r="P1471" t="s">
        <v>3991</v>
      </c>
      <c r="Q1471">
        <f t="shared" si="396"/>
        <v>1</v>
      </c>
      <c r="R1471">
        <f t="shared" si="397"/>
        <v>5</v>
      </c>
      <c r="S1471">
        <f t="shared" si="398"/>
        <v>5</v>
      </c>
      <c r="T1471">
        <f t="shared" si="399"/>
        <v>1</v>
      </c>
      <c r="U1471">
        <v>400</v>
      </c>
      <c r="V1471">
        <f t="shared" si="400"/>
        <v>1</v>
      </c>
      <c r="W1471">
        <f t="shared" si="401"/>
        <v>1</v>
      </c>
      <c r="X1471">
        <f t="shared" si="402"/>
        <v>1</v>
      </c>
      <c r="Y1471">
        <f t="shared" si="403"/>
        <v>1</v>
      </c>
      <c r="Z1471">
        <f t="shared" si="404"/>
        <v>1</v>
      </c>
      <c r="AA1471">
        <f t="shared" si="405"/>
        <v>1</v>
      </c>
      <c r="AB1471">
        <f t="shared" si="406"/>
        <v>1</v>
      </c>
      <c r="AC1471">
        <f t="shared" si="407"/>
        <v>1</v>
      </c>
      <c r="AD1471">
        <f t="shared" si="408"/>
        <v>0</v>
      </c>
      <c r="AE1471">
        <f t="shared" si="409"/>
        <v>0</v>
      </c>
      <c r="AF1471">
        <f t="shared" si="410"/>
        <v>1</v>
      </c>
      <c r="AG1471">
        <f t="shared" si="411"/>
        <v>1</v>
      </c>
      <c r="AH1471">
        <f t="shared" si="412"/>
        <v>0</v>
      </c>
      <c r="AI1471">
        <f t="shared" si="413"/>
        <v>0</v>
      </c>
    </row>
    <row r="1472" spans="1:35" x14ac:dyDescent="0.2">
      <c r="A1472">
        <v>347</v>
      </c>
      <c r="B1472" t="s">
        <v>1398</v>
      </c>
      <c r="C1472">
        <v>3</v>
      </c>
      <c r="D1472" t="s">
        <v>3992</v>
      </c>
      <c r="E1472" t="s">
        <v>20</v>
      </c>
      <c r="F1472" t="s">
        <v>18</v>
      </c>
      <c r="G1472" t="s">
        <v>39</v>
      </c>
      <c r="H1472" t="s">
        <v>21</v>
      </c>
      <c r="I1472">
        <v>2</v>
      </c>
      <c r="J1472">
        <v>2</v>
      </c>
      <c r="K1472">
        <v>300</v>
      </c>
      <c r="L1472" t="s">
        <v>98</v>
      </c>
      <c r="M1472" t="s">
        <v>115</v>
      </c>
      <c r="N1472" t="s">
        <v>43</v>
      </c>
      <c r="O1472" t="s">
        <v>3993</v>
      </c>
      <c r="P1472" t="s">
        <v>3994</v>
      </c>
      <c r="Q1472">
        <f t="shared" si="396"/>
        <v>2</v>
      </c>
      <c r="R1472">
        <f t="shared" si="397"/>
        <v>4</v>
      </c>
      <c r="S1472">
        <f t="shared" si="398"/>
        <v>5</v>
      </c>
      <c r="T1472">
        <f t="shared" si="399"/>
        <v>1</v>
      </c>
      <c r="U1472">
        <v>300</v>
      </c>
      <c r="V1472">
        <f t="shared" si="400"/>
        <v>0</v>
      </c>
      <c r="W1472">
        <f t="shared" si="401"/>
        <v>1</v>
      </c>
      <c r="X1472">
        <f t="shared" si="402"/>
        <v>0</v>
      </c>
      <c r="Y1472">
        <f t="shared" si="403"/>
        <v>0</v>
      </c>
      <c r="Z1472">
        <f t="shared" si="404"/>
        <v>0</v>
      </c>
      <c r="AA1472">
        <f t="shared" si="405"/>
        <v>0</v>
      </c>
      <c r="AB1472">
        <f t="shared" si="406"/>
        <v>0</v>
      </c>
      <c r="AC1472">
        <f t="shared" si="407"/>
        <v>1</v>
      </c>
      <c r="AD1472">
        <f t="shared" si="408"/>
        <v>0</v>
      </c>
      <c r="AE1472">
        <f t="shared" si="409"/>
        <v>0</v>
      </c>
      <c r="AF1472">
        <f t="shared" si="410"/>
        <v>1</v>
      </c>
      <c r="AG1472">
        <f t="shared" si="411"/>
        <v>1</v>
      </c>
      <c r="AH1472">
        <f t="shared" si="412"/>
        <v>0</v>
      </c>
      <c r="AI1472">
        <f t="shared" si="413"/>
        <v>0</v>
      </c>
    </row>
    <row r="1473" spans="1:35" x14ac:dyDescent="0.2">
      <c r="A1473">
        <v>348</v>
      </c>
      <c r="B1473" t="s">
        <v>1398</v>
      </c>
      <c r="C1473">
        <v>8</v>
      </c>
      <c r="D1473" t="s">
        <v>3995</v>
      </c>
      <c r="E1473" t="s">
        <v>20</v>
      </c>
      <c r="F1473" t="s">
        <v>39</v>
      </c>
      <c r="G1473" t="s">
        <v>18</v>
      </c>
      <c r="H1473" t="s">
        <v>20</v>
      </c>
      <c r="I1473">
        <v>2</v>
      </c>
      <c r="J1473">
        <v>3</v>
      </c>
      <c r="K1473" s="1">
        <v>15</v>
      </c>
      <c r="L1473" t="s">
        <v>230</v>
      </c>
      <c r="M1473" t="s">
        <v>468</v>
      </c>
      <c r="N1473" t="s">
        <v>43</v>
      </c>
      <c r="O1473" t="s">
        <v>112</v>
      </c>
      <c r="P1473" t="s">
        <v>3996</v>
      </c>
      <c r="Q1473">
        <f t="shared" si="396"/>
        <v>2</v>
      </c>
      <c r="R1473">
        <f t="shared" si="397"/>
        <v>5</v>
      </c>
      <c r="S1473">
        <f t="shared" si="398"/>
        <v>4</v>
      </c>
      <c r="T1473">
        <f t="shared" si="399"/>
        <v>2</v>
      </c>
      <c r="U1473">
        <v>15</v>
      </c>
      <c r="V1473">
        <f t="shared" si="400"/>
        <v>1</v>
      </c>
      <c r="W1473">
        <f t="shared" si="401"/>
        <v>1</v>
      </c>
      <c r="X1473">
        <f t="shared" si="402"/>
        <v>1</v>
      </c>
      <c r="Y1473">
        <f t="shared" si="403"/>
        <v>1</v>
      </c>
      <c r="Z1473">
        <f t="shared" si="404"/>
        <v>1</v>
      </c>
      <c r="AA1473">
        <f t="shared" si="405"/>
        <v>1</v>
      </c>
      <c r="AB1473">
        <f t="shared" si="406"/>
        <v>1</v>
      </c>
      <c r="AC1473">
        <f t="shared" si="407"/>
        <v>1</v>
      </c>
      <c r="AD1473">
        <f t="shared" si="408"/>
        <v>1</v>
      </c>
      <c r="AE1473">
        <f t="shared" si="409"/>
        <v>1</v>
      </c>
      <c r="AF1473">
        <f t="shared" si="410"/>
        <v>1</v>
      </c>
      <c r="AG1473">
        <f t="shared" si="411"/>
        <v>1</v>
      </c>
      <c r="AH1473">
        <f t="shared" si="412"/>
        <v>0</v>
      </c>
      <c r="AI1473">
        <f t="shared" si="413"/>
        <v>0</v>
      </c>
    </row>
    <row r="1474" spans="1:35" x14ac:dyDescent="0.2">
      <c r="A1474">
        <v>349</v>
      </c>
      <c r="B1474" t="s">
        <v>1398</v>
      </c>
      <c r="C1474">
        <v>7</v>
      </c>
      <c r="D1474" t="s">
        <v>3997</v>
      </c>
      <c r="E1474" t="s">
        <v>21</v>
      </c>
      <c r="F1474" t="s">
        <v>18</v>
      </c>
      <c r="G1474" t="s">
        <v>18</v>
      </c>
      <c r="H1474" t="s">
        <v>20</v>
      </c>
      <c r="I1474">
        <v>2</v>
      </c>
      <c r="J1474">
        <v>2</v>
      </c>
      <c r="K1474">
        <v>3000000</v>
      </c>
      <c r="L1474" t="s">
        <v>41</v>
      </c>
      <c r="M1474" t="s">
        <v>704</v>
      </c>
      <c r="N1474" t="s">
        <v>43</v>
      </c>
      <c r="O1474" t="s">
        <v>3998</v>
      </c>
      <c r="P1474" t="s">
        <v>3999</v>
      </c>
      <c r="Q1474">
        <f t="shared" si="396"/>
        <v>1</v>
      </c>
      <c r="R1474">
        <f t="shared" si="397"/>
        <v>4</v>
      </c>
      <c r="S1474">
        <f t="shared" si="398"/>
        <v>4</v>
      </c>
      <c r="T1474">
        <f t="shared" si="399"/>
        <v>2</v>
      </c>
      <c r="U1474">
        <v>3000000</v>
      </c>
      <c r="V1474">
        <f t="shared" si="400"/>
        <v>0</v>
      </c>
      <c r="W1474">
        <f t="shared" si="401"/>
        <v>0</v>
      </c>
      <c r="X1474">
        <f t="shared" si="402"/>
        <v>0</v>
      </c>
      <c r="Y1474">
        <f t="shared" si="403"/>
        <v>0</v>
      </c>
      <c r="Z1474">
        <f t="shared" si="404"/>
        <v>1</v>
      </c>
      <c r="AA1474">
        <f t="shared" si="405"/>
        <v>0</v>
      </c>
      <c r="AB1474">
        <f t="shared" si="406"/>
        <v>0</v>
      </c>
      <c r="AC1474">
        <f t="shared" si="407"/>
        <v>1</v>
      </c>
      <c r="AD1474">
        <f t="shared" si="408"/>
        <v>1</v>
      </c>
      <c r="AE1474">
        <f t="shared" si="409"/>
        <v>0</v>
      </c>
      <c r="AF1474">
        <f t="shared" si="410"/>
        <v>1</v>
      </c>
      <c r="AG1474">
        <f t="shared" si="411"/>
        <v>1</v>
      </c>
      <c r="AH1474">
        <f t="shared" si="412"/>
        <v>0</v>
      </c>
      <c r="AI1474">
        <f t="shared" si="413"/>
        <v>0</v>
      </c>
    </row>
    <row r="1475" spans="1:35" x14ac:dyDescent="0.2">
      <c r="A1475">
        <v>350</v>
      </c>
      <c r="B1475" t="s">
        <v>1398</v>
      </c>
      <c r="C1475">
        <v>5</v>
      </c>
      <c r="D1475" t="s">
        <v>2001</v>
      </c>
      <c r="E1475" t="s">
        <v>18</v>
      </c>
      <c r="F1475" t="s">
        <v>18</v>
      </c>
      <c r="G1475" t="s">
        <v>39</v>
      </c>
      <c r="H1475" t="s">
        <v>21</v>
      </c>
      <c r="I1475">
        <v>1</v>
      </c>
      <c r="J1475">
        <v>1</v>
      </c>
      <c r="K1475">
        <v>5</v>
      </c>
      <c r="L1475" t="s">
        <v>98</v>
      </c>
      <c r="M1475" t="s">
        <v>123</v>
      </c>
      <c r="N1475" t="s">
        <v>215</v>
      </c>
      <c r="O1475" t="s">
        <v>116</v>
      </c>
      <c r="P1475" t="s">
        <v>4000</v>
      </c>
      <c r="Q1475">
        <f t="shared" ref="Q1475:Q1538" si="414">IF(E1475="", "", LEFT(E1475, 1) * 1)</f>
        <v>4</v>
      </c>
      <c r="R1475">
        <f t="shared" ref="R1475:R1538" si="415">IF(F1475="","",VALUE(LEFT(F1475,FIND(" ",F1475)-1)))</f>
        <v>4</v>
      </c>
      <c r="S1475">
        <f t="shared" ref="S1475:S1538" si="416">IF(G1475="","",VALUE(LEFT(G1475,FIND(" ",G1475)-1)))</f>
        <v>5</v>
      </c>
      <c r="T1475">
        <f t="shared" ref="T1475:T1538" si="417">IF(H1475="","",VALUE(LEFT(H1475,FIND(" ",H1475)-1)))</f>
        <v>1</v>
      </c>
      <c r="U1475">
        <v>5</v>
      </c>
      <c r="V1475">
        <f t="shared" ref="V1475:V1538" si="418">IF(L1475="",0,IF(ISNUMBER(SEARCH("Bathroom",L1475)),1,0))</f>
        <v>0</v>
      </c>
      <c r="W1475">
        <f t="shared" ref="W1475:W1538" si="419">IF(L1475="",0,IF(ISNUMBER(SEARCH("Dining room",L1475)),1,0))</f>
        <v>1</v>
      </c>
      <c r="X1475">
        <f t="shared" ref="X1475:X1538" si="420">IF(L1475="",0,IF(ISNUMBER(SEARCH("Office",L1475)),1,0))</f>
        <v>0</v>
      </c>
      <c r="Y1475">
        <f t="shared" ref="Y1475:Y1538" si="421">IF(L1475="",0,IF(ISNUMBER(SEARCH("Bedroom",L1475)),1,0))</f>
        <v>0</v>
      </c>
      <c r="Z1475">
        <f t="shared" ref="Z1475:Z1538" si="422">IF(L1475="",0,IF(ISNUMBER(SEARCH("Living room",L1475)),1,0))</f>
        <v>0</v>
      </c>
      <c r="AA1475">
        <f t="shared" ref="AA1475:AA1538" si="423">IF(M1475="",0, IF(ISNUMBER(SEARCH("By yourself",M1475)), 1, 0))</f>
        <v>0</v>
      </c>
      <c r="AB1475">
        <f t="shared" ref="AB1475:AB1538" si="424">IF(M1475="", 0, IF(ISNUMBER(SEARCH("Friends", M1475)), 1, 0))</f>
        <v>1</v>
      </c>
      <c r="AC1475">
        <f t="shared" ref="AC1475:AC1538" si="425">IF(M1475="",0,IF(ISNUMBER(SEARCH("Family members", M1475)), 1, 0))</f>
        <v>1</v>
      </c>
      <c r="AD1475">
        <f t="shared" ref="AD1475:AD1538" si="426">IF(M1475="", 0, IF(ISNUMBER(SEARCH("Coworkers/Classmates", M1475)), 1, 0))</f>
        <v>0</v>
      </c>
      <c r="AE1475">
        <f t="shared" ref="AE1475:AE1538" si="427">IF(M1475="", 0, IF(ISNUMBER(SEARCH("Strangers", M1475)), 1, 0))</f>
        <v>0</v>
      </c>
      <c r="AF1475">
        <f t="shared" ref="AF1475:AF1538" si="428">IF(N1475="", 0, IF(ISNUMBER(SEARCH("Spring", N1475)), 1, 0))</f>
        <v>1</v>
      </c>
      <c r="AG1475">
        <f t="shared" ref="AG1475:AG1538" si="429">IF(N1475="", 0, IF(ISNUMBER(SEARCH("Summer", N1475)), 1, 0))</f>
        <v>0</v>
      </c>
      <c r="AH1475">
        <f t="shared" ref="AH1475:AH1538" si="430">IF(N1475="", 0, IF(ISNUMBER(SEARCH("Fall", N1475)), 1, 0))</f>
        <v>0</v>
      </c>
      <c r="AI1475">
        <f t="shared" ref="AI1475:AI1538" si="431">IF(N1475="", 0, IF(ISNUMBER(SEARCH("Winter", N1475)), 1, 0))</f>
        <v>0</v>
      </c>
    </row>
    <row r="1476" spans="1:35" x14ac:dyDescent="0.2">
      <c r="A1476">
        <v>351</v>
      </c>
      <c r="B1476" t="s">
        <v>1398</v>
      </c>
      <c r="C1476">
        <v>7</v>
      </c>
      <c r="D1476" t="s">
        <v>4001</v>
      </c>
      <c r="E1476" t="s">
        <v>18</v>
      </c>
      <c r="F1476" t="s">
        <v>39</v>
      </c>
      <c r="G1476" t="s">
        <v>39</v>
      </c>
      <c r="H1476" t="s">
        <v>21</v>
      </c>
      <c r="I1476">
        <v>8</v>
      </c>
      <c r="J1476">
        <v>3</v>
      </c>
      <c r="K1476" s="1">
        <v>10</v>
      </c>
      <c r="L1476" t="s">
        <v>194</v>
      </c>
      <c r="M1476" t="s">
        <v>280</v>
      </c>
      <c r="N1476" t="s">
        <v>43</v>
      </c>
      <c r="O1476" t="s">
        <v>4002</v>
      </c>
      <c r="P1476" t="s">
        <v>4003</v>
      </c>
      <c r="Q1476">
        <f t="shared" si="414"/>
        <v>4</v>
      </c>
      <c r="R1476">
        <f t="shared" si="415"/>
        <v>5</v>
      </c>
      <c r="S1476">
        <f t="shared" si="416"/>
        <v>5</v>
      </c>
      <c r="T1476">
        <f t="shared" si="417"/>
        <v>1</v>
      </c>
      <c r="U1476">
        <v>10</v>
      </c>
      <c r="V1476">
        <f t="shared" si="418"/>
        <v>0</v>
      </c>
      <c r="W1476">
        <f t="shared" si="419"/>
        <v>0</v>
      </c>
      <c r="X1476">
        <f t="shared" si="420"/>
        <v>0</v>
      </c>
      <c r="Y1476">
        <f t="shared" si="421"/>
        <v>1</v>
      </c>
      <c r="Z1476">
        <f t="shared" si="422"/>
        <v>1</v>
      </c>
      <c r="AA1476">
        <f t="shared" si="423"/>
        <v>0</v>
      </c>
      <c r="AB1476">
        <f t="shared" si="424"/>
        <v>1</v>
      </c>
      <c r="AC1476">
        <f t="shared" si="425"/>
        <v>1</v>
      </c>
      <c r="AD1476">
        <f t="shared" si="426"/>
        <v>1</v>
      </c>
      <c r="AE1476">
        <f t="shared" si="427"/>
        <v>0</v>
      </c>
      <c r="AF1476">
        <f t="shared" si="428"/>
        <v>1</v>
      </c>
      <c r="AG1476">
        <f t="shared" si="429"/>
        <v>1</v>
      </c>
      <c r="AH1476">
        <f t="shared" si="430"/>
        <v>0</v>
      </c>
      <c r="AI1476">
        <f t="shared" si="431"/>
        <v>0</v>
      </c>
    </row>
    <row r="1477" spans="1:35" x14ac:dyDescent="0.2">
      <c r="A1477">
        <v>352</v>
      </c>
      <c r="B1477" t="s">
        <v>1398</v>
      </c>
      <c r="C1477">
        <v>9</v>
      </c>
      <c r="D1477" t="s">
        <v>1418</v>
      </c>
      <c r="E1477" t="s">
        <v>20</v>
      </c>
      <c r="F1477" t="s">
        <v>18</v>
      </c>
      <c r="G1477" t="s">
        <v>39</v>
      </c>
      <c r="H1477" t="s">
        <v>21</v>
      </c>
      <c r="I1477">
        <v>4</v>
      </c>
      <c r="J1477">
        <v>3</v>
      </c>
      <c r="K1477">
        <v>50</v>
      </c>
      <c r="L1477" t="s">
        <v>70</v>
      </c>
      <c r="M1477" t="s">
        <v>115</v>
      </c>
      <c r="N1477" t="s">
        <v>84</v>
      </c>
      <c r="O1477" t="s">
        <v>60</v>
      </c>
      <c r="P1477" t="s">
        <v>1130</v>
      </c>
      <c r="Q1477">
        <f t="shared" si="414"/>
        <v>2</v>
      </c>
      <c r="R1477">
        <f t="shared" si="415"/>
        <v>4</v>
      </c>
      <c r="S1477">
        <f t="shared" si="416"/>
        <v>5</v>
      </c>
      <c r="T1477">
        <f t="shared" si="417"/>
        <v>1</v>
      </c>
      <c r="U1477">
        <v>50</v>
      </c>
      <c r="V1477">
        <f t="shared" si="418"/>
        <v>0</v>
      </c>
      <c r="W1477">
        <f t="shared" si="419"/>
        <v>0</v>
      </c>
      <c r="X1477">
        <f t="shared" si="420"/>
        <v>0</v>
      </c>
      <c r="Y1477">
        <f t="shared" si="421"/>
        <v>1</v>
      </c>
      <c r="Z1477">
        <f t="shared" si="422"/>
        <v>0</v>
      </c>
      <c r="AA1477">
        <f t="shared" si="423"/>
        <v>0</v>
      </c>
      <c r="AB1477">
        <f t="shared" si="424"/>
        <v>0</v>
      </c>
      <c r="AC1477">
        <f t="shared" si="425"/>
        <v>1</v>
      </c>
      <c r="AD1477">
        <f t="shared" si="426"/>
        <v>0</v>
      </c>
      <c r="AE1477">
        <f t="shared" si="427"/>
        <v>0</v>
      </c>
      <c r="AF1477">
        <f t="shared" si="428"/>
        <v>0</v>
      </c>
      <c r="AG1477">
        <f t="shared" si="429"/>
        <v>1</v>
      </c>
      <c r="AH1477">
        <f t="shared" si="430"/>
        <v>0</v>
      </c>
      <c r="AI1477">
        <f t="shared" si="431"/>
        <v>0</v>
      </c>
    </row>
    <row r="1478" spans="1:35" x14ac:dyDescent="0.2">
      <c r="A1478">
        <v>353</v>
      </c>
      <c r="B1478" t="s">
        <v>1398</v>
      </c>
      <c r="C1478">
        <v>6</v>
      </c>
      <c r="D1478" t="s">
        <v>4004</v>
      </c>
      <c r="E1478" t="s">
        <v>21</v>
      </c>
      <c r="F1478" t="s">
        <v>39</v>
      </c>
      <c r="G1478" t="s">
        <v>39</v>
      </c>
      <c r="H1478" t="s">
        <v>21</v>
      </c>
      <c r="I1478">
        <v>8</v>
      </c>
      <c r="J1478">
        <v>5</v>
      </c>
      <c r="K1478" s="1">
        <v>900</v>
      </c>
      <c r="L1478" t="s">
        <v>70</v>
      </c>
      <c r="M1478" t="s">
        <v>115</v>
      </c>
      <c r="N1478" t="s">
        <v>215</v>
      </c>
      <c r="O1478" t="s">
        <v>4005</v>
      </c>
      <c r="P1478" t="s">
        <v>4006</v>
      </c>
      <c r="Q1478">
        <f t="shared" si="414"/>
        <v>1</v>
      </c>
      <c r="R1478">
        <f t="shared" si="415"/>
        <v>5</v>
      </c>
      <c r="S1478">
        <f t="shared" si="416"/>
        <v>5</v>
      </c>
      <c r="T1478">
        <f t="shared" si="417"/>
        <v>1</v>
      </c>
      <c r="U1478">
        <v>900</v>
      </c>
      <c r="V1478">
        <f t="shared" si="418"/>
        <v>0</v>
      </c>
      <c r="W1478">
        <f t="shared" si="419"/>
        <v>0</v>
      </c>
      <c r="X1478">
        <f t="shared" si="420"/>
        <v>0</v>
      </c>
      <c r="Y1478">
        <f t="shared" si="421"/>
        <v>1</v>
      </c>
      <c r="Z1478">
        <f t="shared" si="422"/>
        <v>0</v>
      </c>
      <c r="AA1478">
        <f t="shared" si="423"/>
        <v>0</v>
      </c>
      <c r="AB1478">
        <f t="shared" si="424"/>
        <v>0</v>
      </c>
      <c r="AC1478">
        <f t="shared" si="425"/>
        <v>1</v>
      </c>
      <c r="AD1478">
        <f t="shared" si="426"/>
        <v>0</v>
      </c>
      <c r="AE1478">
        <f t="shared" si="427"/>
        <v>0</v>
      </c>
      <c r="AF1478">
        <f t="shared" si="428"/>
        <v>1</v>
      </c>
      <c r="AG1478">
        <f t="shared" si="429"/>
        <v>0</v>
      </c>
      <c r="AH1478">
        <f t="shared" si="430"/>
        <v>0</v>
      </c>
      <c r="AI1478">
        <f t="shared" si="431"/>
        <v>0</v>
      </c>
    </row>
    <row r="1479" spans="1:35" x14ac:dyDescent="0.2">
      <c r="A1479">
        <v>354</v>
      </c>
      <c r="B1479" t="s">
        <v>1398</v>
      </c>
      <c r="C1479">
        <v>2</v>
      </c>
      <c r="D1479" t="s">
        <v>4007</v>
      </c>
      <c r="E1479" t="s">
        <v>21</v>
      </c>
      <c r="F1479" t="s">
        <v>18</v>
      </c>
      <c r="G1479" t="s">
        <v>19</v>
      </c>
      <c r="H1479" t="s">
        <v>20</v>
      </c>
      <c r="I1479">
        <v>1</v>
      </c>
      <c r="J1479">
        <v>1</v>
      </c>
      <c r="K1479">
        <v>30</v>
      </c>
      <c r="L1479" t="s">
        <v>41</v>
      </c>
      <c r="M1479" t="s">
        <v>280</v>
      </c>
      <c r="N1479" t="s">
        <v>43</v>
      </c>
      <c r="O1479" t="s">
        <v>4008</v>
      </c>
      <c r="P1479" t="s">
        <v>4009</v>
      </c>
      <c r="Q1479">
        <f t="shared" si="414"/>
        <v>1</v>
      </c>
      <c r="R1479">
        <f t="shared" si="415"/>
        <v>4</v>
      </c>
      <c r="S1479">
        <f t="shared" si="416"/>
        <v>3</v>
      </c>
      <c r="T1479">
        <f t="shared" si="417"/>
        <v>2</v>
      </c>
      <c r="U1479">
        <v>30</v>
      </c>
      <c r="V1479">
        <f t="shared" si="418"/>
        <v>0</v>
      </c>
      <c r="W1479">
        <f t="shared" si="419"/>
        <v>0</v>
      </c>
      <c r="X1479">
        <f t="shared" si="420"/>
        <v>0</v>
      </c>
      <c r="Y1479">
        <f t="shared" si="421"/>
        <v>0</v>
      </c>
      <c r="Z1479">
        <f t="shared" si="422"/>
        <v>1</v>
      </c>
      <c r="AA1479">
        <f t="shared" si="423"/>
        <v>0</v>
      </c>
      <c r="AB1479">
        <f t="shared" si="424"/>
        <v>1</v>
      </c>
      <c r="AC1479">
        <f t="shared" si="425"/>
        <v>1</v>
      </c>
      <c r="AD1479">
        <f t="shared" si="426"/>
        <v>1</v>
      </c>
      <c r="AE1479">
        <f t="shared" si="427"/>
        <v>0</v>
      </c>
      <c r="AF1479">
        <f t="shared" si="428"/>
        <v>1</v>
      </c>
      <c r="AG1479">
        <f t="shared" si="429"/>
        <v>1</v>
      </c>
      <c r="AH1479">
        <f t="shared" si="430"/>
        <v>0</v>
      </c>
      <c r="AI1479">
        <f t="shared" si="431"/>
        <v>0</v>
      </c>
    </row>
    <row r="1480" spans="1:35" x14ac:dyDescent="0.2">
      <c r="A1480">
        <v>355</v>
      </c>
      <c r="B1480" t="s">
        <v>1398</v>
      </c>
      <c r="C1480">
        <v>9</v>
      </c>
      <c r="D1480" t="s">
        <v>2962</v>
      </c>
      <c r="E1480" t="s">
        <v>19</v>
      </c>
      <c r="F1480" t="s">
        <v>18</v>
      </c>
      <c r="G1480" t="s">
        <v>18</v>
      </c>
      <c r="H1480" t="s">
        <v>19</v>
      </c>
      <c r="I1480">
        <v>2</v>
      </c>
      <c r="J1480">
        <v>3</v>
      </c>
      <c r="K1480">
        <v>70</v>
      </c>
      <c r="L1480" t="s">
        <v>22</v>
      </c>
      <c r="M1480" t="s">
        <v>587</v>
      </c>
      <c r="N1480" t="s">
        <v>84</v>
      </c>
      <c r="O1480" t="s">
        <v>4010</v>
      </c>
      <c r="P1480" t="s">
        <v>4011</v>
      </c>
      <c r="Q1480">
        <f t="shared" si="414"/>
        <v>3</v>
      </c>
      <c r="R1480">
        <f t="shared" si="415"/>
        <v>4</v>
      </c>
      <c r="S1480">
        <f t="shared" si="416"/>
        <v>4</v>
      </c>
      <c r="T1480">
        <f t="shared" si="417"/>
        <v>3</v>
      </c>
      <c r="U1480">
        <v>70</v>
      </c>
      <c r="V1480">
        <f t="shared" si="418"/>
        <v>1</v>
      </c>
      <c r="W1480">
        <f t="shared" si="419"/>
        <v>0</v>
      </c>
      <c r="X1480">
        <f t="shared" si="420"/>
        <v>0</v>
      </c>
      <c r="Y1480">
        <f t="shared" si="421"/>
        <v>0</v>
      </c>
      <c r="Z1480">
        <f t="shared" si="422"/>
        <v>0</v>
      </c>
      <c r="AA1480">
        <f t="shared" si="423"/>
        <v>0</v>
      </c>
      <c r="AB1480">
        <f t="shared" si="424"/>
        <v>1</v>
      </c>
      <c r="AC1480">
        <f t="shared" si="425"/>
        <v>0</v>
      </c>
      <c r="AD1480">
        <f t="shared" si="426"/>
        <v>1</v>
      </c>
      <c r="AE1480">
        <f t="shared" si="427"/>
        <v>1</v>
      </c>
      <c r="AF1480">
        <f t="shared" si="428"/>
        <v>0</v>
      </c>
      <c r="AG1480">
        <f t="shared" si="429"/>
        <v>1</v>
      </c>
      <c r="AH1480">
        <f t="shared" si="430"/>
        <v>0</v>
      </c>
      <c r="AI1480">
        <f t="shared" si="431"/>
        <v>0</v>
      </c>
    </row>
    <row r="1481" spans="1:35" x14ac:dyDescent="0.2">
      <c r="A1481">
        <v>356</v>
      </c>
      <c r="B1481" t="s">
        <v>1398</v>
      </c>
      <c r="C1481">
        <v>10</v>
      </c>
      <c r="D1481" t="s">
        <v>4012</v>
      </c>
      <c r="E1481" t="s">
        <v>21</v>
      </c>
      <c r="F1481" t="s">
        <v>39</v>
      </c>
      <c r="G1481" t="s">
        <v>39</v>
      </c>
      <c r="H1481" t="s">
        <v>21</v>
      </c>
      <c r="I1481">
        <v>1</v>
      </c>
      <c r="J1481">
        <v>1</v>
      </c>
      <c r="K1481">
        <v>20</v>
      </c>
      <c r="L1481" t="s">
        <v>230</v>
      </c>
      <c r="M1481" t="s">
        <v>48</v>
      </c>
      <c r="N1481" t="s">
        <v>43</v>
      </c>
      <c r="O1481" t="s">
        <v>1419</v>
      </c>
      <c r="P1481" t="s">
        <v>4013</v>
      </c>
      <c r="Q1481">
        <f t="shared" si="414"/>
        <v>1</v>
      </c>
      <c r="R1481">
        <f t="shared" si="415"/>
        <v>5</v>
      </c>
      <c r="S1481">
        <f t="shared" si="416"/>
        <v>5</v>
      </c>
      <c r="T1481">
        <f t="shared" si="417"/>
        <v>1</v>
      </c>
      <c r="U1481">
        <v>20</v>
      </c>
      <c r="V1481">
        <f t="shared" si="418"/>
        <v>1</v>
      </c>
      <c r="W1481">
        <f t="shared" si="419"/>
        <v>1</v>
      </c>
      <c r="X1481">
        <f t="shared" si="420"/>
        <v>1</v>
      </c>
      <c r="Y1481">
        <f t="shared" si="421"/>
        <v>1</v>
      </c>
      <c r="Z1481">
        <f t="shared" si="422"/>
        <v>1</v>
      </c>
      <c r="AA1481">
        <f t="shared" si="423"/>
        <v>1</v>
      </c>
      <c r="AB1481">
        <f t="shared" si="424"/>
        <v>1</v>
      </c>
      <c r="AC1481">
        <f t="shared" si="425"/>
        <v>1</v>
      </c>
      <c r="AD1481">
        <f t="shared" si="426"/>
        <v>0</v>
      </c>
      <c r="AE1481">
        <f t="shared" si="427"/>
        <v>0</v>
      </c>
      <c r="AF1481">
        <f t="shared" si="428"/>
        <v>1</v>
      </c>
      <c r="AG1481">
        <f t="shared" si="429"/>
        <v>1</v>
      </c>
      <c r="AH1481">
        <f t="shared" si="430"/>
        <v>0</v>
      </c>
      <c r="AI1481">
        <f t="shared" si="431"/>
        <v>0</v>
      </c>
    </row>
    <row r="1482" spans="1:35" x14ac:dyDescent="0.2">
      <c r="A1482">
        <v>357</v>
      </c>
      <c r="B1482" t="s">
        <v>1398</v>
      </c>
      <c r="C1482">
        <v>7</v>
      </c>
      <c r="D1482" t="s">
        <v>4014</v>
      </c>
      <c r="E1482" t="s">
        <v>39</v>
      </c>
      <c r="F1482" t="s">
        <v>39</v>
      </c>
      <c r="G1482" t="s">
        <v>39</v>
      </c>
      <c r="H1482" t="s">
        <v>21</v>
      </c>
      <c r="I1482">
        <v>3</v>
      </c>
      <c r="J1482">
        <v>1</v>
      </c>
      <c r="K1482" t="s">
        <v>4015</v>
      </c>
      <c r="L1482" t="s">
        <v>514</v>
      </c>
      <c r="M1482" t="s">
        <v>468</v>
      </c>
      <c r="N1482" t="s">
        <v>43</v>
      </c>
      <c r="O1482" t="s">
        <v>1419</v>
      </c>
      <c r="P1482" t="s">
        <v>4016</v>
      </c>
      <c r="Q1482">
        <f t="shared" si="414"/>
        <v>5</v>
      </c>
      <c r="R1482">
        <f t="shared" si="415"/>
        <v>5</v>
      </c>
      <c r="S1482">
        <f t="shared" si="416"/>
        <v>5</v>
      </c>
      <c r="T1482">
        <f t="shared" si="417"/>
        <v>1</v>
      </c>
      <c r="U1482">
        <v>150</v>
      </c>
      <c r="V1482">
        <f t="shared" si="418"/>
        <v>1</v>
      </c>
      <c r="W1482">
        <f t="shared" si="419"/>
        <v>1</v>
      </c>
      <c r="X1482">
        <f t="shared" si="420"/>
        <v>0</v>
      </c>
      <c r="Y1482">
        <f t="shared" si="421"/>
        <v>0</v>
      </c>
      <c r="Z1482">
        <f t="shared" si="422"/>
        <v>1</v>
      </c>
      <c r="AA1482">
        <f t="shared" si="423"/>
        <v>1</v>
      </c>
      <c r="AB1482">
        <f t="shared" si="424"/>
        <v>1</v>
      </c>
      <c r="AC1482">
        <f t="shared" si="425"/>
        <v>1</v>
      </c>
      <c r="AD1482">
        <f t="shared" si="426"/>
        <v>1</v>
      </c>
      <c r="AE1482">
        <f t="shared" si="427"/>
        <v>1</v>
      </c>
      <c r="AF1482">
        <f t="shared" si="428"/>
        <v>1</v>
      </c>
      <c r="AG1482">
        <f t="shared" si="429"/>
        <v>1</v>
      </c>
      <c r="AH1482">
        <f t="shared" si="430"/>
        <v>0</v>
      </c>
      <c r="AI1482">
        <f t="shared" si="431"/>
        <v>0</v>
      </c>
    </row>
    <row r="1483" spans="1:35" x14ac:dyDescent="0.2">
      <c r="A1483">
        <v>358</v>
      </c>
      <c r="B1483" t="s">
        <v>1398</v>
      </c>
      <c r="C1483">
        <v>7</v>
      </c>
      <c r="D1483" t="s">
        <v>4017</v>
      </c>
      <c r="E1483" t="s">
        <v>21</v>
      </c>
      <c r="F1483" t="s">
        <v>39</v>
      </c>
      <c r="G1483" t="s">
        <v>39</v>
      </c>
      <c r="H1483" t="s">
        <v>21</v>
      </c>
      <c r="I1483">
        <v>2</v>
      </c>
      <c r="J1483">
        <v>3</v>
      </c>
      <c r="K1483" t="s">
        <v>4018</v>
      </c>
      <c r="L1483" t="s">
        <v>70</v>
      </c>
      <c r="M1483" t="s">
        <v>123</v>
      </c>
      <c r="N1483" t="s">
        <v>43</v>
      </c>
      <c r="O1483" t="s">
        <v>4019</v>
      </c>
      <c r="P1483" t="s">
        <v>4020</v>
      </c>
      <c r="Q1483">
        <f t="shared" si="414"/>
        <v>1</v>
      </c>
      <c r="R1483">
        <f t="shared" si="415"/>
        <v>5</v>
      </c>
      <c r="S1483">
        <f t="shared" si="416"/>
        <v>5</v>
      </c>
      <c r="T1483">
        <f t="shared" si="417"/>
        <v>1</v>
      </c>
      <c r="U1483">
        <v>70</v>
      </c>
      <c r="V1483">
        <f t="shared" si="418"/>
        <v>0</v>
      </c>
      <c r="W1483">
        <f t="shared" si="419"/>
        <v>0</v>
      </c>
      <c r="X1483">
        <f t="shared" si="420"/>
        <v>0</v>
      </c>
      <c r="Y1483">
        <f t="shared" si="421"/>
        <v>1</v>
      </c>
      <c r="Z1483">
        <f t="shared" si="422"/>
        <v>0</v>
      </c>
      <c r="AA1483">
        <f t="shared" si="423"/>
        <v>0</v>
      </c>
      <c r="AB1483">
        <f t="shared" si="424"/>
        <v>1</v>
      </c>
      <c r="AC1483">
        <f t="shared" si="425"/>
        <v>1</v>
      </c>
      <c r="AD1483">
        <f t="shared" si="426"/>
        <v>0</v>
      </c>
      <c r="AE1483">
        <f t="shared" si="427"/>
        <v>0</v>
      </c>
      <c r="AF1483">
        <f t="shared" si="428"/>
        <v>1</v>
      </c>
      <c r="AG1483">
        <f t="shared" si="429"/>
        <v>1</v>
      </c>
      <c r="AH1483">
        <f t="shared" si="430"/>
        <v>0</v>
      </c>
      <c r="AI1483">
        <f t="shared" si="431"/>
        <v>0</v>
      </c>
    </row>
    <row r="1484" spans="1:35" x14ac:dyDescent="0.2">
      <c r="A1484">
        <v>359</v>
      </c>
      <c r="B1484" t="s">
        <v>1398</v>
      </c>
      <c r="C1484">
        <v>8</v>
      </c>
      <c r="D1484" t="s">
        <v>4021</v>
      </c>
      <c r="E1484" t="s">
        <v>21</v>
      </c>
      <c r="F1484" t="s">
        <v>39</v>
      </c>
      <c r="G1484" t="s">
        <v>39</v>
      </c>
      <c r="H1484" t="s">
        <v>21</v>
      </c>
      <c r="I1484">
        <v>3</v>
      </c>
      <c r="J1484">
        <v>1</v>
      </c>
      <c r="K1484">
        <v>5</v>
      </c>
      <c r="L1484" t="s">
        <v>34</v>
      </c>
      <c r="M1484" t="s">
        <v>23</v>
      </c>
      <c r="N1484" t="s">
        <v>84</v>
      </c>
      <c r="O1484" t="s">
        <v>1558</v>
      </c>
      <c r="P1484" t="s">
        <v>4022</v>
      </c>
      <c r="Q1484">
        <f t="shared" si="414"/>
        <v>1</v>
      </c>
      <c r="R1484">
        <f t="shared" si="415"/>
        <v>5</v>
      </c>
      <c r="S1484">
        <f t="shared" si="416"/>
        <v>5</v>
      </c>
      <c r="T1484">
        <f t="shared" si="417"/>
        <v>1</v>
      </c>
      <c r="U1484">
        <v>5</v>
      </c>
      <c r="V1484">
        <f t="shared" si="418"/>
        <v>1</v>
      </c>
      <c r="W1484">
        <f t="shared" si="419"/>
        <v>0</v>
      </c>
      <c r="X1484">
        <f t="shared" si="420"/>
        <v>0</v>
      </c>
      <c r="Y1484">
        <f t="shared" si="421"/>
        <v>1</v>
      </c>
      <c r="Z1484">
        <f t="shared" si="422"/>
        <v>0</v>
      </c>
      <c r="AA1484">
        <f t="shared" si="423"/>
        <v>1</v>
      </c>
      <c r="AB1484">
        <f t="shared" si="424"/>
        <v>0</v>
      </c>
      <c r="AC1484">
        <f t="shared" si="425"/>
        <v>0</v>
      </c>
      <c r="AD1484">
        <f t="shared" si="426"/>
        <v>0</v>
      </c>
      <c r="AE1484">
        <f t="shared" si="427"/>
        <v>0</v>
      </c>
      <c r="AF1484">
        <f t="shared" si="428"/>
        <v>0</v>
      </c>
      <c r="AG1484">
        <f t="shared" si="429"/>
        <v>1</v>
      </c>
      <c r="AH1484">
        <f t="shared" si="430"/>
        <v>0</v>
      </c>
      <c r="AI1484">
        <f t="shared" si="431"/>
        <v>0</v>
      </c>
    </row>
    <row r="1485" spans="1:35" x14ac:dyDescent="0.2">
      <c r="A1485">
        <v>360</v>
      </c>
      <c r="B1485" t="s">
        <v>1398</v>
      </c>
      <c r="C1485">
        <v>5</v>
      </c>
      <c r="D1485" t="s">
        <v>3340</v>
      </c>
      <c r="E1485" t="s">
        <v>21</v>
      </c>
      <c r="F1485" t="s">
        <v>39</v>
      </c>
      <c r="G1485" t="s">
        <v>39</v>
      </c>
      <c r="H1485" t="s">
        <v>21</v>
      </c>
      <c r="I1485">
        <v>3</v>
      </c>
      <c r="J1485">
        <v>3</v>
      </c>
      <c r="K1485">
        <v>1000</v>
      </c>
      <c r="L1485" t="s">
        <v>601</v>
      </c>
      <c r="M1485" t="s">
        <v>115</v>
      </c>
      <c r="N1485" t="s">
        <v>43</v>
      </c>
      <c r="O1485" t="s">
        <v>1419</v>
      </c>
      <c r="P1485" t="s">
        <v>4023</v>
      </c>
      <c r="Q1485">
        <f t="shared" si="414"/>
        <v>1</v>
      </c>
      <c r="R1485">
        <f t="shared" si="415"/>
        <v>5</v>
      </c>
      <c r="S1485">
        <f t="shared" si="416"/>
        <v>5</v>
      </c>
      <c r="T1485">
        <f t="shared" si="417"/>
        <v>1</v>
      </c>
      <c r="U1485">
        <v>1000</v>
      </c>
      <c r="V1485">
        <f t="shared" si="418"/>
        <v>0</v>
      </c>
      <c r="W1485">
        <f t="shared" si="419"/>
        <v>1</v>
      </c>
      <c r="X1485">
        <f t="shared" si="420"/>
        <v>0</v>
      </c>
      <c r="Y1485">
        <f t="shared" si="421"/>
        <v>1</v>
      </c>
      <c r="Z1485">
        <f t="shared" si="422"/>
        <v>1</v>
      </c>
      <c r="AA1485">
        <f t="shared" si="423"/>
        <v>0</v>
      </c>
      <c r="AB1485">
        <f t="shared" si="424"/>
        <v>0</v>
      </c>
      <c r="AC1485">
        <f t="shared" si="425"/>
        <v>1</v>
      </c>
      <c r="AD1485">
        <f t="shared" si="426"/>
        <v>0</v>
      </c>
      <c r="AE1485">
        <f t="shared" si="427"/>
        <v>0</v>
      </c>
      <c r="AF1485">
        <f t="shared" si="428"/>
        <v>1</v>
      </c>
      <c r="AG1485">
        <f t="shared" si="429"/>
        <v>1</v>
      </c>
      <c r="AH1485">
        <f t="shared" si="430"/>
        <v>0</v>
      </c>
      <c r="AI1485">
        <f t="shared" si="431"/>
        <v>0</v>
      </c>
    </row>
    <row r="1486" spans="1:35" x14ac:dyDescent="0.2">
      <c r="A1486">
        <v>361</v>
      </c>
      <c r="B1486" t="s">
        <v>1398</v>
      </c>
      <c r="C1486">
        <v>8</v>
      </c>
      <c r="D1486" t="s">
        <v>4024</v>
      </c>
      <c r="E1486" t="s">
        <v>20</v>
      </c>
      <c r="F1486" t="s">
        <v>18</v>
      </c>
      <c r="G1486" t="s">
        <v>18</v>
      </c>
      <c r="H1486" t="s">
        <v>20</v>
      </c>
      <c r="I1486">
        <v>2</v>
      </c>
      <c r="J1486">
        <v>2</v>
      </c>
      <c r="K1486">
        <v>50</v>
      </c>
      <c r="L1486" t="s">
        <v>601</v>
      </c>
      <c r="M1486" t="s">
        <v>280</v>
      </c>
      <c r="N1486" t="s">
        <v>43</v>
      </c>
      <c r="O1486" t="s">
        <v>4025</v>
      </c>
      <c r="P1486" t="s">
        <v>4026</v>
      </c>
      <c r="Q1486">
        <f t="shared" si="414"/>
        <v>2</v>
      </c>
      <c r="R1486">
        <f t="shared" si="415"/>
        <v>4</v>
      </c>
      <c r="S1486">
        <f t="shared" si="416"/>
        <v>4</v>
      </c>
      <c r="T1486">
        <f t="shared" si="417"/>
        <v>2</v>
      </c>
      <c r="U1486">
        <v>50</v>
      </c>
      <c r="V1486">
        <f t="shared" si="418"/>
        <v>0</v>
      </c>
      <c r="W1486">
        <f t="shared" si="419"/>
        <v>1</v>
      </c>
      <c r="X1486">
        <f t="shared" si="420"/>
        <v>0</v>
      </c>
      <c r="Y1486">
        <f t="shared" si="421"/>
        <v>1</v>
      </c>
      <c r="Z1486">
        <f t="shared" si="422"/>
        <v>1</v>
      </c>
      <c r="AA1486">
        <f t="shared" si="423"/>
        <v>0</v>
      </c>
      <c r="AB1486">
        <f t="shared" si="424"/>
        <v>1</v>
      </c>
      <c r="AC1486">
        <f t="shared" si="425"/>
        <v>1</v>
      </c>
      <c r="AD1486">
        <f t="shared" si="426"/>
        <v>1</v>
      </c>
      <c r="AE1486">
        <f t="shared" si="427"/>
        <v>0</v>
      </c>
      <c r="AF1486">
        <f t="shared" si="428"/>
        <v>1</v>
      </c>
      <c r="AG1486">
        <f t="shared" si="429"/>
        <v>1</v>
      </c>
      <c r="AH1486">
        <f t="shared" si="430"/>
        <v>0</v>
      </c>
      <c r="AI1486">
        <f t="shared" si="431"/>
        <v>0</v>
      </c>
    </row>
    <row r="1487" spans="1:35" x14ac:dyDescent="0.2">
      <c r="A1487">
        <v>362</v>
      </c>
      <c r="B1487" t="s">
        <v>1398</v>
      </c>
      <c r="C1487">
        <v>4</v>
      </c>
      <c r="D1487" t="s">
        <v>4027</v>
      </c>
      <c r="E1487" t="s">
        <v>20</v>
      </c>
      <c r="F1487" t="s">
        <v>39</v>
      </c>
      <c r="G1487" t="s">
        <v>39</v>
      </c>
      <c r="H1487" t="s">
        <v>21</v>
      </c>
      <c r="I1487">
        <v>3</v>
      </c>
      <c r="J1487">
        <v>1</v>
      </c>
      <c r="K1487">
        <v>300</v>
      </c>
      <c r="L1487" t="s">
        <v>98</v>
      </c>
      <c r="M1487" t="s">
        <v>123</v>
      </c>
      <c r="N1487" t="s">
        <v>43</v>
      </c>
      <c r="O1487" t="s">
        <v>4028</v>
      </c>
      <c r="P1487" t="s">
        <v>4029</v>
      </c>
      <c r="Q1487">
        <f t="shared" si="414"/>
        <v>2</v>
      </c>
      <c r="R1487">
        <f t="shared" si="415"/>
        <v>5</v>
      </c>
      <c r="S1487">
        <f t="shared" si="416"/>
        <v>5</v>
      </c>
      <c r="T1487">
        <f t="shared" si="417"/>
        <v>1</v>
      </c>
      <c r="U1487">
        <v>300</v>
      </c>
      <c r="V1487">
        <f t="shared" si="418"/>
        <v>0</v>
      </c>
      <c r="W1487">
        <f t="shared" si="419"/>
        <v>1</v>
      </c>
      <c r="X1487">
        <f t="shared" si="420"/>
        <v>0</v>
      </c>
      <c r="Y1487">
        <f t="shared" si="421"/>
        <v>0</v>
      </c>
      <c r="Z1487">
        <f t="shared" si="422"/>
        <v>0</v>
      </c>
      <c r="AA1487">
        <f t="shared" si="423"/>
        <v>0</v>
      </c>
      <c r="AB1487">
        <f t="shared" si="424"/>
        <v>1</v>
      </c>
      <c r="AC1487">
        <f t="shared" si="425"/>
        <v>1</v>
      </c>
      <c r="AD1487">
        <f t="shared" si="426"/>
        <v>0</v>
      </c>
      <c r="AE1487">
        <f t="shared" si="427"/>
        <v>0</v>
      </c>
      <c r="AF1487">
        <f t="shared" si="428"/>
        <v>1</v>
      </c>
      <c r="AG1487">
        <f t="shared" si="429"/>
        <v>1</v>
      </c>
      <c r="AH1487">
        <f t="shared" si="430"/>
        <v>0</v>
      </c>
      <c r="AI1487">
        <f t="shared" si="431"/>
        <v>0</v>
      </c>
    </row>
    <row r="1488" spans="1:35" x14ac:dyDescent="0.2">
      <c r="A1488">
        <v>363</v>
      </c>
      <c r="B1488" t="s">
        <v>1398</v>
      </c>
      <c r="C1488">
        <v>3</v>
      </c>
      <c r="D1488" t="s">
        <v>4030</v>
      </c>
      <c r="E1488" t="s">
        <v>21</v>
      </c>
      <c r="F1488" t="s">
        <v>20</v>
      </c>
      <c r="G1488" t="s">
        <v>19</v>
      </c>
      <c r="H1488" t="s">
        <v>21</v>
      </c>
      <c r="I1488">
        <v>3</v>
      </c>
      <c r="J1488">
        <v>2</v>
      </c>
      <c r="K1488">
        <v>40</v>
      </c>
      <c r="L1488" t="s">
        <v>22</v>
      </c>
      <c r="M1488" t="s">
        <v>219</v>
      </c>
      <c r="N1488" t="s">
        <v>215</v>
      </c>
      <c r="O1488" t="s">
        <v>4031</v>
      </c>
      <c r="P1488" t="s">
        <v>4032</v>
      </c>
      <c r="Q1488">
        <f t="shared" si="414"/>
        <v>1</v>
      </c>
      <c r="R1488">
        <f t="shared" si="415"/>
        <v>2</v>
      </c>
      <c r="S1488">
        <f t="shared" si="416"/>
        <v>3</v>
      </c>
      <c r="T1488">
        <f t="shared" si="417"/>
        <v>1</v>
      </c>
      <c r="U1488">
        <v>40</v>
      </c>
      <c r="V1488">
        <f t="shared" si="418"/>
        <v>1</v>
      </c>
      <c r="W1488">
        <f t="shared" si="419"/>
        <v>0</v>
      </c>
      <c r="X1488">
        <f t="shared" si="420"/>
        <v>0</v>
      </c>
      <c r="Y1488">
        <f t="shared" si="421"/>
        <v>0</v>
      </c>
      <c r="Z1488">
        <f t="shared" si="422"/>
        <v>0</v>
      </c>
      <c r="AA1488">
        <f t="shared" si="423"/>
        <v>0</v>
      </c>
      <c r="AB1488">
        <f t="shared" si="424"/>
        <v>0</v>
      </c>
      <c r="AC1488">
        <f t="shared" si="425"/>
        <v>0</v>
      </c>
      <c r="AD1488">
        <f t="shared" si="426"/>
        <v>0</v>
      </c>
      <c r="AE1488">
        <f t="shared" si="427"/>
        <v>1</v>
      </c>
      <c r="AF1488">
        <f t="shared" si="428"/>
        <v>1</v>
      </c>
      <c r="AG1488">
        <f t="shared" si="429"/>
        <v>0</v>
      </c>
      <c r="AH1488">
        <f t="shared" si="430"/>
        <v>0</v>
      </c>
      <c r="AI1488">
        <f t="shared" si="431"/>
        <v>0</v>
      </c>
    </row>
    <row r="1489" spans="1:35" x14ac:dyDescent="0.2">
      <c r="A1489">
        <v>364</v>
      </c>
      <c r="B1489" t="s">
        <v>1398</v>
      </c>
      <c r="C1489">
        <v>5</v>
      </c>
      <c r="D1489" t="s">
        <v>4033</v>
      </c>
      <c r="E1489" t="s">
        <v>18</v>
      </c>
      <c r="F1489" t="s">
        <v>39</v>
      </c>
      <c r="G1489" t="s">
        <v>18</v>
      </c>
      <c r="H1489" t="s">
        <v>21</v>
      </c>
      <c r="I1489">
        <v>1</v>
      </c>
      <c r="J1489">
        <v>1</v>
      </c>
      <c r="K1489" s="1">
        <v>800</v>
      </c>
      <c r="L1489" t="s">
        <v>230</v>
      </c>
      <c r="M1489" t="s">
        <v>123</v>
      </c>
      <c r="N1489" t="s">
        <v>84</v>
      </c>
      <c r="O1489" t="s">
        <v>4034</v>
      </c>
      <c r="P1489" t="s">
        <v>4035</v>
      </c>
      <c r="Q1489">
        <f t="shared" si="414"/>
        <v>4</v>
      </c>
      <c r="R1489">
        <f t="shared" si="415"/>
        <v>5</v>
      </c>
      <c r="S1489">
        <f t="shared" si="416"/>
        <v>4</v>
      </c>
      <c r="T1489">
        <f t="shared" si="417"/>
        <v>1</v>
      </c>
      <c r="U1489">
        <v>800</v>
      </c>
      <c r="V1489">
        <f t="shared" si="418"/>
        <v>1</v>
      </c>
      <c r="W1489">
        <f t="shared" si="419"/>
        <v>1</v>
      </c>
      <c r="X1489">
        <f t="shared" si="420"/>
        <v>1</v>
      </c>
      <c r="Y1489">
        <f t="shared" si="421"/>
        <v>1</v>
      </c>
      <c r="Z1489">
        <f t="shared" si="422"/>
        <v>1</v>
      </c>
      <c r="AA1489">
        <f t="shared" si="423"/>
        <v>0</v>
      </c>
      <c r="AB1489">
        <f t="shared" si="424"/>
        <v>1</v>
      </c>
      <c r="AC1489">
        <f t="shared" si="425"/>
        <v>1</v>
      </c>
      <c r="AD1489">
        <f t="shared" si="426"/>
        <v>0</v>
      </c>
      <c r="AE1489">
        <f t="shared" si="427"/>
        <v>0</v>
      </c>
      <c r="AF1489">
        <f t="shared" si="428"/>
        <v>0</v>
      </c>
      <c r="AG1489">
        <f t="shared" si="429"/>
        <v>1</v>
      </c>
      <c r="AH1489">
        <f t="shared" si="430"/>
        <v>0</v>
      </c>
      <c r="AI1489">
        <f t="shared" si="431"/>
        <v>0</v>
      </c>
    </row>
    <row r="1490" spans="1:35" x14ac:dyDescent="0.2">
      <c r="A1490">
        <v>365</v>
      </c>
      <c r="B1490" t="s">
        <v>1398</v>
      </c>
      <c r="C1490">
        <v>8</v>
      </c>
      <c r="D1490" t="s">
        <v>4036</v>
      </c>
      <c r="E1490" t="s">
        <v>20</v>
      </c>
      <c r="F1490" t="s">
        <v>18</v>
      </c>
      <c r="G1490" t="s">
        <v>18</v>
      </c>
      <c r="H1490" t="s">
        <v>19</v>
      </c>
      <c r="I1490">
        <v>3</v>
      </c>
      <c r="J1490">
        <v>3</v>
      </c>
      <c r="K1490">
        <v>1000</v>
      </c>
      <c r="L1490" t="s">
        <v>41</v>
      </c>
      <c r="M1490" t="s">
        <v>42</v>
      </c>
      <c r="N1490" t="s">
        <v>215</v>
      </c>
      <c r="O1490" t="s">
        <v>4037</v>
      </c>
      <c r="P1490" t="s">
        <v>4038</v>
      </c>
      <c r="Q1490">
        <f t="shared" si="414"/>
        <v>2</v>
      </c>
      <c r="R1490">
        <f t="shared" si="415"/>
        <v>4</v>
      </c>
      <c r="S1490">
        <f t="shared" si="416"/>
        <v>4</v>
      </c>
      <c r="T1490">
        <f t="shared" si="417"/>
        <v>3</v>
      </c>
      <c r="U1490">
        <v>1000</v>
      </c>
      <c r="V1490">
        <f t="shared" si="418"/>
        <v>0</v>
      </c>
      <c r="W1490">
        <f t="shared" si="419"/>
        <v>0</v>
      </c>
      <c r="X1490">
        <f t="shared" si="420"/>
        <v>0</v>
      </c>
      <c r="Y1490">
        <f t="shared" si="421"/>
        <v>0</v>
      </c>
      <c r="Z1490">
        <f t="shared" si="422"/>
        <v>1</v>
      </c>
      <c r="AA1490">
        <f t="shared" si="423"/>
        <v>0</v>
      </c>
      <c r="AB1490">
        <f t="shared" si="424"/>
        <v>1</v>
      </c>
      <c r="AC1490">
        <f t="shared" si="425"/>
        <v>0</v>
      </c>
      <c r="AD1490">
        <f t="shared" si="426"/>
        <v>0</v>
      </c>
      <c r="AE1490">
        <f t="shared" si="427"/>
        <v>0</v>
      </c>
      <c r="AF1490">
        <f t="shared" si="428"/>
        <v>1</v>
      </c>
      <c r="AG1490">
        <f t="shared" si="429"/>
        <v>0</v>
      </c>
      <c r="AH1490">
        <f t="shared" si="430"/>
        <v>0</v>
      </c>
      <c r="AI1490">
        <f t="shared" si="431"/>
        <v>0</v>
      </c>
    </row>
    <row r="1491" spans="1:35" x14ac:dyDescent="0.2">
      <c r="A1491">
        <v>366</v>
      </c>
      <c r="B1491" t="s">
        <v>1398</v>
      </c>
      <c r="C1491">
        <v>4</v>
      </c>
      <c r="D1491" t="s">
        <v>4039</v>
      </c>
      <c r="E1491" t="s">
        <v>21</v>
      </c>
      <c r="F1491" t="s">
        <v>39</v>
      </c>
      <c r="G1491" t="s">
        <v>39</v>
      </c>
      <c r="H1491" t="s">
        <v>21</v>
      </c>
      <c r="I1491">
        <v>2</v>
      </c>
      <c r="J1491">
        <v>2</v>
      </c>
      <c r="K1491">
        <v>30</v>
      </c>
      <c r="L1491" t="s">
        <v>230</v>
      </c>
      <c r="M1491" t="s">
        <v>468</v>
      </c>
      <c r="N1491" t="s">
        <v>43</v>
      </c>
      <c r="O1491" t="s">
        <v>4040</v>
      </c>
      <c r="P1491" t="s">
        <v>4041</v>
      </c>
      <c r="Q1491">
        <f t="shared" si="414"/>
        <v>1</v>
      </c>
      <c r="R1491">
        <f t="shared" si="415"/>
        <v>5</v>
      </c>
      <c r="S1491">
        <f t="shared" si="416"/>
        <v>5</v>
      </c>
      <c r="T1491">
        <f t="shared" si="417"/>
        <v>1</v>
      </c>
      <c r="U1491">
        <v>30</v>
      </c>
      <c r="V1491">
        <f t="shared" si="418"/>
        <v>1</v>
      </c>
      <c r="W1491">
        <f t="shared" si="419"/>
        <v>1</v>
      </c>
      <c r="X1491">
        <f t="shared" si="420"/>
        <v>1</v>
      </c>
      <c r="Y1491">
        <f t="shared" si="421"/>
        <v>1</v>
      </c>
      <c r="Z1491">
        <f t="shared" si="422"/>
        <v>1</v>
      </c>
      <c r="AA1491">
        <f t="shared" si="423"/>
        <v>1</v>
      </c>
      <c r="AB1491">
        <f t="shared" si="424"/>
        <v>1</v>
      </c>
      <c r="AC1491">
        <f t="shared" si="425"/>
        <v>1</v>
      </c>
      <c r="AD1491">
        <f t="shared" si="426"/>
        <v>1</v>
      </c>
      <c r="AE1491">
        <f t="shared" si="427"/>
        <v>1</v>
      </c>
      <c r="AF1491">
        <f t="shared" si="428"/>
        <v>1</v>
      </c>
      <c r="AG1491">
        <f t="shared" si="429"/>
        <v>1</v>
      </c>
      <c r="AH1491">
        <f t="shared" si="430"/>
        <v>0</v>
      </c>
      <c r="AI1491">
        <f t="shared" si="431"/>
        <v>0</v>
      </c>
    </row>
    <row r="1492" spans="1:35" x14ac:dyDescent="0.2">
      <c r="A1492">
        <v>367</v>
      </c>
      <c r="B1492" t="s">
        <v>1398</v>
      </c>
      <c r="C1492">
        <v>3</v>
      </c>
      <c r="D1492" t="s">
        <v>4042</v>
      </c>
      <c r="E1492" t="s">
        <v>21</v>
      </c>
      <c r="F1492" t="s">
        <v>39</v>
      </c>
      <c r="G1492" t="s">
        <v>39</v>
      </c>
      <c r="H1492" t="s">
        <v>21</v>
      </c>
      <c r="I1492">
        <v>3</v>
      </c>
      <c r="J1492">
        <v>2</v>
      </c>
      <c r="K1492">
        <v>2000000</v>
      </c>
      <c r="L1492" t="s">
        <v>776</v>
      </c>
      <c r="M1492" t="s">
        <v>468</v>
      </c>
      <c r="N1492" t="s">
        <v>215</v>
      </c>
      <c r="O1492" t="s">
        <v>4043</v>
      </c>
      <c r="P1492" t="s">
        <v>4044</v>
      </c>
      <c r="Q1492">
        <f t="shared" si="414"/>
        <v>1</v>
      </c>
      <c r="R1492">
        <f t="shared" si="415"/>
        <v>5</v>
      </c>
      <c r="S1492">
        <f t="shared" si="416"/>
        <v>5</v>
      </c>
      <c r="T1492">
        <f t="shared" si="417"/>
        <v>1</v>
      </c>
      <c r="U1492">
        <v>2000000</v>
      </c>
      <c r="V1492">
        <f t="shared" si="418"/>
        <v>0</v>
      </c>
      <c r="W1492">
        <f t="shared" si="419"/>
        <v>1</v>
      </c>
      <c r="X1492">
        <f t="shared" si="420"/>
        <v>0</v>
      </c>
      <c r="Y1492">
        <f t="shared" si="421"/>
        <v>1</v>
      </c>
      <c r="Z1492">
        <f t="shared" si="422"/>
        <v>0</v>
      </c>
      <c r="AA1492">
        <f t="shared" si="423"/>
        <v>1</v>
      </c>
      <c r="AB1492">
        <f t="shared" si="424"/>
        <v>1</v>
      </c>
      <c r="AC1492">
        <f t="shared" si="425"/>
        <v>1</v>
      </c>
      <c r="AD1492">
        <f t="shared" si="426"/>
        <v>1</v>
      </c>
      <c r="AE1492">
        <f t="shared" si="427"/>
        <v>1</v>
      </c>
      <c r="AF1492">
        <f t="shared" si="428"/>
        <v>1</v>
      </c>
      <c r="AG1492">
        <f t="shared" si="429"/>
        <v>0</v>
      </c>
      <c r="AH1492">
        <f t="shared" si="430"/>
        <v>0</v>
      </c>
      <c r="AI1492">
        <f t="shared" si="431"/>
        <v>0</v>
      </c>
    </row>
    <row r="1493" spans="1:35" x14ac:dyDescent="0.2">
      <c r="A1493">
        <v>368</v>
      </c>
      <c r="B1493" t="s">
        <v>1398</v>
      </c>
      <c r="C1493">
        <v>3</v>
      </c>
      <c r="D1493" t="s">
        <v>4045</v>
      </c>
      <c r="E1493" t="s">
        <v>21</v>
      </c>
      <c r="F1493" t="s">
        <v>39</v>
      </c>
      <c r="G1493" t="s">
        <v>39</v>
      </c>
      <c r="H1493" t="s">
        <v>21</v>
      </c>
      <c r="I1493">
        <v>1</v>
      </c>
      <c r="J1493">
        <v>3</v>
      </c>
      <c r="K1493" s="1">
        <v>40</v>
      </c>
      <c r="L1493" t="s">
        <v>28</v>
      </c>
      <c r="M1493" t="s">
        <v>115</v>
      </c>
      <c r="N1493" t="s">
        <v>215</v>
      </c>
      <c r="O1493" t="s">
        <v>4046</v>
      </c>
      <c r="P1493" t="s">
        <v>4047</v>
      </c>
      <c r="Q1493">
        <f t="shared" si="414"/>
        <v>1</v>
      </c>
      <c r="R1493">
        <f t="shared" si="415"/>
        <v>5</v>
      </c>
      <c r="S1493">
        <f t="shared" si="416"/>
        <v>5</v>
      </c>
      <c r="T1493">
        <f t="shared" si="417"/>
        <v>1</v>
      </c>
      <c r="U1493">
        <v>40</v>
      </c>
      <c r="V1493">
        <f t="shared" si="418"/>
        <v>1</v>
      </c>
      <c r="W1493">
        <f t="shared" si="419"/>
        <v>1</v>
      </c>
      <c r="X1493">
        <f t="shared" si="420"/>
        <v>0</v>
      </c>
      <c r="Y1493">
        <f t="shared" si="421"/>
        <v>0</v>
      </c>
      <c r="Z1493">
        <f t="shared" si="422"/>
        <v>0</v>
      </c>
      <c r="AA1493">
        <f t="shared" si="423"/>
        <v>0</v>
      </c>
      <c r="AB1493">
        <f t="shared" si="424"/>
        <v>0</v>
      </c>
      <c r="AC1493">
        <f t="shared" si="425"/>
        <v>1</v>
      </c>
      <c r="AD1493">
        <f t="shared" si="426"/>
        <v>0</v>
      </c>
      <c r="AE1493">
        <f t="shared" si="427"/>
        <v>0</v>
      </c>
      <c r="AF1493">
        <f t="shared" si="428"/>
        <v>1</v>
      </c>
      <c r="AG1493">
        <f t="shared" si="429"/>
        <v>0</v>
      </c>
      <c r="AH1493">
        <f t="shared" si="430"/>
        <v>0</v>
      </c>
      <c r="AI1493">
        <f t="shared" si="431"/>
        <v>0</v>
      </c>
    </row>
    <row r="1494" spans="1:35" x14ac:dyDescent="0.2">
      <c r="A1494">
        <v>369</v>
      </c>
      <c r="B1494" t="s">
        <v>1398</v>
      </c>
      <c r="C1494">
        <v>2</v>
      </c>
      <c r="D1494" t="s">
        <v>4048</v>
      </c>
      <c r="E1494" t="s">
        <v>18</v>
      </c>
      <c r="F1494" t="s">
        <v>39</v>
      </c>
      <c r="G1494" t="s">
        <v>18</v>
      </c>
      <c r="H1494" t="s">
        <v>21</v>
      </c>
      <c r="I1494">
        <v>2</v>
      </c>
      <c r="J1494">
        <v>1</v>
      </c>
      <c r="K1494" s="1">
        <v>100</v>
      </c>
      <c r="L1494" t="s">
        <v>562</v>
      </c>
      <c r="M1494" t="s">
        <v>48</v>
      </c>
      <c r="N1494" t="s">
        <v>43</v>
      </c>
      <c r="O1494" t="s">
        <v>1419</v>
      </c>
      <c r="P1494" t="s">
        <v>4049</v>
      </c>
      <c r="Q1494">
        <f t="shared" si="414"/>
        <v>4</v>
      </c>
      <c r="R1494">
        <f t="shared" si="415"/>
        <v>5</v>
      </c>
      <c r="S1494">
        <f t="shared" si="416"/>
        <v>4</v>
      </c>
      <c r="T1494">
        <f t="shared" si="417"/>
        <v>1</v>
      </c>
      <c r="U1494">
        <v>100</v>
      </c>
      <c r="V1494">
        <f t="shared" si="418"/>
        <v>0</v>
      </c>
      <c r="W1494">
        <f t="shared" si="419"/>
        <v>1</v>
      </c>
      <c r="X1494">
        <f t="shared" si="420"/>
        <v>1</v>
      </c>
      <c r="Y1494">
        <f t="shared" si="421"/>
        <v>0</v>
      </c>
      <c r="Z1494">
        <f t="shared" si="422"/>
        <v>1</v>
      </c>
      <c r="AA1494">
        <f t="shared" si="423"/>
        <v>1</v>
      </c>
      <c r="AB1494">
        <f t="shared" si="424"/>
        <v>1</v>
      </c>
      <c r="AC1494">
        <f t="shared" si="425"/>
        <v>1</v>
      </c>
      <c r="AD1494">
        <f t="shared" si="426"/>
        <v>0</v>
      </c>
      <c r="AE1494">
        <f t="shared" si="427"/>
        <v>0</v>
      </c>
      <c r="AF1494">
        <f t="shared" si="428"/>
        <v>1</v>
      </c>
      <c r="AG1494">
        <f t="shared" si="429"/>
        <v>1</v>
      </c>
      <c r="AH1494">
        <f t="shared" si="430"/>
        <v>0</v>
      </c>
      <c r="AI1494">
        <f t="shared" si="431"/>
        <v>0</v>
      </c>
    </row>
    <row r="1495" spans="1:35" x14ac:dyDescent="0.2">
      <c r="A1495">
        <v>370</v>
      </c>
      <c r="B1495" t="s">
        <v>1398</v>
      </c>
      <c r="C1495">
        <v>2</v>
      </c>
      <c r="D1495" t="s">
        <v>4050</v>
      </c>
      <c r="E1495" t="s">
        <v>21</v>
      </c>
      <c r="F1495" t="s">
        <v>18</v>
      </c>
      <c r="G1495" t="s">
        <v>39</v>
      </c>
      <c r="H1495" t="s">
        <v>21</v>
      </c>
      <c r="I1495">
        <v>2</v>
      </c>
      <c r="J1495">
        <v>3</v>
      </c>
      <c r="K1495">
        <v>150</v>
      </c>
      <c r="L1495" t="s">
        <v>230</v>
      </c>
      <c r="M1495" t="s">
        <v>980</v>
      </c>
      <c r="N1495" t="s">
        <v>822</v>
      </c>
      <c r="O1495" t="s">
        <v>909</v>
      </c>
      <c r="P1495" t="s">
        <v>4051</v>
      </c>
      <c r="Q1495">
        <f t="shared" si="414"/>
        <v>1</v>
      </c>
      <c r="R1495">
        <f t="shared" si="415"/>
        <v>4</v>
      </c>
      <c r="S1495">
        <f t="shared" si="416"/>
        <v>5</v>
      </c>
      <c r="T1495">
        <f t="shared" si="417"/>
        <v>1</v>
      </c>
      <c r="U1495">
        <v>150</v>
      </c>
      <c r="V1495">
        <f t="shared" si="418"/>
        <v>1</v>
      </c>
      <c r="W1495">
        <f t="shared" si="419"/>
        <v>1</v>
      </c>
      <c r="X1495">
        <f t="shared" si="420"/>
        <v>1</v>
      </c>
      <c r="Y1495">
        <f t="shared" si="421"/>
        <v>1</v>
      </c>
      <c r="Z1495">
        <f t="shared" si="422"/>
        <v>1</v>
      </c>
      <c r="AA1495">
        <f t="shared" si="423"/>
        <v>1</v>
      </c>
      <c r="AB1495">
        <f t="shared" si="424"/>
        <v>0</v>
      </c>
      <c r="AC1495">
        <f t="shared" si="425"/>
        <v>1</v>
      </c>
      <c r="AD1495">
        <f t="shared" si="426"/>
        <v>1</v>
      </c>
      <c r="AE1495">
        <f t="shared" si="427"/>
        <v>0</v>
      </c>
      <c r="AF1495">
        <f t="shared" si="428"/>
        <v>1</v>
      </c>
      <c r="AG1495">
        <f t="shared" si="429"/>
        <v>1</v>
      </c>
      <c r="AH1495">
        <f t="shared" si="430"/>
        <v>1</v>
      </c>
      <c r="AI1495">
        <f t="shared" si="431"/>
        <v>0</v>
      </c>
    </row>
    <row r="1496" spans="1:35" x14ac:dyDescent="0.2">
      <c r="A1496">
        <v>371</v>
      </c>
      <c r="B1496" t="s">
        <v>1398</v>
      </c>
      <c r="C1496">
        <v>8</v>
      </c>
      <c r="D1496" t="s">
        <v>4052</v>
      </c>
      <c r="E1496" t="s">
        <v>19</v>
      </c>
      <c r="F1496" t="s">
        <v>18</v>
      </c>
      <c r="G1496" t="s">
        <v>39</v>
      </c>
      <c r="H1496" t="s">
        <v>20</v>
      </c>
      <c r="I1496">
        <v>6</v>
      </c>
      <c r="J1496">
        <v>6</v>
      </c>
      <c r="K1496">
        <v>1000</v>
      </c>
      <c r="L1496" t="s">
        <v>494</v>
      </c>
      <c r="M1496" t="s">
        <v>468</v>
      </c>
      <c r="N1496" t="s">
        <v>84</v>
      </c>
      <c r="O1496" t="s">
        <v>1240</v>
      </c>
      <c r="P1496" t="s">
        <v>4053</v>
      </c>
      <c r="Q1496">
        <f t="shared" si="414"/>
        <v>3</v>
      </c>
      <c r="R1496">
        <f t="shared" si="415"/>
        <v>4</v>
      </c>
      <c r="S1496">
        <f t="shared" si="416"/>
        <v>5</v>
      </c>
      <c r="T1496">
        <f t="shared" si="417"/>
        <v>2</v>
      </c>
      <c r="U1496">
        <v>1000</v>
      </c>
      <c r="V1496">
        <f t="shared" si="418"/>
        <v>0</v>
      </c>
      <c r="W1496">
        <f t="shared" si="419"/>
        <v>1</v>
      </c>
      <c r="X1496">
        <f t="shared" si="420"/>
        <v>1</v>
      </c>
      <c r="Y1496">
        <f t="shared" si="421"/>
        <v>1</v>
      </c>
      <c r="Z1496">
        <f t="shared" si="422"/>
        <v>1</v>
      </c>
      <c r="AA1496">
        <f t="shared" si="423"/>
        <v>1</v>
      </c>
      <c r="AB1496">
        <f t="shared" si="424"/>
        <v>1</v>
      </c>
      <c r="AC1496">
        <f t="shared" si="425"/>
        <v>1</v>
      </c>
      <c r="AD1496">
        <f t="shared" si="426"/>
        <v>1</v>
      </c>
      <c r="AE1496">
        <f t="shared" si="427"/>
        <v>1</v>
      </c>
      <c r="AF1496">
        <f t="shared" si="428"/>
        <v>0</v>
      </c>
      <c r="AG1496">
        <f t="shared" si="429"/>
        <v>1</v>
      </c>
      <c r="AH1496">
        <f t="shared" si="430"/>
        <v>0</v>
      </c>
      <c r="AI1496">
        <f t="shared" si="431"/>
        <v>0</v>
      </c>
    </row>
    <row r="1497" spans="1:35" x14ac:dyDescent="0.2">
      <c r="A1497">
        <v>372</v>
      </c>
      <c r="B1497" t="s">
        <v>1398</v>
      </c>
      <c r="C1497">
        <v>7</v>
      </c>
      <c r="D1497" t="s">
        <v>4054</v>
      </c>
      <c r="E1497" t="s">
        <v>21</v>
      </c>
      <c r="F1497" t="s">
        <v>39</v>
      </c>
      <c r="G1497" t="s">
        <v>39</v>
      </c>
      <c r="H1497" t="s">
        <v>21</v>
      </c>
      <c r="I1497">
        <v>3</v>
      </c>
      <c r="J1497">
        <v>1</v>
      </c>
      <c r="K1497">
        <v>100</v>
      </c>
      <c r="L1497" t="s">
        <v>494</v>
      </c>
      <c r="M1497" t="s">
        <v>48</v>
      </c>
      <c r="N1497" t="s">
        <v>215</v>
      </c>
      <c r="O1497" t="s">
        <v>4055</v>
      </c>
      <c r="P1497" t="s">
        <v>4056</v>
      </c>
      <c r="Q1497">
        <f t="shared" si="414"/>
        <v>1</v>
      </c>
      <c r="R1497">
        <f t="shared" si="415"/>
        <v>5</v>
      </c>
      <c r="S1497">
        <f t="shared" si="416"/>
        <v>5</v>
      </c>
      <c r="T1497">
        <f t="shared" si="417"/>
        <v>1</v>
      </c>
      <c r="U1497">
        <v>100</v>
      </c>
      <c r="V1497">
        <f t="shared" si="418"/>
        <v>0</v>
      </c>
      <c r="W1497">
        <f t="shared" si="419"/>
        <v>1</v>
      </c>
      <c r="X1497">
        <f t="shared" si="420"/>
        <v>1</v>
      </c>
      <c r="Y1497">
        <f t="shared" si="421"/>
        <v>1</v>
      </c>
      <c r="Z1497">
        <f t="shared" si="422"/>
        <v>1</v>
      </c>
      <c r="AA1497">
        <f t="shared" si="423"/>
        <v>1</v>
      </c>
      <c r="AB1497">
        <f t="shared" si="424"/>
        <v>1</v>
      </c>
      <c r="AC1497">
        <f t="shared" si="425"/>
        <v>1</v>
      </c>
      <c r="AD1497">
        <f t="shared" si="426"/>
        <v>0</v>
      </c>
      <c r="AE1497">
        <f t="shared" si="427"/>
        <v>0</v>
      </c>
      <c r="AF1497">
        <f t="shared" si="428"/>
        <v>1</v>
      </c>
      <c r="AG1497">
        <f t="shared" si="429"/>
        <v>0</v>
      </c>
      <c r="AH1497">
        <f t="shared" si="430"/>
        <v>0</v>
      </c>
      <c r="AI1497">
        <f t="shared" si="431"/>
        <v>0</v>
      </c>
    </row>
    <row r="1498" spans="1:35" x14ac:dyDescent="0.2">
      <c r="A1498">
        <v>373</v>
      </c>
      <c r="B1498" t="s">
        <v>1398</v>
      </c>
      <c r="C1498">
        <v>8</v>
      </c>
      <c r="D1498" t="s">
        <v>816</v>
      </c>
      <c r="E1498" t="s">
        <v>21</v>
      </c>
      <c r="F1498" t="s">
        <v>19</v>
      </c>
      <c r="G1498" t="s">
        <v>18</v>
      </c>
      <c r="H1498" t="s">
        <v>20</v>
      </c>
      <c r="I1498">
        <v>6</v>
      </c>
      <c r="J1498">
        <v>2</v>
      </c>
      <c r="K1498">
        <v>40</v>
      </c>
      <c r="L1498" t="s">
        <v>22</v>
      </c>
      <c r="M1498" t="s">
        <v>23</v>
      </c>
      <c r="N1498" t="s">
        <v>84</v>
      </c>
      <c r="O1498" t="s">
        <v>1805</v>
      </c>
      <c r="P1498" t="s">
        <v>4057</v>
      </c>
      <c r="Q1498">
        <f t="shared" si="414"/>
        <v>1</v>
      </c>
      <c r="R1498">
        <f t="shared" si="415"/>
        <v>3</v>
      </c>
      <c r="S1498">
        <f t="shared" si="416"/>
        <v>4</v>
      </c>
      <c r="T1498">
        <f t="shared" si="417"/>
        <v>2</v>
      </c>
      <c r="U1498">
        <v>40</v>
      </c>
      <c r="V1498">
        <f t="shared" si="418"/>
        <v>1</v>
      </c>
      <c r="W1498">
        <f t="shared" si="419"/>
        <v>0</v>
      </c>
      <c r="X1498">
        <f t="shared" si="420"/>
        <v>0</v>
      </c>
      <c r="Y1498">
        <f t="shared" si="421"/>
        <v>0</v>
      </c>
      <c r="Z1498">
        <f t="shared" si="422"/>
        <v>0</v>
      </c>
      <c r="AA1498">
        <f t="shared" si="423"/>
        <v>1</v>
      </c>
      <c r="AB1498">
        <f t="shared" si="424"/>
        <v>0</v>
      </c>
      <c r="AC1498">
        <f t="shared" si="425"/>
        <v>0</v>
      </c>
      <c r="AD1498">
        <f t="shared" si="426"/>
        <v>0</v>
      </c>
      <c r="AE1498">
        <f t="shared" si="427"/>
        <v>0</v>
      </c>
      <c r="AF1498">
        <f t="shared" si="428"/>
        <v>0</v>
      </c>
      <c r="AG1498">
        <f t="shared" si="429"/>
        <v>1</v>
      </c>
      <c r="AH1498">
        <f t="shared" si="430"/>
        <v>0</v>
      </c>
      <c r="AI1498">
        <f t="shared" si="431"/>
        <v>0</v>
      </c>
    </row>
    <row r="1499" spans="1:35" x14ac:dyDescent="0.2">
      <c r="A1499">
        <v>374</v>
      </c>
      <c r="B1499" t="s">
        <v>1398</v>
      </c>
      <c r="C1499">
        <v>6</v>
      </c>
      <c r="D1499" t="s">
        <v>4058</v>
      </c>
      <c r="E1499" t="s">
        <v>20</v>
      </c>
      <c r="F1499" t="s">
        <v>18</v>
      </c>
      <c r="G1499" t="s">
        <v>20</v>
      </c>
      <c r="H1499" t="s">
        <v>21</v>
      </c>
      <c r="I1499">
        <v>3</v>
      </c>
      <c r="J1499">
        <v>1</v>
      </c>
      <c r="K1499" s="1">
        <v>40</v>
      </c>
      <c r="L1499" t="s">
        <v>22</v>
      </c>
      <c r="M1499" t="s">
        <v>115</v>
      </c>
      <c r="N1499" t="s">
        <v>84</v>
      </c>
      <c r="O1499" t="s">
        <v>4059</v>
      </c>
      <c r="P1499" t="s">
        <v>4060</v>
      </c>
      <c r="Q1499">
        <f t="shared" si="414"/>
        <v>2</v>
      </c>
      <c r="R1499">
        <f t="shared" si="415"/>
        <v>4</v>
      </c>
      <c r="S1499">
        <f t="shared" si="416"/>
        <v>2</v>
      </c>
      <c r="T1499">
        <f t="shared" si="417"/>
        <v>1</v>
      </c>
      <c r="U1499">
        <v>40</v>
      </c>
      <c r="V1499">
        <f t="shared" si="418"/>
        <v>1</v>
      </c>
      <c r="W1499">
        <f t="shared" si="419"/>
        <v>0</v>
      </c>
      <c r="X1499">
        <f t="shared" si="420"/>
        <v>0</v>
      </c>
      <c r="Y1499">
        <f t="shared" si="421"/>
        <v>0</v>
      </c>
      <c r="Z1499">
        <f t="shared" si="422"/>
        <v>0</v>
      </c>
      <c r="AA1499">
        <f t="shared" si="423"/>
        <v>0</v>
      </c>
      <c r="AB1499">
        <f t="shared" si="424"/>
        <v>0</v>
      </c>
      <c r="AC1499">
        <f t="shared" si="425"/>
        <v>1</v>
      </c>
      <c r="AD1499">
        <f t="shared" si="426"/>
        <v>0</v>
      </c>
      <c r="AE1499">
        <f t="shared" si="427"/>
        <v>0</v>
      </c>
      <c r="AF1499">
        <f t="shared" si="428"/>
        <v>0</v>
      </c>
      <c r="AG1499">
        <f t="shared" si="429"/>
        <v>1</v>
      </c>
      <c r="AH1499">
        <f t="shared" si="430"/>
        <v>0</v>
      </c>
      <c r="AI1499">
        <f t="shared" si="431"/>
        <v>0</v>
      </c>
    </row>
    <row r="1500" spans="1:35" x14ac:dyDescent="0.2">
      <c r="A1500">
        <v>375</v>
      </c>
      <c r="B1500" t="s">
        <v>1398</v>
      </c>
      <c r="C1500">
        <v>6</v>
      </c>
      <c r="D1500" t="s">
        <v>4061</v>
      </c>
      <c r="E1500" t="s">
        <v>21</v>
      </c>
      <c r="F1500" t="s">
        <v>18</v>
      </c>
      <c r="G1500" t="s">
        <v>39</v>
      </c>
      <c r="H1500" t="s">
        <v>21</v>
      </c>
      <c r="I1500">
        <v>4</v>
      </c>
      <c r="J1500">
        <v>3</v>
      </c>
      <c r="K1500" s="1">
        <v>300</v>
      </c>
      <c r="L1500" t="s">
        <v>494</v>
      </c>
      <c r="M1500" t="s">
        <v>280</v>
      </c>
      <c r="N1500" t="s">
        <v>43</v>
      </c>
      <c r="O1500" t="s">
        <v>4062</v>
      </c>
      <c r="P1500" t="s">
        <v>4063</v>
      </c>
      <c r="Q1500">
        <f t="shared" si="414"/>
        <v>1</v>
      </c>
      <c r="R1500">
        <f t="shared" si="415"/>
        <v>4</v>
      </c>
      <c r="S1500">
        <f t="shared" si="416"/>
        <v>5</v>
      </c>
      <c r="T1500">
        <f t="shared" si="417"/>
        <v>1</v>
      </c>
      <c r="U1500">
        <v>300</v>
      </c>
      <c r="V1500">
        <f t="shared" si="418"/>
        <v>0</v>
      </c>
      <c r="W1500">
        <f t="shared" si="419"/>
        <v>1</v>
      </c>
      <c r="X1500">
        <f t="shared" si="420"/>
        <v>1</v>
      </c>
      <c r="Y1500">
        <f t="shared" si="421"/>
        <v>1</v>
      </c>
      <c r="Z1500">
        <f t="shared" si="422"/>
        <v>1</v>
      </c>
      <c r="AA1500">
        <f t="shared" si="423"/>
        <v>0</v>
      </c>
      <c r="AB1500">
        <f t="shared" si="424"/>
        <v>1</v>
      </c>
      <c r="AC1500">
        <f t="shared" si="425"/>
        <v>1</v>
      </c>
      <c r="AD1500">
        <f t="shared" si="426"/>
        <v>1</v>
      </c>
      <c r="AE1500">
        <f t="shared" si="427"/>
        <v>0</v>
      </c>
      <c r="AF1500">
        <f t="shared" si="428"/>
        <v>1</v>
      </c>
      <c r="AG1500">
        <f t="shared" si="429"/>
        <v>1</v>
      </c>
      <c r="AH1500">
        <f t="shared" si="430"/>
        <v>0</v>
      </c>
      <c r="AI1500">
        <f t="shared" si="431"/>
        <v>0</v>
      </c>
    </row>
    <row r="1501" spans="1:35" x14ac:dyDescent="0.2">
      <c r="A1501">
        <v>376</v>
      </c>
      <c r="B1501" t="s">
        <v>1398</v>
      </c>
      <c r="C1501">
        <v>6</v>
      </c>
      <c r="D1501" t="s">
        <v>1379</v>
      </c>
      <c r="E1501" t="s">
        <v>19</v>
      </c>
      <c r="F1501" t="s">
        <v>18</v>
      </c>
      <c r="G1501" t="s">
        <v>39</v>
      </c>
      <c r="H1501" t="s">
        <v>21</v>
      </c>
      <c r="I1501">
        <v>12</v>
      </c>
      <c r="J1501">
        <v>4</v>
      </c>
      <c r="K1501" s="1">
        <v>40</v>
      </c>
      <c r="L1501" t="s">
        <v>70</v>
      </c>
      <c r="M1501" t="s">
        <v>115</v>
      </c>
      <c r="N1501" t="s">
        <v>822</v>
      </c>
      <c r="O1501" t="s">
        <v>4064</v>
      </c>
      <c r="P1501" t="s">
        <v>4065</v>
      </c>
      <c r="Q1501">
        <f t="shared" si="414"/>
        <v>3</v>
      </c>
      <c r="R1501">
        <f t="shared" si="415"/>
        <v>4</v>
      </c>
      <c r="S1501">
        <f t="shared" si="416"/>
        <v>5</v>
      </c>
      <c r="T1501">
        <f t="shared" si="417"/>
        <v>1</v>
      </c>
      <c r="U1501">
        <v>40</v>
      </c>
      <c r="V1501">
        <f t="shared" si="418"/>
        <v>0</v>
      </c>
      <c r="W1501">
        <f t="shared" si="419"/>
        <v>0</v>
      </c>
      <c r="X1501">
        <f t="shared" si="420"/>
        <v>0</v>
      </c>
      <c r="Y1501">
        <f t="shared" si="421"/>
        <v>1</v>
      </c>
      <c r="Z1501">
        <f t="shared" si="422"/>
        <v>0</v>
      </c>
      <c r="AA1501">
        <f t="shared" si="423"/>
        <v>0</v>
      </c>
      <c r="AB1501">
        <f t="shared" si="424"/>
        <v>0</v>
      </c>
      <c r="AC1501">
        <f t="shared" si="425"/>
        <v>1</v>
      </c>
      <c r="AD1501">
        <f t="shared" si="426"/>
        <v>0</v>
      </c>
      <c r="AE1501">
        <f t="shared" si="427"/>
        <v>0</v>
      </c>
      <c r="AF1501">
        <f t="shared" si="428"/>
        <v>1</v>
      </c>
      <c r="AG1501">
        <f t="shared" si="429"/>
        <v>1</v>
      </c>
      <c r="AH1501">
        <f t="shared" si="430"/>
        <v>1</v>
      </c>
      <c r="AI1501">
        <f t="shared" si="431"/>
        <v>0</v>
      </c>
    </row>
    <row r="1502" spans="1:35" x14ac:dyDescent="0.2">
      <c r="A1502">
        <v>377</v>
      </c>
      <c r="B1502" t="s">
        <v>1398</v>
      </c>
      <c r="C1502">
        <v>10</v>
      </c>
      <c r="D1502" t="s">
        <v>4066</v>
      </c>
      <c r="E1502" t="s">
        <v>21</v>
      </c>
      <c r="F1502" t="s">
        <v>39</v>
      </c>
      <c r="G1502" t="s">
        <v>39</v>
      </c>
      <c r="H1502" t="s">
        <v>21</v>
      </c>
      <c r="I1502">
        <v>5</v>
      </c>
      <c r="J1502">
        <v>1</v>
      </c>
      <c r="K1502" s="1">
        <v>100</v>
      </c>
      <c r="L1502" t="s">
        <v>194</v>
      </c>
      <c r="M1502" t="s">
        <v>123</v>
      </c>
      <c r="N1502" t="s">
        <v>43</v>
      </c>
      <c r="O1502" t="s">
        <v>4067</v>
      </c>
      <c r="P1502" t="s">
        <v>4068</v>
      </c>
      <c r="Q1502">
        <f t="shared" si="414"/>
        <v>1</v>
      </c>
      <c r="R1502">
        <f t="shared" si="415"/>
        <v>5</v>
      </c>
      <c r="S1502">
        <f t="shared" si="416"/>
        <v>5</v>
      </c>
      <c r="T1502">
        <f t="shared" si="417"/>
        <v>1</v>
      </c>
      <c r="U1502">
        <v>100</v>
      </c>
      <c r="V1502">
        <f t="shared" si="418"/>
        <v>0</v>
      </c>
      <c r="W1502">
        <f t="shared" si="419"/>
        <v>0</v>
      </c>
      <c r="X1502">
        <f t="shared" si="420"/>
        <v>0</v>
      </c>
      <c r="Y1502">
        <f t="shared" si="421"/>
        <v>1</v>
      </c>
      <c r="Z1502">
        <f t="shared" si="422"/>
        <v>1</v>
      </c>
      <c r="AA1502">
        <f t="shared" si="423"/>
        <v>0</v>
      </c>
      <c r="AB1502">
        <f t="shared" si="424"/>
        <v>1</v>
      </c>
      <c r="AC1502">
        <f t="shared" si="425"/>
        <v>1</v>
      </c>
      <c r="AD1502">
        <f t="shared" si="426"/>
        <v>0</v>
      </c>
      <c r="AE1502">
        <f t="shared" si="427"/>
        <v>0</v>
      </c>
      <c r="AF1502">
        <f t="shared" si="428"/>
        <v>1</v>
      </c>
      <c r="AG1502">
        <f t="shared" si="429"/>
        <v>1</v>
      </c>
      <c r="AH1502">
        <f t="shared" si="430"/>
        <v>0</v>
      </c>
      <c r="AI1502">
        <f t="shared" si="431"/>
        <v>0</v>
      </c>
    </row>
    <row r="1503" spans="1:35" x14ac:dyDescent="0.2">
      <c r="A1503">
        <v>378</v>
      </c>
      <c r="B1503" t="s">
        <v>1398</v>
      </c>
      <c r="C1503">
        <v>10</v>
      </c>
      <c r="D1503" t="s">
        <v>4069</v>
      </c>
      <c r="E1503" t="s">
        <v>21</v>
      </c>
      <c r="F1503" t="s">
        <v>39</v>
      </c>
      <c r="G1503" t="s">
        <v>39</v>
      </c>
      <c r="H1503" t="s">
        <v>21</v>
      </c>
      <c r="I1503">
        <v>5</v>
      </c>
      <c r="J1503">
        <v>4</v>
      </c>
      <c r="K1503" t="s">
        <v>4070</v>
      </c>
      <c r="L1503" t="s">
        <v>601</v>
      </c>
      <c r="M1503" t="s">
        <v>161</v>
      </c>
      <c r="N1503" t="s">
        <v>43</v>
      </c>
      <c r="O1503" t="s">
        <v>3856</v>
      </c>
      <c r="P1503" t="s">
        <v>4071</v>
      </c>
      <c r="Q1503">
        <f t="shared" si="414"/>
        <v>1</v>
      </c>
      <c r="R1503">
        <f t="shared" si="415"/>
        <v>5</v>
      </c>
      <c r="S1503">
        <f t="shared" si="416"/>
        <v>5</v>
      </c>
      <c r="T1503">
        <f t="shared" si="417"/>
        <v>1</v>
      </c>
      <c r="U1503">
        <v>10000</v>
      </c>
      <c r="V1503">
        <f t="shared" si="418"/>
        <v>0</v>
      </c>
      <c r="W1503">
        <f t="shared" si="419"/>
        <v>1</v>
      </c>
      <c r="X1503">
        <f t="shared" si="420"/>
        <v>0</v>
      </c>
      <c r="Y1503">
        <f t="shared" si="421"/>
        <v>1</v>
      </c>
      <c r="Z1503">
        <f t="shared" si="422"/>
        <v>1</v>
      </c>
      <c r="AA1503">
        <f t="shared" si="423"/>
        <v>1</v>
      </c>
      <c r="AB1503">
        <f t="shared" si="424"/>
        <v>1</v>
      </c>
      <c r="AC1503">
        <f t="shared" si="425"/>
        <v>1</v>
      </c>
      <c r="AD1503">
        <f t="shared" si="426"/>
        <v>1</v>
      </c>
      <c r="AE1503">
        <f t="shared" si="427"/>
        <v>0</v>
      </c>
      <c r="AF1503">
        <f t="shared" si="428"/>
        <v>1</v>
      </c>
      <c r="AG1503">
        <f t="shared" si="429"/>
        <v>1</v>
      </c>
      <c r="AH1503">
        <f t="shared" si="430"/>
        <v>0</v>
      </c>
      <c r="AI1503">
        <f t="shared" si="431"/>
        <v>0</v>
      </c>
    </row>
    <row r="1504" spans="1:35" x14ac:dyDescent="0.2">
      <c r="A1504">
        <v>379</v>
      </c>
      <c r="B1504" t="s">
        <v>1398</v>
      </c>
      <c r="C1504">
        <v>8</v>
      </c>
      <c r="D1504" t="s">
        <v>4072</v>
      </c>
      <c r="E1504" t="s">
        <v>21</v>
      </c>
      <c r="F1504" t="s">
        <v>39</v>
      </c>
      <c r="G1504" t="s">
        <v>18</v>
      </c>
      <c r="H1504" t="s">
        <v>21</v>
      </c>
      <c r="I1504">
        <v>6</v>
      </c>
      <c r="J1504">
        <v>4</v>
      </c>
      <c r="K1504" s="1">
        <v>60</v>
      </c>
      <c r="L1504" t="s">
        <v>98</v>
      </c>
      <c r="M1504" t="s">
        <v>468</v>
      </c>
      <c r="N1504" t="s">
        <v>84</v>
      </c>
      <c r="O1504" t="s">
        <v>4073</v>
      </c>
      <c r="P1504" t="s">
        <v>4074</v>
      </c>
      <c r="Q1504">
        <f t="shared" si="414"/>
        <v>1</v>
      </c>
      <c r="R1504">
        <f t="shared" si="415"/>
        <v>5</v>
      </c>
      <c r="S1504">
        <f t="shared" si="416"/>
        <v>4</v>
      </c>
      <c r="T1504">
        <f t="shared" si="417"/>
        <v>1</v>
      </c>
      <c r="U1504">
        <v>60</v>
      </c>
      <c r="V1504">
        <f t="shared" si="418"/>
        <v>0</v>
      </c>
      <c r="W1504">
        <f t="shared" si="419"/>
        <v>1</v>
      </c>
      <c r="X1504">
        <f t="shared" si="420"/>
        <v>0</v>
      </c>
      <c r="Y1504">
        <f t="shared" si="421"/>
        <v>0</v>
      </c>
      <c r="Z1504">
        <f t="shared" si="422"/>
        <v>0</v>
      </c>
      <c r="AA1504">
        <f t="shared" si="423"/>
        <v>1</v>
      </c>
      <c r="AB1504">
        <f t="shared" si="424"/>
        <v>1</v>
      </c>
      <c r="AC1504">
        <f t="shared" si="425"/>
        <v>1</v>
      </c>
      <c r="AD1504">
        <f t="shared" si="426"/>
        <v>1</v>
      </c>
      <c r="AE1504">
        <f t="shared" si="427"/>
        <v>1</v>
      </c>
      <c r="AF1504">
        <f t="shared" si="428"/>
        <v>0</v>
      </c>
      <c r="AG1504">
        <f t="shared" si="429"/>
        <v>1</v>
      </c>
      <c r="AH1504">
        <f t="shared" si="430"/>
        <v>0</v>
      </c>
      <c r="AI1504">
        <f t="shared" si="431"/>
        <v>0</v>
      </c>
    </row>
    <row r="1505" spans="1:35" x14ac:dyDescent="0.2">
      <c r="A1505">
        <v>380</v>
      </c>
      <c r="B1505" t="s">
        <v>1398</v>
      </c>
      <c r="C1505">
        <v>4</v>
      </c>
      <c r="D1505" t="s">
        <v>4075</v>
      </c>
      <c r="E1505" t="s">
        <v>21</v>
      </c>
      <c r="F1505" t="s">
        <v>18</v>
      </c>
      <c r="G1505" t="s">
        <v>18</v>
      </c>
      <c r="H1505" t="s">
        <v>21</v>
      </c>
      <c r="I1505">
        <v>2</v>
      </c>
      <c r="J1505">
        <v>2</v>
      </c>
      <c r="K1505" s="2">
        <v>500000</v>
      </c>
      <c r="L1505" t="s">
        <v>22</v>
      </c>
      <c r="M1505" t="s">
        <v>219</v>
      </c>
      <c r="N1505" t="s">
        <v>215</v>
      </c>
      <c r="O1505" t="s">
        <v>1419</v>
      </c>
      <c r="P1505" t="s">
        <v>4076</v>
      </c>
      <c r="Q1505">
        <f t="shared" si="414"/>
        <v>1</v>
      </c>
      <c r="R1505">
        <f t="shared" si="415"/>
        <v>4</v>
      </c>
      <c r="S1505">
        <f t="shared" si="416"/>
        <v>4</v>
      </c>
      <c r="T1505">
        <f t="shared" si="417"/>
        <v>1</v>
      </c>
      <c r="U1505">
        <v>500000</v>
      </c>
      <c r="V1505">
        <f t="shared" si="418"/>
        <v>1</v>
      </c>
      <c r="W1505">
        <f t="shared" si="419"/>
        <v>0</v>
      </c>
      <c r="X1505">
        <f t="shared" si="420"/>
        <v>0</v>
      </c>
      <c r="Y1505">
        <f t="shared" si="421"/>
        <v>0</v>
      </c>
      <c r="Z1505">
        <f t="shared" si="422"/>
        <v>0</v>
      </c>
      <c r="AA1505">
        <f t="shared" si="423"/>
        <v>0</v>
      </c>
      <c r="AB1505">
        <f t="shared" si="424"/>
        <v>0</v>
      </c>
      <c r="AC1505">
        <f t="shared" si="425"/>
        <v>0</v>
      </c>
      <c r="AD1505">
        <f t="shared" si="426"/>
        <v>0</v>
      </c>
      <c r="AE1505">
        <f t="shared" si="427"/>
        <v>1</v>
      </c>
      <c r="AF1505">
        <f t="shared" si="428"/>
        <v>1</v>
      </c>
      <c r="AG1505">
        <f t="shared" si="429"/>
        <v>0</v>
      </c>
      <c r="AH1505">
        <f t="shared" si="430"/>
        <v>0</v>
      </c>
      <c r="AI1505">
        <f t="shared" si="431"/>
        <v>0</v>
      </c>
    </row>
    <row r="1506" spans="1:35" x14ac:dyDescent="0.2">
      <c r="A1506">
        <v>381</v>
      </c>
      <c r="B1506" t="s">
        <v>1398</v>
      </c>
      <c r="C1506">
        <v>10</v>
      </c>
      <c r="D1506" t="s">
        <v>4077</v>
      </c>
      <c r="E1506" t="s">
        <v>21</v>
      </c>
      <c r="F1506" t="s">
        <v>39</v>
      </c>
      <c r="G1506" t="s">
        <v>39</v>
      </c>
      <c r="H1506" t="s">
        <v>21</v>
      </c>
      <c r="I1506">
        <v>2</v>
      </c>
      <c r="J1506">
        <v>3</v>
      </c>
      <c r="K1506">
        <v>225</v>
      </c>
      <c r="L1506" t="s">
        <v>230</v>
      </c>
      <c r="M1506" t="s">
        <v>468</v>
      </c>
      <c r="N1506" t="s">
        <v>43</v>
      </c>
      <c r="O1506" t="s">
        <v>4078</v>
      </c>
      <c r="P1506" t="s">
        <v>4079</v>
      </c>
      <c r="Q1506">
        <f t="shared" si="414"/>
        <v>1</v>
      </c>
      <c r="R1506">
        <f t="shared" si="415"/>
        <v>5</v>
      </c>
      <c r="S1506">
        <f t="shared" si="416"/>
        <v>5</v>
      </c>
      <c r="T1506">
        <f t="shared" si="417"/>
        <v>1</v>
      </c>
      <c r="U1506">
        <v>225</v>
      </c>
      <c r="V1506">
        <f t="shared" si="418"/>
        <v>1</v>
      </c>
      <c r="W1506">
        <f t="shared" si="419"/>
        <v>1</v>
      </c>
      <c r="X1506">
        <f t="shared" si="420"/>
        <v>1</v>
      </c>
      <c r="Y1506">
        <f t="shared" si="421"/>
        <v>1</v>
      </c>
      <c r="Z1506">
        <f t="shared" si="422"/>
        <v>1</v>
      </c>
      <c r="AA1506">
        <f t="shared" si="423"/>
        <v>1</v>
      </c>
      <c r="AB1506">
        <f t="shared" si="424"/>
        <v>1</v>
      </c>
      <c r="AC1506">
        <f t="shared" si="425"/>
        <v>1</v>
      </c>
      <c r="AD1506">
        <f t="shared" si="426"/>
        <v>1</v>
      </c>
      <c r="AE1506">
        <f t="shared" si="427"/>
        <v>1</v>
      </c>
      <c r="AF1506">
        <f t="shared" si="428"/>
        <v>1</v>
      </c>
      <c r="AG1506">
        <f t="shared" si="429"/>
        <v>1</v>
      </c>
      <c r="AH1506">
        <f t="shared" si="430"/>
        <v>0</v>
      </c>
      <c r="AI1506">
        <f t="shared" si="431"/>
        <v>0</v>
      </c>
    </row>
    <row r="1507" spans="1:35" x14ac:dyDescent="0.2">
      <c r="A1507">
        <v>382</v>
      </c>
      <c r="B1507" t="s">
        <v>1398</v>
      </c>
      <c r="C1507">
        <v>5</v>
      </c>
      <c r="D1507" t="s">
        <v>4080</v>
      </c>
      <c r="E1507" t="s">
        <v>20</v>
      </c>
      <c r="F1507" t="s">
        <v>18</v>
      </c>
      <c r="G1507" t="s">
        <v>18</v>
      </c>
      <c r="H1507" t="s">
        <v>20</v>
      </c>
      <c r="I1507">
        <v>2</v>
      </c>
      <c r="J1507">
        <v>2</v>
      </c>
      <c r="K1507">
        <v>300</v>
      </c>
      <c r="L1507" t="s">
        <v>601</v>
      </c>
      <c r="M1507" t="s">
        <v>123</v>
      </c>
      <c r="N1507" t="s">
        <v>43</v>
      </c>
      <c r="O1507" t="s">
        <v>4081</v>
      </c>
      <c r="P1507" t="s">
        <v>4082</v>
      </c>
      <c r="Q1507">
        <f t="shared" si="414"/>
        <v>2</v>
      </c>
      <c r="R1507">
        <f t="shared" si="415"/>
        <v>4</v>
      </c>
      <c r="S1507">
        <f t="shared" si="416"/>
        <v>4</v>
      </c>
      <c r="T1507">
        <f t="shared" si="417"/>
        <v>2</v>
      </c>
      <c r="U1507">
        <v>300</v>
      </c>
      <c r="V1507">
        <f t="shared" si="418"/>
        <v>0</v>
      </c>
      <c r="W1507">
        <f t="shared" si="419"/>
        <v>1</v>
      </c>
      <c r="X1507">
        <f t="shared" si="420"/>
        <v>0</v>
      </c>
      <c r="Y1507">
        <f t="shared" si="421"/>
        <v>1</v>
      </c>
      <c r="Z1507">
        <f t="shared" si="422"/>
        <v>1</v>
      </c>
      <c r="AA1507">
        <f t="shared" si="423"/>
        <v>0</v>
      </c>
      <c r="AB1507">
        <f t="shared" si="424"/>
        <v>1</v>
      </c>
      <c r="AC1507">
        <f t="shared" si="425"/>
        <v>1</v>
      </c>
      <c r="AD1507">
        <f t="shared" si="426"/>
        <v>0</v>
      </c>
      <c r="AE1507">
        <f t="shared" si="427"/>
        <v>0</v>
      </c>
      <c r="AF1507">
        <f t="shared" si="428"/>
        <v>1</v>
      </c>
      <c r="AG1507">
        <f t="shared" si="429"/>
        <v>1</v>
      </c>
      <c r="AH1507">
        <f t="shared" si="430"/>
        <v>0</v>
      </c>
      <c r="AI1507">
        <f t="shared" si="431"/>
        <v>0</v>
      </c>
    </row>
    <row r="1508" spans="1:35" x14ac:dyDescent="0.2">
      <c r="A1508">
        <v>383</v>
      </c>
      <c r="B1508" t="s">
        <v>1398</v>
      </c>
      <c r="C1508">
        <v>7</v>
      </c>
      <c r="D1508" t="s">
        <v>4083</v>
      </c>
      <c r="E1508" t="s">
        <v>21</v>
      </c>
      <c r="F1508" t="s">
        <v>39</v>
      </c>
      <c r="G1508" t="s">
        <v>39</v>
      </c>
      <c r="H1508" t="s">
        <v>21</v>
      </c>
      <c r="I1508">
        <v>1</v>
      </c>
      <c r="J1508">
        <v>2</v>
      </c>
      <c r="K1508">
        <v>50</v>
      </c>
      <c r="L1508" t="s">
        <v>714</v>
      </c>
      <c r="M1508" t="s">
        <v>123</v>
      </c>
      <c r="N1508" t="s">
        <v>43</v>
      </c>
      <c r="O1508" t="s">
        <v>4084</v>
      </c>
      <c r="P1508" t="s">
        <v>4085</v>
      </c>
      <c r="Q1508">
        <f t="shared" si="414"/>
        <v>1</v>
      </c>
      <c r="R1508">
        <f t="shared" si="415"/>
        <v>5</v>
      </c>
      <c r="S1508">
        <f t="shared" si="416"/>
        <v>5</v>
      </c>
      <c r="T1508">
        <f t="shared" si="417"/>
        <v>1</v>
      </c>
      <c r="U1508">
        <v>50</v>
      </c>
      <c r="V1508">
        <f t="shared" si="418"/>
        <v>0</v>
      </c>
      <c r="W1508">
        <f t="shared" si="419"/>
        <v>0</v>
      </c>
      <c r="X1508">
        <f t="shared" si="420"/>
        <v>1</v>
      </c>
      <c r="Y1508">
        <f t="shared" si="421"/>
        <v>1</v>
      </c>
      <c r="Z1508">
        <f t="shared" si="422"/>
        <v>1</v>
      </c>
      <c r="AA1508">
        <f t="shared" si="423"/>
        <v>0</v>
      </c>
      <c r="AB1508">
        <f t="shared" si="424"/>
        <v>1</v>
      </c>
      <c r="AC1508">
        <f t="shared" si="425"/>
        <v>1</v>
      </c>
      <c r="AD1508">
        <f t="shared" si="426"/>
        <v>0</v>
      </c>
      <c r="AE1508">
        <f t="shared" si="427"/>
        <v>0</v>
      </c>
      <c r="AF1508">
        <f t="shared" si="428"/>
        <v>1</v>
      </c>
      <c r="AG1508">
        <f t="shared" si="429"/>
        <v>1</v>
      </c>
      <c r="AH1508">
        <f t="shared" si="430"/>
        <v>0</v>
      </c>
      <c r="AI1508">
        <f t="shared" si="431"/>
        <v>0</v>
      </c>
    </row>
    <row r="1509" spans="1:35" x14ac:dyDescent="0.2">
      <c r="A1509">
        <v>384</v>
      </c>
      <c r="B1509" t="s">
        <v>1398</v>
      </c>
      <c r="C1509">
        <v>5</v>
      </c>
      <c r="D1509" t="s">
        <v>4086</v>
      </c>
      <c r="E1509" t="s">
        <v>20</v>
      </c>
      <c r="F1509" t="s">
        <v>18</v>
      </c>
      <c r="G1509" t="s">
        <v>39</v>
      </c>
      <c r="H1509" t="s">
        <v>21</v>
      </c>
      <c r="I1509">
        <v>2</v>
      </c>
      <c r="J1509">
        <v>2</v>
      </c>
      <c r="K1509">
        <v>200</v>
      </c>
      <c r="L1509" t="s">
        <v>22</v>
      </c>
      <c r="M1509" t="s">
        <v>123</v>
      </c>
      <c r="N1509" t="s">
        <v>215</v>
      </c>
      <c r="O1509" t="s">
        <v>4087</v>
      </c>
      <c r="P1509" t="s">
        <v>4088</v>
      </c>
      <c r="Q1509">
        <f t="shared" si="414"/>
        <v>2</v>
      </c>
      <c r="R1509">
        <f t="shared" si="415"/>
        <v>4</v>
      </c>
      <c r="S1509">
        <f t="shared" si="416"/>
        <v>5</v>
      </c>
      <c r="T1509">
        <f t="shared" si="417"/>
        <v>1</v>
      </c>
      <c r="U1509">
        <v>200</v>
      </c>
      <c r="V1509">
        <f t="shared" si="418"/>
        <v>1</v>
      </c>
      <c r="W1509">
        <f t="shared" si="419"/>
        <v>0</v>
      </c>
      <c r="X1509">
        <f t="shared" si="420"/>
        <v>0</v>
      </c>
      <c r="Y1509">
        <f t="shared" si="421"/>
        <v>0</v>
      </c>
      <c r="Z1509">
        <f t="shared" si="422"/>
        <v>0</v>
      </c>
      <c r="AA1509">
        <f t="shared" si="423"/>
        <v>0</v>
      </c>
      <c r="AB1509">
        <f t="shared" si="424"/>
        <v>1</v>
      </c>
      <c r="AC1509">
        <f t="shared" si="425"/>
        <v>1</v>
      </c>
      <c r="AD1509">
        <f t="shared" si="426"/>
        <v>0</v>
      </c>
      <c r="AE1509">
        <f t="shared" si="427"/>
        <v>0</v>
      </c>
      <c r="AF1509">
        <f t="shared" si="428"/>
        <v>1</v>
      </c>
      <c r="AG1509">
        <f t="shared" si="429"/>
        <v>0</v>
      </c>
      <c r="AH1509">
        <f t="shared" si="430"/>
        <v>0</v>
      </c>
      <c r="AI1509">
        <f t="shared" si="431"/>
        <v>0</v>
      </c>
    </row>
    <row r="1510" spans="1:35" x14ac:dyDescent="0.2">
      <c r="A1510">
        <v>385</v>
      </c>
      <c r="B1510" t="s">
        <v>1398</v>
      </c>
      <c r="C1510">
        <v>10</v>
      </c>
      <c r="D1510" t="s">
        <v>4089</v>
      </c>
      <c r="E1510" t="s">
        <v>21</v>
      </c>
      <c r="F1510" t="s">
        <v>39</v>
      </c>
      <c r="G1510" t="s">
        <v>39</v>
      </c>
      <c r="H1510" t="s">
        <v>21</v>
      </c>
      <c r="I1510">
        <v>2</v>
      </c>
      <c r="J1510">
        <v>2</v>
      </c>
      <c r="K1510" s="2">
        <v>100000</v>
      </c>
      <c r="L1510" t="s">
        <v>494</v>
      </c>
      <c r="M1510" t="s">
        <v>468</v>
      </c>
      <c r="N1510" t="s">
        <v>43</v>
      </c>
      <c r="O1510" t="s">
        <v>3774</v>
      </c>
      <c r="P1510" t="s">
        <v>4090</v>
      </c>
      <c r="Q1510">
        <f t="shared" si="414"/>
        <v>1</v>
      </c>
      <c r="R1510">
        <f t="shared" si="415"/>
        <v>5</v>
      </c>
      <c r="S1510">
        <f t="shared" si="416"/>
        <v>5</v>
      </c>
      <c r="T1510">
        <f t="shared" si="417"/>
        <v>1</v>
      </c>
      <c r="U1510">
        <v>100000</v>
      </c>
      <c r="V1510">
        <f t="shared" si="418"/>
        <v>0</v>
      </c>
      <c r="W1510">
        <f t="shared" si="419"/>
        <v>1</v>
      </c>
      <c r="X1510">
        <f t="shared" si="420"/>
        <v>1</v>
      </c>
      <c r="Y1510">
        <f t="shared" si="421"/>
        <v>1</v>
      </c>
      <c r="Z1510">
        <f t="shared" si="422"/>
        <v>1</v>
      </c>
      <c r="AA1510">
        <f t="shared" si="423"/>
        <v>1</v>
      </c>
      <c r="AB1510">
        <f t="shared" si="424"/>
        <v>1</v>
      </c>
      <c r="AC1510">
        <f t="shared" si="425"/>
        <v>1</v>
      </c>
      <c r="AD1510">
        <f t="shared" si="426"/>
        <v>1</v>
      </c>
      <c r="AE1510">
        <f t="shared" si="427"/>
        <v>1</v>
      </c>
      <c r="AF1510">
        <f t="shared" si="428"/>
        <v>1</v>
      </c>
      <c r="AG1510">
        <f t="shared" si="429"/>
        <v>1</v>
      </c>
      <c r="AH1510">
        <f t="shared" si="430"/>
        <v>0</v>
      </c>
      <c r="AI1510">
        <f t="shared" si="431"/>
        <v>0</v>
      </c>
    </row>
    <row r="1511" spans="1:35" x14ac:dyDescent="0.2">
      <c r="A1511">
        <v>386</v>
      </c>
      <c r="B1511" t="s">
        <v>1398</v>
      </c>
      <c r="C1511">
        <v>7</v>
      </c>
      <c r="D1511" t="s">
        <v>4091</v>
      </c>
      <c r="E1511" t="s">
        <v>21</v>
      </c>
      <c r="F1511" t="s">
        <v>39</v>
      </c>
      <c r="G1511" t="s">
        <v>18</v>
      </c>
      <c r="H1511" t="s">
        <v>20</v>
      </c>
      <c r="I1511">
        <v>1</v>
      </c>
      <c r="J1511">
        <v>1</v>
      </c>
      <c r="K1511" s="1">
        <v>500000</v>
      </c>
      <c r="L1511" t="s">
        <v>714</v>
      </c>
      <c r="M1511" t="s">
        <v>123</v>
      </c>
      <c r="N1511" t="s">
        <v>215</v>
      </c>
      <c r="O1511" t="s">
        <v>4092</v>
      </c>
      <c r="P1511" t="s">
        <v>4093</v>
      </c>
      <c r="Q1511">
        <f t="shared" si="414"/>
        <v>1</v>
      </c>
      <c r="R1511">
        <f t="shared" si="415"/>
        <v>5</v>
      </c>
      <c r="S1511">
        <f t="shared" si="416"/>
        <v>4</v>
      </c>
      <c r="T1511">
        <f t="shared" si="417"/>
        <v>2</v>
      </c>
      <c r="U1511">
        <v>500000</v>
      </c>
      <c r="V1511">
        <f t="shared" si="418"/>
        <v>0</v>
      </c>
      <c r="W1511">
        <f t="shared" si="419"/>
        <v>0</v>
      </c>
      <c r="X1511">
        <f t="shared" si="420"/>
        <v>1</v>
      </c>
      <c r="Y1511">
        <f t="shared" si="421"/>
        <v>1</v>
      </c>
      <c r="Z1511">
        <f t="shared" si="422"/>
        <v>1</v>
      </c>
      <c r="AA1511">
        <f t="shared" si="423"/>
        <v>0</v>
      </c>
      <c r="AB1511">
        <f t="shared" si="424"/>
        <v>1</v>
      </c>
      <c r="AC1511">
        <f t="shared" si="425"/>
        <v>1</v>
      </c>
      <c r="AD1511">
        <f t="shared" si="426"/>
        <v>0</v>
      </c>
      <c r="AE1511">
        <f t="shared" si="427"/>
        <v>0</v>
      </c>
      <c r="AF1511">
        <f t="shared" si="428"/>
        <v>1</v>
      </c>
      <c r="AG1511">
        <f t="shared" si="429"/>
        <v>0</v>
      </c>
      <c r="AH1511">
        <f t="shared" si="430"/>
        <v>0</v>
      </c>
      <c r="AI1511">
        <f t="shared" si="431"/>
        <v>0</v>
      </c>
    </row>
    <row r="1512" spans="1:35" x14ac:dyDescent="0.2">
      <c r="A1512">
        <v>387</v>
      </c>
      <c r="B1512" t="s">
        <v>1398</v>
      </c>
      <c r="C1512">
        <v>6</v>
      </c>
      <c r="D1512" t="s">
        <v>1464</v>
      </c>
      <c r="E1512" t="s">
        <v>21</v>
      </c>
      <c r="F1512" t="s">
        <v>18</v>
      </c>
      <c r="G1512" t="s">
        <v>18</v>
      </c>
      <c r="H1512" t="s">
        <v>21</v>
      </c>
      <c r="I1512">
        <v>2</v>
      </c>
      <c r="J1512">
        <v>1</v>
      </c>
      <c r="K1512" s="1">
        <v>35</v>
      </c>
      <c r="L1512" t="s">
        <v>79</v>
      </c>
      <c r="M1512" t="s">
        <v>154</v>
      </c>
      <c r="N1512" t="s">
        <v>43</v>
      </c>
      <c r="O1512" t="s">
        <v>559</v>
      </c>
      <c r="P1512" t="s">
        <v>4094</v>
      </c>
      <c r="Q1512">
        <f t="shared" si="414"/>
        <v>1</v>
      </c>
      <c r="R1512">
        <f t="shared" si="415"/>
        <v>4</v>
      </c>
      <c r="S1512">
        <f t="shared" si="416"/>
        <v>4</v>
      </c>
      <c r="T1512">
        <f t="shared" si="417"/>
        <v>1</v>
      </c>
      <c r="U1512">
        <v>35</v>
      </c>
      <c r="V1512">
        <f t="shared" si="418"/>
        <v>0</v>
      </c>
      <c r="W1512">
        <f t="shared" si="419"/>
        <v>1</v>
      </c>
      <c r="X1512">
        <f t="shared" si="420"/>
        <v>0</v>
      </c>
      <c r="Y1512">
        <f t="shared" si="421"/>
        <v>0</v>
      </c>
      <c r="Z1512">
        <f t="shared" si="422"/>
        <v>1</v>
      </c>
      <c r="AA1512">
        <f t="shared" si="423"/>
        <v>1</v>
      </c>
      <c r="AB1512">
        <f t="shared" si="424"/>
        <v>0</v>
      </c>
      <c r="AC1512">
        <f t="shared" si="425"/>
        <v>1</v>
      </c>
      <c r="AD1512">
        <f t="shared" si="426"/>
        <v>0</v>
      </c>
      <c r="AE1512">
        <f t="shared" si="427"/>
        <v>0</v>
      </c>
      <c r="AF1512">
        <f t="shared" si="428"/>
        <v>1</v>
      </c>
      <c r="AG1512">
        <f t="shared" si="429"/>
        <v>1</v>
      </c>
      <c r="AH1512">
        <f t="shared" si="430"/>
        <v>0</v>
      </c>
      <c r="AI1512">
        <f t="shared" si="431"/>
        <v>0</v>
      </c>
    </row>
    <row r="1513" spans="1:35" x14ac:dyDescent="0.2">
      <c r="A1513">
        <v>388</v>
      </c>
      <c r="B1513" t="s">
        <v>1398</v>
      </c>
      <c r="C1513">
        <v>9</v>
      </c>
      <c r="D1513" t="s">
        <v>4095</v>
      </c>
      <c r="E1513" t="s">
        <v>20</v>
      </c>
      <c r="F1513" t="s">
        <v>18</v>
      </c>
      <c r="G1513" t="s">
        <v>39</v>
      </c>
      <c r="H1513" t="s">
        <v>21</v>
      </c>
      <c r="I1513">
        <v>2</v>
      </c>
      <c r="J1513">
        <v>3</v>
      </c>
      <c r="K1513">
        <v>25</v>
      </c>
      <c r="L1513" t="s">
        <v>79</v>
      </c>
      <c r="M1513" t="s">
        <v>154</v>
      </c>
      <c r="N1513" t="s">
        <v>84</v>
      </c>
      <c r="O1513" t="s">
        <v>3774</v>
      </c>
      <c r="P1513" t="s">
        <v>4096</v>
      </c>
      <c r="Q1513">
        <f t="shared" si="414"/>
        <v>2</v>
      </c>
      <c r="R1513">
        <f t="shared" si="415"/>
        <v>4</v>
      </c>
      <c r="S1513">
        <f t="shared" si="416"/>
        <v>5</v>
      </c>
      <c r="T1513">
        <f t="shared" si="417"/>
        <v>1</v>
      </c>
      <c r="U1513">
        <v>25</v>
      </c>
      <c r="V1513">
        <f t="shared" si="418"/>
        <v>0</v>
      </c>
      <c r="W1513">
        <f t="shared" si="419"/>
        <v>1</v>
      </c>
      <c r="X1513">
        <f t="shared" si="420"/>
        <v>0</v>
      </c>
      <c r="Y1513">
        <f t="shared" si="421"/>
        <v>0</v>
      </c>
      <c r="Z1513">
        <f t="shared" si="422"/>
        <v>1</v>
      </c>
      <c r="AA1513">
        <f t="shared" si="423"/>
        <v>1</v>
      </c>
      <c r="AB1513">
        <f t="shared" si="424"/>
        <v>0</v>
      </c>
      <c r="AC1513">
        <f t="shared" si="425"/>
        <v>1</v>
      </c>
      <c r="AD1513">
        <f t="shared" si="426"/>
        <v>0</v>
      </c>
      <c r="AE1513">
        <f t="shared" si="427"/>
        <v>0</v>
      </c>
      <c r="AF1513">
        <f t="shared" si="428"/>
        <v>0</v>
      </c>
      <c r="AG1513">
        <f t="shared" si="429"/>
        <v>1</v>
      </c>
      <c r="AH1513">
        <f t="shared" si="430"/>
        <v>0</v>
      </c>
      <c r="AI1513">
        <f t="shared" si="431"/>
        <v>0</v>
      </c>
    </row>
    <row r="1514" spans="1:35" x14ac:dyDescent="0.2">
      <c r="A1514">
        <v>389</v>
      </c>
      <c r="B1514" t="s">
        <v>1398</v>
      </c>
      <c r="C1514">
        <v>8</v>
      </c>
      <c r="D1514" t="s">
        <v>4097</v>
      </c>
      <c r="E1514" t="s">
        <v>21</v>
      </c>
      <c r="F1514" t="s">
        <v>39</v>
      </c>
      <c r="G1514" t="s">
        <v>18</v>
      </c>
      <c r="H1514" t="s">
        <v>21</v>
      </c>
      <c r="I1514">
        <v>2</v>
      </c>
      <c r="J1514">
        <v>2</v>
      </c>
      <c r="K1514">
        <v>500</v>
      </c>
      <c r="L1514" t="s">
        <v>601</v>
      </c>
      <c r="M1514" t="s">
        <v>468</v>
      </c>
      <c r="N1514" t="s">
        <v>215</v>
      </c>
      <c r="O1514" t="s">
        <v>4098</v>
      </c>
      <c r="P1514" t="s">
        <v>4099</v>
      </c>
      <c r="Q1514">
        <f t="shared" si="414"/>
        <v>1</v>
      </c>
      <c r="R1514">
        <f t="shared" si="415"/>
        <v>5</v>
      </c>
      <c r="S1514">
        <f t="shared" si="416"/>
        <v>4</v>
      </c>
      <c r="T1514">
        <f t="shared" si="417"/>
        <v>1</v>
      </c>
      <c r="U1514">
        <v>500</v>
      </c>
      <c r="V1514">
        <f t="shared" si="418"/>
        <v>0</v>
      </c>
      <c r="W1514">
        <f t="shared" si="419"/>
        <v>1</v>
      </c>
      <c r="X1514">
        <f t="shared" si="420"/>
        <v>0</v>
      </c>
      <c r="Y1514">
        <f t="shared" si="421"/>
        <v>1</v>
      </c>
      <c r="Z1514">
        <f t="shared" si="422"/>
        <v>1</v>
      </c>
      <c r="AA1514">
        <f t="shared" si="423"/>
        <v>1</v>
      </c>
      <c r="AB1514">
        <f t="shared" si="424"/>
        <v>1</v>
      </c>
      <c r="AC1514">
        <f t="shared" si="425"/>
        <v>1</v>
      </c>
      <c r="AD1514">
        <f t="shared" si="426"/>
        <v>1</v>
      </c>
      <c r="AE1514">
        <f t="shared" si="427"/>
        <v>1</v>
      </c>
      <c r="AF1514">
        <f t="shared" si="428"/>
        <v>1</v>
      </c>
      <c r="AG1514">
        <f t="shared" si="429"/>
        <v>0</v>
      </c>
      <c r="AH1514">
        <f t="shared" si="430"/>
        <v>0</v>
      </c>
      <c r="AI1514">
        <f t="shared" si="431"/>
        <v>0</v>
      </c>
    </row>
    <row r="1515" spans="1:35" x14ac:dyDescent="0.2">
      <c r="A1515">
        <v>390</v>
      </c>
      <c r="B1515" t="s">
        <v>1398</v>
      </c>
      <c r="C1515">
        <v>9</v>
      </c>
      <c r="D1515" t="s">
        <v>4100</v>
      </c>
      <c r="E1515" t="s">
        <v>21</v>
      </c>
      <c r="F1515" t="s">
        <v>18</v>
      </c>
      <c r="G1515" t="s">
        <v>18</v>
      </c>
      <c r="H1515" t="s">
        <v>20</v>
      </c>
      <c r="I1515">
        <v>2</v>
      </c>
      <c r="J1515">
        <v>3</v>
      </c>
      <c r="K1515">
        <v>400</v>
      </c>
      <c r="L1515" t="s">
        <v>122</v>
      </c>
      <c r="M1515" t="s">
        <v>48</v>
      </c>
      <c r="N1515" t="s">
        <v>84</v>
      </c>
      <c r="O1515" t="s">
        <v>4101</v>
      </c>
      <c r="P1515" t="s">
        <v>4102</v>
      </c>
      <c r="Q1515">
        <f t="shared" si="414"/>
        <v>1</v>
      </c>
      <c r="R1515">
        <f t="shared" si="415"/>
        <v>4</v>
      </c>
      <c r="S1515">
        <f t="shared" si="416"/>
        <v>4</v>
      </c>
      <c r="T1515">
        <f t="shared" si="417"/>
        <v>2</v>
      </c>
      <c r="U1515">
        <v>400</v>
      </c>
      <c r="V1515">
        <f t="shared" si="418"/>
        <v>1</v>
      </c>
      <c r="W1515">
        <f t="shared" si="419"/>
        <v>0</v>
      </c>
      <c r="X1515">
        <f t="shared" si="420"/>
        <v>1</v>
      </c>
      <c r="Y1515">
        <f t="shared" si="421"/>
        <v>0</v>
      </c>
      <c r="Z1515">
        <f t="shared" si="422"/>
        <v>1</v>
      </c>
      <c r="AA1515">
        <f t="shared" si="423"/>
        <v>1</v>
      </c>
      <c r="AB1515">
        <f t="shared" si="424"/>
        <v>1</v>
      </c>
      <c r="AC1515">
        <f t="shared" si="425"/>
        <v>1</v>
      </c>
      <c r="AD1515">
        <f t="shared" si="426"/>
        <v>0</v>
      </c>
      <c r="AE1515">
        <f t="shared" si="427"/>
        <v>0</v>
      </c>
      <c r="AF1515">
        <f t="shared" si="428"/>
        <v>0</v>
      </c>
      <c r="AG1515">
        <f t="shared" si="429"/>
        <v>1</v>
      </c>
      <c r="AH1515">
        <f t="shared" si="430"/>
        <v>0</v>
      </c>
      <c r="AI1515">
        <f t="shared" si="431"/>
        <v>0</v>
      </c>
    </row>
    <row r="1516" spans="1:35" x14ac:dyDescent="0.2">
      <c r="A1516">
        <v>391</v>
      </c>
      <c r="B1516" t="s">
        <v>1398</v>
      </c>
      <c r="C1516">
        <v>8</v>
      </c>
      <c r="D1516" t="s">
        <v>4103</v>
      </c>
      <c r="E1516" t="s">
        <v>21</v>
      </c>
      <c r="F1516" t="s">
        <v>39</v>
      </c>
      <c r="G1516" t="s">
        <v>39</v>
      </c>
      <c r="H1516" t="s">
        <v>21</v>
      </c>
      <c r="I1516">
        <v>3</v>
      </c>
      <c r="J1516">
        <v>2</v>
      </c>
      <c r="K1516">
        <v>10000</v>
      </c>
      <c r="L1516" t="s">
        <v>714</v>
      </c>
      <c r="M1516" t="s">
        <v>23</v>
      </c>
      <c r="N1516" t="s">
        <v>215</v>
      </c>
      <c r="O1516" t="s">
        <v>3771</v>
      </c>
      <c r="P1516" t="s">
        <v>4104</v>
      </c>
      <c r="Q1516">
        <f t="shared" si="414"/>
        <v>1</v>
      </c>
      <c r="R1516">
        <f t="shared" si="415"/>
        <v>5</v>
      </c>
      <c r="S1516">
        <f t="shared" si="416"/>
        <v>5</v>
      </c>
      <c r="T1516">
        <f t="shared" si="417"/>
        <v>1</v>
      </c>
      <c r="U1516">
        <v>10000</v>
      </c>
      <c r="V1516">
        <f t="shared" si="418"/>
        <v>0</v>
      </c>
      <c r="W1516">
        <f t="shared" si="419"/>
        <v>0</v>
      </c>
      <c r="X1516">
        <f t="shared" si="420"/>
        <v>1</v>
      </c>
      <c r="Y1516">
        <f t="shared" si="421"/>
        <v>1</v>
      </c>
      <c r="Z1516">
        <f t="shared" si="422"/>
        <v>1</v>
      </c>
      <c r="AA1516">
        <f t="shared" si="423"/>
        <v>1</v>
      </c>
      <c r="AB1516">
        <f t="shared" si="424"/>
        <v>0</v>
      </c>
      <c r="AC1516">
        <f t="shared" si="425"/>
        <v>0</v>
      </c>
      <c r="AD1516">
        <f t="shared" si="426"/>
        <v>0</v>
      </c>
      <c r="AE1516">
        <f t="shared" si="427"/>
        <v>0</v>
      </c>
      <c r="AF1516">
        <f t="shared" si="428"/>
        <v>1</v>
      </c>
      <c r="AG1516">
        <f t="shared" si="429"/>
        <v>0</v>
      </c>
      <c r="AH1516">
        <f t="shared" si="430"/>
        <v>0</v>
      </c>
      <c r="AI1516">
        <f t="shared" si="431"/>
        <v>0</v>
      </c>
    </row>
    <row r="1517" spans="1:35" x14ac:dyDescent="0.2">
      <c r="A1517">
        <v>392</v>
      </c>
      <c r="B1517" t="s">
        <v>1398</v>
      </c>
      <c r="C1517">
        <v>3</v>
      </c>
      <c r="D1517" t="s">
        <v>4105</v>
      </c>
      <c r="E1517" t="s">
        <v>21</v>
      </c>
      <c r="F1517" t="s">
        <v>39</v>
      </c>
      <c r="G1517" t="s">
        <v>39</v>
      </c>
      <c r="H1517" t="s">
        <v>21</v>
      </c>
      <c r="I1517">
        <v>2</v>
      </c>
      <c r="J1517">
        <v>2</v>
      </c>
      <c r="K1517">
        <v>10000000</v>
      </c>
      <c r="L1517" t="s">
        <v>194</v>
      </c>
      <c r="M1517" t="s">
        <v>468</v>
      </c>
      <c r="N1517" t="s">
        <v>43</v>
      </c>
      <c r="O1517" t="s">
        <v>1799</v>
      </c>
      <c r="P1517" t="s">
        <v>4106</v>
      </c>
      <c r="Q1517">
        <f t="shared" si="414"/>
        <v>1</v>
      </c>
      <c r="R1517">
        <f t="shared" si="415"/>
        <v>5</v>
      </c>
      <c r="S1517">
        <f t="shared" si="416"/>
        <v>5</v>
      </c>
      <c r="T1517">
        <f t="shared" si="417"/>
        <v>1</v>
      </c>
      <c r="U1517">
        <v>10000000</v>
      </c>
      <c r="V1517">
        <f t="shared" si="418"/>
        <v>0</v>
      </c>
      <c r="W1517">
        <f t="shared" si="419"/>
        <v>0</v>
      </c>
      <c r="X1517">
        <f t="shared" si="420"/>
        <v>0</v>
      </c>
      <c r="Y1517">
        <f t="shared" si="421"/>
        <v>1</v>
      </c>
      <c r="Z1517">
        <f t="shared" si="422"/>
        <v>1</v>
      </c>
      <c r="AA1517">
        <f t="shared" si="423"/>
        <v>1</v>
      </c>
      <c r="AB1517">
        <f t="shared" si="424"/>
        <v>1</v>
      </c>
      <c r="AC1517">
        <f t="shared" si="425"/>
        <v>1</v>
      </c>
      <c r="AD1517">
        <f t="shared" si="426"/>
        <v>1</v>
      </c>
      <c r="AE1517">
        <f t="shared" si="427"/>
        <v>1</v>
      </c>
      <c r="AF1517">
        <f t="shared" si="428"/>
        <v>1</v>
      </c>
      <c r="AG1517">
        <f t="shared" si="429"/>
        <v>1</v>
      </c>
      <c r="AH1517">
        <f t="shared" si="430"/>
        <v>0</v>
      </c>
      <c r="AI1517">
        <f t="shared" si="431"/>
        <v>0</v>
      </c>
    </row>
    <row r="1518" spans="1:35" x14ac:dyDescent="0.2">
      <c r="A1518">
        <v>393</v>
      </c>
      <c r="B1518" t="s">
        <v>1398</v>
      </c>
      <c r="C1518">
        <v>8</v>
      </c>
      <c r="D1518" t="s">
        <v>4107</v>
      </c>
      <c r="E1518" t="s">
        <v>39</v>
      </c>
      <c r="F1518" t="s">
        <v>18</v>
      </c>
      <c r="G1518" t="s">
        <v>18</v>
      </c>
      <c r="H1518" t="s">
        <v>20</v>
      </c>
      <c r="I1518">
        <v>2</v>
      </c>
      <c r="J1518">
        <v>2</v>
      </c>
      <c r="K1518">
        <v>150</v>
      </c>
      <c r="L1518" t="s">
        <v>70</v>
      </c>
      <c r="M1518" t="s">
        <v>23</v>
      </c>
      <c r="N1518" t="s">
        <v>24</v>
      </c>
      <c r="O1518" t="s">
        <v>4108</v>
      </c>
      <c r="P1518" t="s">
        <v>4109</v>
      </c>
      <c r="Q1518">
        <f t="shared" si="414"/>
        <v>5</v>
      </c>
      <c r="R1518">
        <f t="shared" si="415"/>
        <v>4</v>
      </c>
      <c r="S1518">
        <f t="shared" si="416"/>
        <v>4</v>
      </c>
      <c r="T1518">
        <f t="shared" si="417"/>
        <v>2</v>
      </c>
      <c r="U1518">
        <v>150</v>
      </c>
      <c r="V1518">
        <f t="shared" si="418"/>
        <v>0</v>
      </c>
      <c r="W1518">
        <f t="shared" si="419"/>
        <v>0</v>
      </c>
      <c r="X1518">
        <f t="shared" si="420"/>
        <v>0</v>
      </c>
      <c r="Y1518">
        <f t="shared" si="421"/>
        <v>1</v>
      </c>
      <c r="Z1518">
        <f t="shared" si="422"/>
        <v>0</v>
      </c>
      <c r="AA1518">
        <f t="shared" si="423"/>
        <v>1</v>
      </c>
      <c r="AB1518">
        <f t="shared" si="424"/>
        <v>0</v>
      </c>
      <c r="AC1518">
        <f t="shared" si="425"/>
        <v>0</v>
      </c>
      <c r="AD1518">
        <f t="shared" si="426"/>
        <v>0</v>
      </c>
      <c r="AE1518">
        <f t="shared" si="427"/>
        <v>0</v>
      </c>
      <c r="AF1518">
        <f t="shared" si="428"/>
        <v>0</v>
      </c>
      <c r="AG1518">
        <f t="shared" si="429"/>
        <v>0</v>
      </c>
      <c r="AH1518">
        <f t="shared" si="430"/>
        <v>1</v>
      </c>
      <c r="AI1518">
        <f t="shared" si="431"/>
        <v>0</v>
      </c>
    </row>
    <row r="1519" spans="1:35" x14ac:dyDescent="0.2">
      <c r="A1519">
        <v>394</v>
      </c>
      <c r="B1519" t="s">
        <v>1398</v>
      </c>
      <c r="C1519">
        <v>9</v>
      </c>
      <c r="D1519" t="s">
        <v>4110</v>
      </c>
      <c r="E1519" t="s">
        <v>39</v>
      </c>
      <c r="F1519" t="s">
        <v>39</v>
      </c>
      <c r="G1519" t="s">
        <v>39</v>
      </c>
      <c r="H1519" t="s">
        <v>20</v>
      </c>
      <c r="I1519">
        <v>5</v>
      </c>
      <c r="J1519">
        <v>5</v>
      </c>
      <c r="K1519" s="1">
        <v>20</v>
      </c>
      <c r="L1519" t="s">
        <v>776</v>
      </c>
      <c r="M1519" t="s">
        <v>115</v>
      </c>
      <c r="N1519" t="s">
        <v>215</v>
      </c>
      <c r="O1519" t="s">
        <v>1438</v>
      </c>
      <c r="P1519" t="s">
        <v>4111</v>
      </c>
      <c r="Q1519">
        <f t="shared" si="414"/>
        <v>5</v>
      </c>
      <c r="R1519">
        <f t="shared" si="415"/>
        <v>5</v>
      </c>
      <c r="S1519">
        <f t="shared" si="416"/>
        <v>5</v>
      </c>
      <c r="T1519">
        <f t="shared" si="417"/>
        <v>2</v>
      </c>
      <c r="U1519">
        <v>20</v>
      </c>
      <c r="V1519">
        <f t="shared" si="418"/>
        <v>0</v>
      </c>
      <c r="W1519">
        <f t="shared" si="419"/>
        <v>1</v>
      </c>
      <c r="X1519">
        <f t="shared" si="420"/>
        <v>0</v>
      </c>
      <c r="Y1519">
        <f t="shared" si="421"/>
        <v>1</v>
      </c>
      <c r="Z1519">
        <f t="shared" si="422"/>
        <v>0</v>
      </c>
      <c r="AA1519">
        <f t="shared" si="423"/>
        <v>0</v>
      </c>
      <c r="AB1519">
        <f t="shared" si="424"/>
        <v>0</v>
      </c>
      <c r="AC1519">
        <f t="shared" si="425"/>
        <v>1</v>
      </c>
      <c r="AD1519">
        <f t="shared" si="426"/>
        <v>0</v>
      </c>
      <c r="AE1519">
        <f t="shared" si="427"/>
        <v>0</v>
      </c>
      <c r="AF1519">
        <f t="shared" si="428"/>
        <v>1</v>
      </c>
      <c r="AG1519">
        <f t="shared" si="429"/>
        <v>0</v>
      </c>
      <c r="AH1519">
        <f t="shared" si="430"/>
        <v>0</v>
      </c>
      <c r="AI1519">
        <f t="shared" si="431"/>
        <v>0</v>
      </c>
    </row>
    <row r="1520" spans="1:35" x14ac:dyDescent="0.2">
      <c r="A1520">
        <v>395</v>
      </c>
      <c r="B1520" t="s">
        <v>1398</v>
      </c>
      <c r="C1520">
        <v>6</v>
      </c>
      <c r="D1520" t="s">
        <v>4112</v>
      </c>
      <c r="E1520" t="s">
        <v>21</v>
      </c>
      <c r="F1520" t="s">
        <v>18</v>
      </c>
      <c r="G1520" t="s">
        <v>18</v>
      </c>
      <c r="H1520" t="s">
        <v>21</v>
      </c>
      <c r="I1520">
        <v>3</v>
      </c>
      <c r="J1520">
        <v>2</v>
      </c>
      <c r="K1520">
        <v>90</v>
      </c>
      <c r="L1520" t="s">
        <v>79</v>
      </c>
      <c r="M1520" t="s">
        <v>48</v>
      </c>
      <c r="N1520" t="s">
        <v>215</v>
      </c>
      <c r="O1520" t="s">
        <v>4113</v>
      </c>
      <c r="P1520" t="s">
        <v>4114</v>
      </c>
      <c r="Q1520">
        <f t="shared" si="414"/>
        <v>1</v>
      </c>
      <c r="R1520">
        <f t="shared" si="415"/>
        <v>4</v>
      </c>
      <c r="S1520">
        <f t="shared" si="416"/>
        <v>4</v>
      </c>
      <c r="T1520">
        <f t="shared" si="417"/>
        <v>1</v>
      </c>
      <c r="U1520">
        <v>90</v>
      </c>
      <c r="V1520">
        <f t="shared" si="418"/>
        <v>0</v>
      </c>
      <c r="W1520">
        <f t="shared" si="419"/>
        <v>1</v>
      </c>
      <c r="X1520">
        <f t="shared" si="420"/>
        <v>0</v>
      </c>
      <c r="Y1520">
        <f t="shared" si="421"/>
        <v>0</v>
      </c>
      <c r="Z1520">
        <f t="shared" si="422"/>
        <v>1</v>
      </c>
      <c r="AA1520">
        <f t="shared" si="423"/>
        <v>1</v>
      </c>
      <c r="AB1520">
        <f t="shared" si="424"/>
        <v>1</v>
      </c>
      <c r="AC1520">
        <f t="shared" si="425"/>
        <v>1</v>
      </c>
      <c r="AD1520">
        <f t="shared" si="426"/>
        <v>0</v>
      </c>
      <c r="AE1520">
        <f t="shared" si="427"/>
        <v>0</v>
      </c>
      <c r="AF1520">
        <f t="shared" si="428"/>
        <v>1</v>
      </c>
      <c r="AG1520">
        <f t="shared" si="429"/>
        <v>0</v>
      </c>
      <c r="AH1520">
        <f t="shared" si="430"/>
        <v>0</v>
      </c>
      <c r="AI1520">
        <f t="shared" si="431"/>
        <v>0</v>
      </c>
    </row>
    <row r="1521" spans="1:35" x14ac:dyDescent="0.2">
      <c r="A1521">
        <v>396</v>
      </c>
      <c r="B1521" t="s">
        <v>1398</v>
      </c>
      <c r="C1521">
        <v>1</v>
      </c>
      <c r="D1521" t="s">
        <v>1130</v>
      </c>
      <c r="E1521" t="s">
        <v>19</v>
      </c>
      <c r="F1521" t="s">
        <v>18</v>
      </c>
      <c r="G1521" t="s">
        <v>18</v>
      </c>
      <c r="H1521" t="s">
        <v>19</v>
      </c>
      <c r="I1521">
        <v>6</v>
      </c>
      <c r="J1521">
        <v>5</v>
      </c>
      <c r="K1521" s="5">
        <v>0</v>
      </c>
      <c r="L1521" t="s">
        <v>53</v>
      </c>
      <c r="M1521" t="s">
        <v>23</v>
      </c>
      <c r="N1521" t="s">
        <v>215</v>
      </c>
      <c r="O1521" t="s">
        <v>1419</v>
      </c>
      <c r="P1521" t="s">
        <v>4115</v>
      </c>
      <c r="Q1521">
        <f t="shared" si="414"/>
        <v>3</v>
      </c>
      <c r="R1521">
        <f t="shared" si="415"/>
        <v>4</v>
      </c>
      <c r="S1521">
        <f t="shared" si="416"/>
        <v>4</v>
      </c>
      <c r="T1521">
        <f t="shared" si="417"/>
        <v>3</v>
      </c>
      <c r="U1521">
        <v>0</v>
      </c>
      <c r="V1521">
        <f t="shared" si="418"/>
        <v>0</v>
      </c>
      <c r="W1521">
        <f t="shared" si="419"/>
        <v>0</v>
      </c>
      <c r="X1521">
        <f t="shared" si="420"/>
        <v>1</v>
      </c>
      <c r="Y1521">
        <f t="shared" si="421"/>
        <v>0</v>
      </c>
      <c r="Z1521">
        <f t="shared" si="422"/>
        <v>0</v>
      </c>
      <c r="AA1521">
        <f t="shared" si="423"/>
        <v>1</v>
      </c>
      <c r="AB1521">
        <f t="shared" si="424"/>
        <v>0</v>
      </c>
      <c r="AC1521">
        <f t="shared" si="425"/>
        <v>0</v>
      </c>
      <c r="AD1521">
        <f t="shared" si="426"/>
        <v>0</v>
      </c>
      <c r="AE1521">
        <f t="shared" si="427"/>
        <v>0</v>
      </c>
      <c r="AF1521">
        <f t="shared" si="428"/>
        <v>1</v>
      </c>
      <c r="AG1521">
        <f t="shared" si="429"/>
        <v>0</v>
      </c>
      <c r="AH1521">
        <f t="shared" si="430"/>
        <v>0</v>
      </c>
      <c r="AI1521">
        <f t="shared" si="431"/>
        <v>0</v>
      </c>
    </row>
    <row r="1522" spans="1:35" x14ac:dyDescent="0.2">
      <c r="A1522">
        <v>397</v>
      </c>
      <c r="B1522" t="s">
        <v>1398</v>
      </c>
      <c r="C1522">
        <v>1</v>
      </c>
      <c r="D1522" t="s">
        <v>4116</v>
      </c>
      <c r="E1522" t="s">
        <v>21</v>
      </c>
      <c r="F1522" t="s">
        <v>39</v>
      </c>
      <c r="G1522" t="s">
        <v>39</v>
      </c>
      <c r="H1522" t="s">
        <v>21</v>
      </c>
      <c r="I1522">
        <v>2</v>
      </c>
      <c r="J1522">
        <v>4</v>
      </c>
      <c r="K1522">
        <v>350</v>
      </c>
      <c r="L1522" t="s">
        <v>194</v>
      </c>
      <c r="M1522" t="s">
        <v>958</v>
      </c>
      <c r="N1522" t="s">
        <v>215</v>
      </c>
      <c r="O1522" t="s">
        <v>4117</v>
      </c>
      <c r="P1522" t="s">
        <v>4118</v>
      </c>
      <c r="Q1522">
        <f t="shared" si="414"/>
        <v>1</v>
      </c>
      <c r="R1522">
        <f t="shared" si="415"/>
        <v>5</v>
      </c>
      <c r="S1522">
        <f t="shared" si="416"/>
        <v>5</v>
      </c>
      <c r="T1522">
        <f t="shared" si="417"/>
        <v>1</v>
      </c>
      <c r="U1522">
        <v>350</v>
      </c>
      <c r="V1522">
        <f t="shared" si="418"/>
        <v>0</v>
      </c>
      <c r="W1522">
        <f t="shared" si="419"/>
        <v>0</v>
      </c>
      <c r="X1522">
        <f t="shared" si="420"/>
        <v>0</v>
      </c>
      <c r="Y1522">
        <f t="shared" si="421"/>
        <v>1</v>
      </c>
      <c r="Z1522">
        <f t="shared" si="422"/>
        <v>1</v>
      </c>
      <c r="AA1522">
        <f t="shared" si="423"/>
        <v>1</v>
      </c>
      <c r="AB1522">
        <f t="shared" si="424"/>
        <v>0</v>
      </c>
      <c r="AC1522">
        <f t="shared" si="425"/>
        <v>1</v>
      </c>
      <c r="AD1522">
        <f t="shared" si="426"/>
        <v>0</v>
      </c>
      <c r="AE1522">
        <f t="shared" si="427"/>
        <v>1</v>
      </c>
      <c r="AF1522">
        <f t="shared" si="428"/>
        <v>1</v>
      </c>
      <c r="AG1522">
        <f t="shared" si="429"/>
        <v>0</v>
      </c>
      <c r="AH1522">
        <f t="shared" si="430"/>
        <v>0</v>
      </c>
      <c r="AI1522">
        <f t="shared" si="431"/>
        <v>0</v>
      </c>
    </row>
    <row r="1523" spans="1:35" x14ac:dyDescent="0.2">
      <c r="A1523">
        <v>398</v>
      </c>
      <c r="B1523" t="s">
        <v>1398</v>
      </c>
      <c r="C1523">
        <v>7</v>
      </c>
      <c r="D1523" t="s">
        <v>4119</v>
      </c>
      <c r="E1523" t="s">
        <v>21</v>
      </c>
      <c r="F1523" t="s">
        <v>19</v>
      </c>
      <c r="G1523" t="s">
        <v>18</v>
      </c>
      <c r="H1523" t="s">
        <v>18</v>
      </c>
      <c r="I1523">
        <v>2</v>
      </c>
      <c r="J1523">
        <v>1</v>
      </c>
      <c r="K1523">
        <v>0</v>
      </c>
      <c r="L1523" t="s">
        <v>435</v>
      </c>
      <c r="M1523" t="s">
        <v>781</v>
      </c>
      <c r="N1523" t="s">
        <v>43</v>
      </c>
      <c r="O1523" t="s">
        <v>1419</v>
      </c>
      <c r="P1523" t="s">
        <v>4120</v>
      </c>
      <c r="Q1523">
        <f t="shared" si="414"/>
        <v>1</v>
      </c>
      <c r="R1523">
        <f t="shared" si="415"/>
        <v>3</v>
      </c>
      <c r="S1523">
        <f t="shared" si="416"/>
        <v>4</v>
      </c>
      <c r="T1523">
        <f t="shared" si="417"/>
        <v>4</v>
      </c>
      <c r="U1523">
        <v>0</v>
      </c>
      <c r="V1523">
        <f t="shared" si="418"/>
        <v>1</v>
      </c>
      <c r="W1523">
        <f t="shared" si="419"/>
        <v>0</v>
      </c>
      <c r="X1523">
        <f t="shared" si="420"/>
        <v>0</v>
      </c>
      <c r="Y1523">
        <f t="shared" si="421"/>
        <v>0</v>
      </c>
      <c r="Z1523">
        <f t="shared" si="422"/>
        <v>1</v>
      </c>
      <c r="AA1523">
        <f t="shared" si="423"/>
        <v>0</v>
      </c>
      <c r="AB1523">
        <f t="shared" si="424"/>
        <v>1</v>
      </c>
      <c r="AC1523">
        <f t="shared" si="425"/>
        <v>1</v>
      </c>
      <c r="AD1523">
        <f t="shared" si="426"/>
        <v>1</v>
      </c>
      <c r="AE1523">
        <f t="shared" si="427"/>
        <v>1</v>
      </c>
      <c r="AF1523">
        <f t="shared" si="428"/>
        <v>1</v>
      </c>
      <c r="AG1523">
        <f t="shared" si="429"/>
        <v>1</v>
      </c>
      <c r="AH1523">
        <f t="shared" si="430"/>
        <v>0</v>
      </c>
      <c r="AI1523">
        <f t="shared" si="431"/>
        <v>0</v>
      </c>
    </row>
    <row r="1524" spans="1:35" x14ac:dyDescent="0.2">
      <c r="A1524">
        <v>399</v>
      </c>
      <c r="B1524" t="s">
        <v>1398</v>
      </c>
      <c r="C1524">
        <v>3</v>
      </c>
      <c r="D1524" t="s">
        <v>4121</v>
      </c>
      <c r="E1524" t="s">
        <v>21</v>
      </c>
      <c r="F1524" t="s">
        <v>20</v>
      </c>
      <c r="G1524" t="s">
        <v>21</v>
      </c>
      <c r="H1524" t="s">
        <v>20</v>
      </c>
      <c r="I1524">
        <v>2</v>
      </c>
      <c r="J1524">
        <v>3</v>
      </c>
      <c r="K1524">
        <v>2000</v>
      </c>
      <c r="L1524" t="s">
        <v>562</v>
      </c>
      <c r="M1524" t="s">
        <v>587</v>
      </c>
      <c r="N1524" t="s">
        <v>215</v>
      </c>
      <c r="O1524" t="s">
        <v>4122</v>
      </c>
      <c r="P1524" t="s">
        <v>4123</v>
      </c>
      <c r="Q1524">
        <f t="shared" si="414"/>
        <v>1</v>
      </c>
      <c r="R1524">
        <f t="shared" si="415"/>
        <v>2</v>
      </c>
      <c r="S1524">
        <f t="shared" si="416"/>
        <v>1</v>
      </c>
      <c r="T1524">
        <f t="shared" si="417"/>
        <v>2</v>
      </c>
      <c r="U1524">
        <v>2000</v>
      </c>
      <c r="V1524">
        <f t="shared" si="418"/>
        <v>0</v>
      </c>
      <c r="W1524">
        <f t="shared" si="419"/>
        <v>1</v>
      </c>
      <c r="X1524">
        <f t="shared" si="420"/>
        <v>1</v>
      </c>
      <c r="Y1524">
        <f t="shared" si="421"/>
        <v>0</v>
      </c>
      <c r="Z1524">
        <f t="shared" si="422"/>
        <v>1</v>
      </c>
      <c r="AA1524">
        <f t="shared" si="423"/>
        <v>0</v>
      </c>
      <c r="AB1524">
        <f t="shared" si="424"/>
        <v>1</v>
      </c>
      <c r="AC1524">
        <f t="shared" si="425"/>
        <v>0</v>
      </c>
      <c r="AD1524">
        <f t="shared" si="426"/>
        <v>1</v>
      </c>
      <c r="AE1524">
        <f t="shared" si="427"/>
        <v>1</v>
      </c>
      <c r="AF1524">
        <f t="shared" si="428"/>
        <v>1</v>
      </c>
      <c r="AG1524">
        <f t="shared" si="429"/>
        <v>0</v>
      </c>
      <c r="AH1524">
        <f t="shared" si="430"/>
        <v>0</v>
      </c>
      <c r="AI1524">
        <f t="shared" si="431"/>
        <v>0</v>
      </c>
    </row>
    <row r="1525" spans="1:35" x14ac:dyDescent="0.2">
      <c r="A1525">
        <v>400</v>
      </c>
      <c r="B1525" t="s">
        <v>1398</v>
      </c>
      <c r="C1525">
        <v>7</v>
      </c>
      <c r="D1525" t="s">
        <v>4124</v>
      </c>
      <c r="E1525" t="s">
        <v>21</v>
      </c>
      <c r="F1525" t="s">
        <v>21</v>
      </c>
      <c r="G1525" t="s">
        <v>18</v>
      </c>
      <c r="H1525" t="s">
        <v>21</v>
      </c>
      <c r="I1525">
        <v>2</v>
      </c>
      <c r="J1525">
        <v>1</v>
      </c>
      <c r="K1525">
        <v>299</v>
      </c>
      <c r="L1525" t="s">
        <v>22</v>
      </c>
      <c r="M1525" t="s">
        <v>23</v>
      </c>
      <c r="N1525" t="s">
        <v>84</v>
      </c>
      <c r="O1525" t="s">
        <v>4125</v>
      </c>
      <c r="P1525" t="s">
        <v>4126</v>
      </c>
      <c r="Q1525">
        <f t="shared" si="414"/>
        <v>1</v>
      </c>
      <c r="R1525">
        <f t="shared" si="415"/>
        <v>1</v>
      </c>
      <c r="S1525">
        <f t="shared" si="416"/>
        <v>4</v>
      </c>
      <c r="T1525">
        <f t="shared" si="417"/>
        <v>1</v>
      </c>
      <c r="U1525">
        <v>299</v>
      </c>
      <c r="V1525">
        <f t="shared" si="418"/>
        <v>1</v>
      </c>
      <c r="W1525">
        <f t="shared" si="419"/>
        <v>0</v>
      </c>
      <c r="X1525">
        <f t="shared" si="420"/>
        <v>0</v>
      </c>
      <c r="Y1525">
        <f t="shared" si="421"/>
        <v>0</v>
      </c>
      <c r="Z1525">
        <f t="shared" si="422"/>
        <v>0</v>
      </c>
      <c r="AA1525">
        <f t="shared" si="423"/>
        <v>1</v>
      </c>
      <c r="AB1525">
        <f t="shared" si="424"/>
        <v>0</v>
      </c>
      <c r="AC1525">
        <f t="shared" si="425"/>
        <v>0</v>
      </c>
      <c r="AD1525">
        <f t="shared" si="426"/>
        <v>0</v>
      </c>
      <c r="AE1525">
        <f t="shared" si="427"/>
        <v>0</v>
      </c>
      <c r="AF1525">
        <f t="shared" si="428"/>
        <v>0</v>
      </c>
      <c r="AG1525">
        <f t="shared" si="429"/>
        <v>1</v>
      </c>
      <c r="AH1525">
        <f t="shared" si="430"/>
        <v>0</v>
      </c>
      <c r="AI1525">
        <f t="shared" si="431"/>
        <v>0</v>
      </c>
    </row>
    <row r="1526" spans="1:35" x14ac:dyDescent="0.2">
      <c r="A1526">
        <v>401</v>
      </c>
      <c r="B1526" t="s">
        <v>1398</v>
      </c>
      <c r="C1526">
        <v>7</v>
      </c>
      <c r="D1526" t="s">
        <v>3776</v>
      </c>
      <c r="E1526" t="s">
        <v>39</v>
      </c>
      <c r="F1526" t="s">
        <v>18</v>
      </c>
      <c r="G1526" t="s">
        <v>39</v>
      </c>
      <c r="H1526" t="s">
        <v>20</v>
      </c>
      <c r="I1526">
        <v>2</v>
      </c>
      <c r="J1526">
        <v>2</v>
      </c>
      <c r="K1526" s="1">
        <v>350</v>
      </c>
      <c r="L1526" t="s">
        <v>230</v>
      </c>
      <c r="M1526" t="s">
        <v>123</v>
      </c>
      <c r="N1526" t="s">
        <v>43</v>
      </c>
      <c r="O1526" t="s">
        <v>1419</v>
      </c>
      <c r="P1526" t="s">
        <v>4127</v>
      </c>
      <c r="Q1526">
        <f t="shared" si="414"/>
        <v>5</v>
      </c>
      <c r="R1526">
        <f t="shared" si="415"/>
        <v>4</v>
      </c>
      <c r="S1526">
        <f t="shared" si="416"/>
        <v>5</v>
      </c>
      <c r="T1526">
        <f t="shared" si="417"/>
        <v>2</v>
      </c>
      <c r="U1526">
        <v>350</v>
      </c>
      <c r="V1526">
        <f t="shared" si="418"/>
        <v>1</v>
      </c>
      <c r="W1526">
        <f t="shared" si="419"/>
        <v>1</v>
      </c>
      <c r="X1526">
        <f t="shared" si="420"/>
        <v>1</v>
      </c>
      <c r="Y1526">
        <f t="shared" si="421"/>
        <v>1</v>
      </c>
      <c r="Z1526">
        <f t="shared" si="422"/>
        <v>1</v>
      </c>
      <c r="AA1526">
        <f t="shared" si="423"/>
        <v>0</v>
      </c>
      <c r="AB1526">
        <f t="shared" si="424"/>
        <v>1</v>
      </c>
      <c r="AC1526">
        <f t="shared" si="425"/>
        <v>1</v>
      </c>
      <c r="AD1526">
        <f t="shared" si="426"/>
        <v>0</v>
      </c>
      <c r="AE1526">
        <f t="shared" si="427"/>
        <v>0</v>
      </c>
      <c r="AF1526">
        <f t="shared" si="428"/>
        <v>1</v>
      </c>
      <c r="AG1526">
        <f t="shared" si="429"/>
        <v>1</v>
      </c>
      <c r="AH1526">
        <f t="shared" si="430"/>
        <v>0</v>
      </c>
      <c r="AI1526">
        <f t="shared" si="431"/>
        <v>0</v>
      </c>
    </row>
    <row r="1527" spans="1:35" x14ac:dyDescent="0.2">
      <c r="A1527">
        <v>402</v>
      </c>
      <c r="B1527" t="s">
        <v>1398</v>
      </c>
      <c r="C1527">
        <v>7</v>
      </c>
      <c r="D1527" t="s">
        <v>1845</v>
      </c>
      <c r="E1527" t="s">
        <v>21</v>
      </c>
      <c r="F1527" t="s">
        <v>39</v>
      </c>
      <c r="G1527" t="s">
        <v>20</v>
      </c>
      <c r="H1527" t="s">
        <v>21</v>
      </c>
      <c r="I1527">
        <v>2</v>
      </c>
      <c r="J1527">
        <v>1</v>
      </c>
      <c r="K1527">
        <v>350</v>
      </c>
      <c r="L1527" t="s">
        <v>41</v>
      </c>
      <c r="M1527" t="s">
        <v>115</v>
      </c>
      <c r="N1527" t="s">
        <v>84</v>
      </c>
      <c r="O1527" t="s">
        <v>4128</v>
      </c>
      <c r="P1527" t="s">
        <v>4129</v>
      </c>
      <c r="Q1527">
        <f t="shared" si="414"/>
        <v>1</v>
      </c>
      <c r="R1527">
        <f t="shared" si="415"/>
        <v>5</v>
      </c>
      <c r="S1527">
        <f t="shared" si="416"/>
        <v>2</v>
      </c>
      <c r="T1527">
        <f t="shared" si="417"/>
        <v>1</v>
      </c>
      <c r="U1527">
        <v>350</v>
      </c>
      <c r="V1527">
        <f t="shared" si="418"/>
        <v>0</v>
      </c>
      <c r="W1527">
        <f t="shared" si="419"/>
        <v>0</v>
      </c>
      <c r="X1527">
        <f t="shared" si="420"/>
        <v>0</v>
      </c>
      <c r="Y1527">
        <f t="shared" si="421"/>
        <v>0</v>
      </c>
      <c r="Z1527">
        <f t="shared" si="422"/>
        <v>1</v>
      </c>
      <c r="AA1527">
        <f t="shared" si="423"/>
        <v>0</v>
      </c>
      <c r="AB1527">
        <f t="shared" si="424"/>
        <v>0</v>
      </c>
      <c r="AC1527">
        <f t="shared" si="425"/>
        <v>1</v>
      </c>
      <c r="AD1527">
        <f t="shared" si="426"/>
        <v>0</v>
      </c>
      <c r="AE1527">
        <f t="shared" si="427"/>
        <v>0</v>
      </c>
      <c r="AF1527">
        <f t="shared" si="428"/>
        <v>0</v>
      </c>
      <c r="AG1527">
        <f t="shared" si="429"/>
        <v>1</v>
      </c>
      <c r="AH1527">
        <f t="shared" si="430"/>
        <v>0</v>
      </c>
      <c r="AI1527">
        <f t="shared" si="431"/>
        <v>0</v>
      </c>
    </row>
    <row r="1528" spans="1:35" x14ac:dyDescent="0.2">
      <c r="A1528">
        <v>403</v>
      </c>
      <c r="B1528" t="s">
        <v>1398</v>
      </c>
      <c r="C1528">
        <v>7</v>
      </c>
      <c r="D1528" t="s">
        <v>4130</v>
      </c>
      <c r="E1528" t="s">
        <v>20</v>
      </c>
      <c r="F1528" t="s">
        <v>39</v>
      </c>
      <c r="G1528" t="s">
        <v>39</v>
      </c>
      <c r="H1528" t="s">
        <v>20</v>
      </c>
      <c r="I1528">
        <v>4</v>
      </c>
      <c r="J1528">
        <v>3</v>
      </c>
      <c r="K1528" s="1">
        <v>3000</v>
      </c>
      <c r="L1528" t="s">
        <v>494</v>
      </c>
      <c r="M1528" t="s">
        <v>161</v>
      </c>
      <c r="N1528" t="s">
        <v>215</v>
      </c>
      <c r="O1528" t="s">
        <v>4131</v>
      </c>
      <c r="P1528" t="s">
        <v>4132</v>
      </c>
      <c r="Q1528">
        <f t="shared" si="414"/>
        <v>2</v>
      </c>
      <c r="R1528">
        <f t="shared" si="415"/>
        <v>5</v>
      </c>
      <c r="S1528">
        <f t="shared" si="416"/>
        <v>5</v>
      </c>
      <c r="T1528">
        <f t="shared" si="417"/>
        <v>2</v>
      </c>
      <c r="U1528">
        <v>3000</v>
      </c>
      <c r="V1528">
        <f t="shared" si="418"/>
        <v>0</v>
      </c>
      <c r="W1528">
        <f t="shared" si="419"/>
        <v>1</v>
      </c>
      <c r="X1528">
        <f t="shared" si="420"/>
        <v>1</v>
      </c>
      <c r="Y1528">
        <f t="shared" si="421"/>
        <v>1</v>
      </c>
      <c r="Z1528">
        <f t="shared" si="422"/>
        <v>1</v>
      </c>
      <c r="AA1528">
        <f t="shared" si="423"/>
        <v>1</v>
      </c>
      <c r="AB1528">
        <f t="shared" si="424"/>
        <v>1</v>
      </c>
      <c r="AC1528">
        <f t="shared" si="425"/>
        <v>1</v>
      </c>
      <c r="AD1528">
        <f t="shared" si="426"/>
        <v>1</v>
      </c>
      <c r="AE1528">
        <f t="shared" si="427"/>
        <v>0</v>
      </c>
      <c r="AF1528">
        <f t="shared" si="428"/>
        <v>1</v>
      </c>
      <c r="AG1528">
        <f t="shared" si="429"/>
        <v>0</v>
      </c>
      <c r="AH1528">
        <f t="shared" si="430"/>
        <v>0</v>
      </c>
      <c r="AI1528">
        <f t="shared" si="431"/>
        <v>0</v>
      </c>
    </row>
    <row r="1529" spans="1:35" x14ac:dyDescent="0.2">
      <c r="A1529">
        <v>404</v>
      </c>
      <c r="B1529" t="s">
        <v>1398</v>
      </c>
      <c r="C1529">
        <v>4</v>
      </c>
      <c r="D1529" t="s">
        <v>4133</v>
      </c>
      <c r="E1529" t="s">
        <v>20</v>
      </c>
      <c r="F1529" t="s">
        <v>39</v>
      </c>
      <c r="G1529" t="s">
        <v>39</v>
      </c>
      <c r="H1529" t="s">
        <v>21</v>
      </c>
      <c r="I1529">
        <v>2</v>
      </c>
      <c r="J1529">
        <v>2</v>
      </c>
      <c r="K1529">
        <v>0</v>
      </c>
      <c r="L1529" t="s">
        <v>514</v>
      </c>
      <c r="M1529" t="s">
        <v>468</v>
      </c>
      <c r="N1529" t="s">
        <v>43</v>
      </c>
      <c r="O1529" t="s">
        <v>4134</v>
      </c>
      <c r="P1529" t="s">
        <v>4135</v>
      </c>
      <c r="Q1529">
        <f t="shared" si="414"/>
        <v>2</v>
      </c>
      <c r="R1529">
        <f t="shared" si="415"/>
        <v>5</v>
      </c>
      <c r="S1529">
        <f t="shared" si="416"/>
        <v>5</v>
      </c>
      <c r="T1529">
        <f t="shared" si="417"/>
        <v>1</v>
      </c>
      <c r="U1529">
        <v>0</v>
      </c>
      <c r="V1529">
        <f t="shared" si="418"/>
        <v>1</v>
      </c>
      <c r="W1529">
        <f t="shared" si="419"/>
        <v>1</v>
      </c>
      <c r="X1529">
        <f t="shared" si="420"/>
        <v>0</v>
      </c>
      <c r="Y1529">
        <f t="shared" si="421"/>
        <v>0</v>
      </c>
      <c r="Z1529">
        <f t="shared" si="422"/>
        <v>1</v>
      </c>
      <c r="AA1529">
        <f t="shared" si="423"/>
        <v>1</v>
      </c>
      <c r="AB1529">
        <f t="shared" si="424"/>
        <v>1</v>
      </c>
      <c r="AC1529">
        <f t="shared" si="425"/>
        <v>1</v>
      </c>
      <c r="AD1529">
        <f t="shared" si="426"/>
        <v>1</v>
      </c>
      <c r="AE1529">
        <f t="shared" si="427"/>
        <v>1</v>
      </c>
      <c r="AF1529">
        <f t="shared" si="428"/>
        <v>1</v>
      </c>
      <c r="AG1529">
        <f t="shared" si="429"/>
        <v>1</v>
      </c>
      <c r="AH1529">
        <f t="shared" si="430"/>
        <v>0</v>
      </c>
      <c r="AI1529">
        <f t="shared" si="431"/>
        <v>0</v>
      </c>
    </row>
    <row r="1530" spans="1:35" x14ac:dyDescent="0.2">
      <c r="A1530">
        <v>405</v>
      </c>
      <c r="B1530" t="s">
        <v>1398</v>
      </c>
      <c r="C1530">
        <v>7</v>
      </c>
      <c r="D1530" t="s">
        <v>4136</v>
      </c>
      <c r="E1530" t="s">
        <v>21</v>
      </c>
      <c r="F1530" t="s">
        <v>18</v>
      </c>
      <c r="G1530" t="s">
        <v>18</v>
      </c>
      <c r="H1530" t="s">
        <v>21</v>
      </c>
      <c r="I1530">
        <v>2</v>
      </c>
      <c r="J1530">
        <v>3</v>
      </c>
      <c r="K1530">
        <v>30</v>
      </c>
      <c r="L1530" t="s">
        <v>41</v>
      </c>
      <c r="M1530" t="s">
        <v>48</v>
      </c>
      <c r="N1530" t="s">
        <v>43</v>
      </c>
      <c r="O1530" t="s">
        <v>4137</v>
      </c>
      <c r="P1530" t="s">
        <v>4138</v>
      </c>
      <c r="Q1530">
        <f t="shared" si="414"/>
        <v>1</v>
      </c>
      <c r="R1530">
        <f t="shared" si="415"/>
        <v>4</v>
      </c>
      <c r="S1530">
        <f t="shared" si="416"/>
        <v>4</v>
      </c>
      <c r="T1530">
        <f t="shared" si="417"/>
        <v>1</v>
      </c>
      <c r="U1530">
        <v>30</v>
      </c>
      <c r="V1530">
        <f t="shared" si="418"/>
        <v>0</v>
      </c>
      <c r="W1530">
        <f t="shared" si="419"/>
        <v>0</v>
      </c>
      <c r="X1530">
        <f t="shared" si="420"/>
        <v>0</v>
      </c>
      <c r="Y1530">
        <f t="shared" si="421"/>
        <v>0</v>
      </c>
      <c r="Z1530">
        <f t="shared" si="422"/>
        <v>1</v>
      </c>
      <c r="AA1530">
        <f t="shared" si="423"/>
        <v>1</v>
      </c>
      <c r="AB1530">
        <f t="shared" si="424"/>
        <v>1</v>
      </c>
      <c r="AC1530">
        <f t="shared" si="425"/>
        <v>1</v>
      </c>
      <c r="AD1530">
        <f t="shared" si="426"/>
        <v>0</v>
      </c>
      <c r="AE1530">
        <f t="shared" si="427"/>
        <v>0</v>
      </c>
      <c r="AF1530">
        <f t="shared" si="428"/>
        <v>1</v>
      </c>
      <c r="AG1530">
        <f t="shared" si="429"/>
        <v>1</v>
      </c>
      <c r="AH1530">
        <f t="shared" si="430"/>
        <v>0</v>
      </c>
      <c r="AI1530">
        <f t="shared" si="431"/>
        <v>0</v>
      </c>
    </row>
    <row r="1531" spans="1:35" x14ac:dyDescent="0.2">
      <c r="A1531">
        <v>406</v>
      </c>
      <c r="B1531" t="s">
        <v>1398</v>
      </c>
      <c r="C1531">
        <v>6</v>
      </c>
      <c r="D1531" t="s">
        <v>1418</v>
      </c>
      <c r="E1531" t="s">
        <v>21</v>
      </c>
      <c r="F1531" t="s">
        <v>39</v>
      </c>
      <c r="G1531" t="s">
        <v>18</v>
      </c>
      <c r="H1531" t="s">
        <v>21</v>
      </c>
      <c r="I1531">
        <v>1</v>
      </c>
      <c r="J1531">
        <v>2</v>
      </c>
      <c r="K1531">
        <v>10000000</v>
      </c>
      <c r="L1531" t="s">
        <v>601</v>
      </c>
      <c r="M1531" t="s">
        <v>115</v>
      </c>
      <c r="N1531" t="s">
        <v>43</v>
      </c>
      <c r="O1531" t="s">
        <v>1419</v>
      </c>
      <c r="P1531" t="s">
        <v>4139</v>
      </c>
      <c r="Q1531">
        <f t="shared" si="414"/>
        <v>1</v>
      </c>
      <c r="R1531">
        <f t="shared" si="415"/>
        <v>5</v>
      </c>
      <c r="S1531">
        <f t="shared" si="416"/>
        <v>4</v>
      </c>
      <c r="T1531">
        <f t="shared" si="417"/>
        <v>1</v>
      </c>
      <c r="U1531">
        <v>10000000</v>
      </c>
      <c r="V1531">
        <f t="shared" si="418"/>
        <v>0</v>
      </c>
      <c r="W1531">
        <f t="shared" si="419"/>
        <v>1</v>
      </c>
      <c r="X1531">
        <f t="shared" si="420"/>
        <v>0</v>
      </c>
      <c r="Y1531">
        <f t="shared" si="421"/>
        <v>1</v>
      </c>
      <c r="Z1531">
        <f t="shared" si="422"/>
        <v>1</v>
      </c>
      <c r="AA1531">
        <f t="shared" si="423"/>
        <v>0</v>
      </c>
      <c r="AB1531">
        <f t="shared" si="424"/>
        <v>0</v>
      </c>
      <c r="AC1531">
        <f t="shared" si="425"/>
        <v>1</v>
      </c>
      <c r="AD1531">
        <f t="shared" si="426"/>
        <v>0</v>
      </c>
      <c r="AE1531">
        <f t="shared" si="427"/>
        <v>0</v>
      </c>
      <c r="AF1531">
        <f t="shared" si="428"/>
        <v>1</v>
      </c>
      <c r="AG1531">
        <f t="shared" si="429"/>
        <v>1</v>
      </c>
      <c r="AH1531">
        <f t="shared" si="430"/>
        <v>0</v>
      </c>
      <c r="AI1531">
        <f t="shared" si="431"/>
        <v>0</v>
      </c>
    </row>
    <row r="1532" spans="1:35" x14ac:dyDescent="0.2">
      <c r="A1532">
        <v>407</v>
      </c>
      <c r="B1532" t="s">
        <v>1398</v>
      </c>
      <c r="C1532">
        <v>4</v>
      </c>
      <c r="D1532" t="s">
        <v>1199</v>
      </c>
      <c r="E1532" t="s">
        <v>20</v>
      </c>
      <c r="F1532" t="s">
        <v>18</v>
      </c>
      <c r="G1532" t="s">
        <v>39</v>
      </c>
      <c r="H1532" t="s">
        <v>21</v>
      </c>
      <c r="I1532">
        <v>4</v>
      </c>
      <c r="J1532">
        <v>4</v>
      </c>
      <c r="K1532" s="1">
        <v>500</v>
      </c>
      <c r="L1532" t="s">
        <v>443</v>
      </c>
      <c r="M1532" t="s">
        <v>48</v>
      </c>
      <c r="N1532" t="s">
        <v>215</v>
      </c>
      <c r="O1532" t="s">
        <v>4140</v>
      </c>
      <c r="P1532" t="s">
        <v>4141</v>
      </c>
      <c r="Q1532">
        <f t="shared" si="414"/>
        <v>2</v>
      </c>
      <c r="R1532">
        <f t="shared" si="415"/>
        <v>4</v>
      </c>
      <c r="S1532">
        <f t="shared" si="416"/>
        <v>5</v>
      </c>
      <c r="T1532">
        <f t="shared" si="417"/>
        <v>1</v>
      </c>
      <c r="U1532">
        <v>500</v>
      </c>
      <c r="V1532">
        <f t="shared" si="418"/>
        <v>1</v>
      </c>
      <c r="W1532">
        <f t="shared" si="419"/>
        <v>0</v>
      </c>
      <c r="X1532">
        <f t="shared" si="420"/>
        <v>0</v>
      </c>
      <c r="Y1532">
        <f t="shared" si="421"/>
        <v>1</v>
      </c>
      <c r="Z1532">
        <f t="shared" si="422"/>
        <v>1</v>
      </c>
      <c r="AA1532">
        <f t="shared" si="423"/>
        <v>1</v>
      </c>
      <c r="AB1532">
        <f t="shared" si="424"/>
        <v>1</v>
      </c>
      <c r="AC1532">
        <f t="shared" si="425"/>
        <v>1</v>
      </c>
      <c r="AD1532">
        <f t="shared" si="426"/>
        <v>0</v>
      </c>
      <c r="AE1532">
        <f t="shared" si="427"/>
        <v>0</v>
      </c>
      <c r="AF1532">
        <f t="shared" si="428"/>
        <v>1</v>
      </c>
      <c r="AG1532">
        <f t="shared" si="429"/>
        <v>0</v>
      </c>
      <c r="AH1532">
        <f t="shared" si="430"/>
        <v>0</v>
      </c>
      <c r="AI1532">
        <f t="shared" si="431"/>
        <v>0</v>
      </c>
    </row>
    <row r="1533" spans="1:35" x14ac:dyDescent="0.2">
      <c r="A1533">
        <v>408</v>
      </c>
      <c r="B1533" t="s">
        <v>1398</v>
      </c>
      <c r="C1533">
        <v>10</v>
      </c>
      <c r="D1533" t="s">
        <v>4142</v>
      </c>
      <c r="E1533" t="s">
        <v>20</v>
      </c>
      <c r="F1533" t="s">
        <v>39</v>
      </c>
      <c r="G1533" t="s">
        <v>39</v>
      </c>
      <c r="H1533" t="s">
        <v>21</v>
      </c>
      <c r="I1533">
        <v>8</v>
      </c>
      <c r="J1533">
        <v>3</v>
      </c>
      <c r="K1533" s="1">
        <v>150</v>
      </c>
      <c r="L1533" t="s">
        <v>494</v>
      </c>
      <c r="M1533" t="s">
        <v>468</v>
      </c>
      <c r="N1533" t="s">
        <v>43</v>
      </c>
      <c r="O1533" t="s">
        <v>4143</v>
      </c>
      <c r="P1533" t="s">
        <v>4144</v>
      </c>
      <c r="Q1533">
        <f t="shared" si="414"/>
        <v>2</v>
      </c>
      <c r="R1533">
        <f t="shared" si="415"/>
        <v>5</v>
      </c>
      <c r="S1533">
        <f t="shared" si="416"/>
        <v>5</v>
      </c>
      <c r="T1533">
        <f t="shared" si="417"/>
        <v>1</v>
      </c>
      <c r="U1533">
        <v>150</v>
      </c>
      <c r="V1533">
        <f t="shared" si="418"/>
        <v>0</v>
      </c>
      <c r="W1533">
        <f t="shared" si="419"/>
        <v>1</v>
      </c>
      <c r="X1533">
        <f t="shared" si="420"/>
        <v>1</v>
      </c>
      <c r="Y1533">
        <f t="shared" si="421"/>
        <v>1</v>
      </c>
      <c r="Z1533">
        <f t="shared" si="422"/>
        <v>1</v>
      </c>
      <c r="AA1533">
        <f t="shared" si="423"/>
        <v>1</v>
      </c>
      <c r="AB1533">
        <f t="shared" si="424"/>
        <v>1</v>
      </c>
      <c r="AC1533">
        <f t="shared" si="425"/>
        <v>1</v>
      </c>
      <c r="AD1533">
        <f t="shared" si="426"/>
        <v>1</v>
      </c>
      <c r="AE1533">
        <f t="shared" si="427"/>
        <v>1</v>
      </c>
      <c r="AF1533">
        <f t="shared" si="428"/>
        <v>1</v>
      </c>
      <c r="AG1533">
        <f t="shared" si="429"/>
        <v>1</v>
      </c>
      <c r="AH1533">
        <f t="shared" si="430"/>
        <v>0</v>
      </c>
      <c r="AI1533">
        <f t="shared" si="431"/>
        <v>0</v>
      </c>
    </row>
    <row r="1534" spans="1:35" x14ac:dyDescent="0.2">
      <c r="A1534">
        <v>409</v>
      </c>
      <c r="B1534" t="s">
        <v>1398</v>
      </c>
      <c r="C1534">
        <v>3</v>
      </c>
      <c r="D1534" t="s">
        <v>4145</v>
      </c>
      <c r="E1534" t="s">
        <v>21</v>
      </c>
      <c r="F1534" t="s">
        <v>39</v>
      </c>
      <c r="G1534" t="s">
        <v>39</v>
      </c>
      <c r="H1534" t="s">
        <v>21</v>
      </c>
      <c r="I1534">
        <v>1</v>
      </c>
      <c r="J1534">
        <v>1</v>
      </c>
      <c r="K1534">
        <v>10000</v>
      </c>
      <c r="L1534" t="s">
        <v>194</v>
      </c>
      <c r="M1534" t="s">
        <v>161</v>
      </c>
      <c r="N1534" t="s">
        <v>215</v>
      </c>
      <c r="O1534" t="s">
        <v>4146</v>
      </c>
      <c r="P1534" t="s">
        <v>4147</v>
      </c>
      <c r="Q1534">
        <f t="shared" si="414"/>
        <v>1</v>
      </c>
      <c r="R1534">
        <f t="shared" si="415"/>
        <v>5</v>
      </c>
      <c r="S1534">
        <f t="shared" si="416"/>
        <v>5</v>
      </c>
      <c r="T1534">
        <f t="shared" si="417"/>
        <v>1</v>
      </c>
      <c r="U1534">
        <v>10000</v>
      </c>
      <c r="V1534">
        <f t="shared" si="418"/>
        <v>0</v>
      </c>
      <c r="W1534">
        <f t="shared" si="419"/>
        <v>0</v>
      </c>
      <c r="X1534">
        <f t="shared" si="420"/>
        <v>0</v>
      </c>
      <c r="Y1534">
        <f t="shared" si="421"/>
        <v>1</v>
      </c>
      <c r="Z1534">
        <f t="shared" si="422"/>
        <v>1</v>
      </c>
      <c r="AA1534">
        <f t="shared" si="423"/>
        <v>1</v>
      </c>
      <c r="AB1534">
        <f t="shared" si="424"/>
        <v>1</v>
      </c>
      <c r="AC1534">
        <f t="shared" si="425"/>
        <v>1</v>
      </c>
      <c r="AD1534">
        <f t="shared" si="426"/>
        <v>1</v>
      </c>
      <c r="AE1534">
        <f t="shared" si="427"/>
        <v>0</v>
      </c>
      <c r="AF1534">
        <f t="shared" si="428"/>
        <v>1</v>
      </c>
      <c r="AG1534">
        <f t="shared" si="429"/>
        <v>0</v>
      </c>
      <c r="AH1534">
        <f t="shared" si="430"/>
        <v>0</v>
      </c>
      <c r="AI1534">
        <f t="shared" si="431"/>
        <v>0</v>
      </c>
    </row>
    <row r="1535" spans="1:35" x14ac:dyDescent="0.2">
      <c r="A1535">
        <v>410</v>
      </c>
      <c r="B1535" t="s">
        <v>1398</v>
      </c>
      <c r="C1535">
        <v>7</v>
      </c>
      <c r="D1535" t="s">
        <v>4148</v>
      </c>
      <c r="E1535" t="s">
        <v>20</v>
      </c>
      <c r="F1535" t="s">
        <v>18</v>
      </c>
      <c r="G1535" t="s">
        <v>18</v>
      </c>
      <c r="H1535" t="s">
        <v>21</v>
      </c>
      <c r="I1535">
        <v>1</v>
      </c>
      <c r="J1535">
        <v>1</v>
      </c>
      <c r="K1535">
        <v>400</v>
      </c>
      <c r="L1535" t="s">
        <v>230</v>
      </c>
      <c r="M1535" t="s">
        <v>48</v>
      </c>
      <c r="N1535" t="s">
        <v>43</v>
      </c>
      <c r="O1535" t="s">
        <v>1419</v>
      </c>
      <c r="P1535" t="s">
        <v>4149</v>
      </c>
      <c r="Q1535">
        <f t="shared" si="414"/>
        <v>2</v>
      </c>
      <c r="R1535">
        <f t="shared" si="415"/>
        <v>4</v>
      </c>
      <c r="S1535">
        <f t="shared" si="416"/>
        <v>4</v>
      </c>
      <c r="T1535">
        <f t="shared" si="417"/>
        <v>1</v>
      </c>
      <c r="U1535">
        <v>400</v>
      </c>
      <c r="V1535">
        <f t="shared" si="418"/>
        <v>1</v>
      </c>
      <c r="W1535">
        <f t="shared" si="419"/>
        <v>1</v>
      </c>
      <c r="X1535">
        <f t="shared" si="420"/>
        <v>1</v>
      </c>
      <c r="Y1535">
        <f t="shared" si="421"/>
        <v>1</v>
      </c>
      <c r="Z1535">
        <f t="shared" si="422"/>
        <v>1</v>
      </c>
      <c r="AA1535">
        <f t="shared" si="423"/>
        <v>1</v>
      </c>
      <c r="AB1535">
        <f t="shared" si="424"/>
        <v>1</v>
      </c>
      <c r="AC1535">
        <f t="shared" si="425"/>
        <v>1</v>
      </c>
      <c r="AD1535">
        <f t="shared" si="426"/>
        <v>0</v>
      </c>
      <c r="AE1535">
        <f t="shared" si="427"/>
        <v>0</v>
      </c>
      <c r="AF1535">
        <f t="shared" si="428"/>
        <v>1</v>
      </c>
      <c r="AG1535">
        <f t="shared" si="429"/>
        <v>1</v>
      </c>
      <c r="AH1535">
        <f t="shared" si="430"/>
        <v>0</v>
      </c>
      <c r="AI1535">
        <f t="shared" si="431"/>
        <v>0</v>
      </c>
    </row>
    <row r="1536" spans="1:35" x14ac:dyDescent="0.2">
      <c r="A1536">
        <v>411</v>
      </c>
      <c r="B1536" t="s">
        <v>1398</v>
      </c>
      <c r="C1536">
        <v>10</v>
      </c>
      <c r="D1536" t="s">
        <v>4150</v>
      </c>
      <c r="E1536" t="s">
        <v>20</v>
      </c>
      <c r="F1536" t="s">
        <v>39</v>
      </c>
      <c r="G1536" t="s">
        <v>39</v>
      </c>
      <c r="H1536" t="s">
        <v>21</v>
      </c>
      <c r="I1536">
        <v>3</v>
      </c>
      <c r="J1536">
        <v>3</v>
      </c>
      <c r="K1536">
        <v>100</v>
      </c>
      <c r="L1536" t="s">
        <v>562</v>
      </c>
      <c r="M1536" t="s">
        <v>468</v>
      </c>
      <c r="N1536" t="s">
        <v>43</v>
      </c>
      <c r="O1536" t="s">
        <v>4151</v>
      </c>
      <c r="P1536" t="s">
        <v>4152</v>
      </c>
      <c r="Q1536">
        <f t="shared" si="414"/>
        <v>2</v>
      </c>
      <c r="R1536">
        <f t="shared" si="415"/>
        <v>5</v>
      </c>
      <c r="S1536">
        <f t="shared" si="416"/>
        <v>5</v>
      </c>
      <c r="T1536">
        <f t="shared" si="417"/>
        <v>1</v>
      </c>
      <c r="U1536">
        <v>100</v>
      </c>
      <c r="V1536">
        <f t="shared" si="418"/>
        <v>0</v>
      </c>
      <c r="W1536">
        <f t="shared" si="419"/>
        <v>1</v>
      </c>
      <c r="X1536">
        <f t="shared" si="420"/>
        <v>1</v>
      </c>
      <c r="Y1536">
        <f t="shared" si="421"/>
        <v>0</v>
      </c>
      <c r="Z1536">
        <f t="shared" si="422"/>
        <v>1</v>
      </c>
      <c r="AA1536">
        <f t="shared" si="423"/>
        <v>1</v>
      </c>
      <c r="AB1536">
        <f t="shared" si="424"/>
        <v>1</v>
      </c>
      <c r="AC1536">
        <f t="shared" si="425"/>
        <v>1</v>
      </c>
      <c r="AD1536">
        <f t="shared" si="426"/>
        <v>1</v>
      </c>
      <c r="AE1536">
        <f t="shared" si="427"/>
        <v>1</v>
      </c>
      <c r="AF1536">
        <f t="shared" si="428"/>
        <v>1</v>
      </c>
      <c r="AG1536">
        <f t="shared" si="429"/>
        <v>1</v>
      </c>
      <c r="AH1536">
        <f t="shared" si="430"/>
        <v>0</v>
      </c>
      <c r="AI1536">
        <f t="shared" si="431"/>
        <v>0</v>
      </c>
    </row>
    <row r="1537" spans="1:35" x14ac:dyDescent="0.2">
      <c r="A1537">
        <v>412</v>
      </c>
      <c r="B1537" t="s">
        <v>1398</v>
      </c>
      <c r="C1537">
        <v>5</v>
      </c>
      <c r="D1537" t="s">
        <v>4153</v>
      </c>
      <c r="E1537" t="s">
        <v>39</v>
      </c>
      <c r="F1537" t="s">
        <v>18</v>
      </c>
      <c r="G1537" t="s">
        <v>18</v>
      </c>
      <c r="H1537" t="s">
        <v>20</v>
      </c>
      <c r="I1537">
        <v>2</v>
      </c>
      <c r="J1537">
        <v>3</v>
      </c>
      <c r="K1537" s="1">
        <v>50</v>
      </c>
      <c r="L1537" t="s">
        <v>79</v>
      </c>
      <c r="M1537" t="s">
        <v>48</v>
      </c>
      <c r="N1537" t="s">
        <v>215</v>
      </c>
      <c r="O1537" t="s">
        <v>4154</v>
      </c>
      <c r="P1537" t="s">
        <v>4155</v>
      </c>
      <c r="Q1537">
        <f t="shared" si="414"/>
        <v>5</v>
      </c>
      <c r="R1537">
        <f t="shared" si="415"/>
        <v>4</v>
      </c>
      <c r="S1537">
        <f t="shared" si="416"/>
        <v>4</v>
      </c>
      <c r="T1537">
        <f t="shared" si="417"/>
        <v>2</v>
      </c>
      <c r="U1537">
        <v>50</v>
      </c>
      <c r="V1537">
        <f t="shared" si="418"/>
        <v>0</v>
      </c>
      <c r="W1537">
        <f t="shared" si="419"/>
        <v>1</v>
      </c>
      <c r="X1537">
        <f t="shared" si="420"/>
        <v>0</v>
      </c>
      <c r="Y1537">
        <f t="shared" si="421"/>
        <v>0</v>
      </c>
      <c r="Z1537">
        <f t="shared" si="422"/>
        <v>1</v>
      </c>
      <c r="AA1537">
        <f t="shared" si="423"/>
        <v>1</v>
      </c>
      <c r="AB1537">
        <f t="shared" si="424"/>
        <v>1</v>
      </c>
      <c r="AC1537">
        <f t="shared" si="425"/>
        <v>1</v>
      </c>
      <c r="AD1537">
        <f t="shared" si="426"/>
        <v>0</v>
      </c>
      <c r="AE1537">
        <f t="shared" si="427"/>
        <v>0</v>
      </c>
      <c r="AF1537">
        <f t="shared" si="428"/>
        <v>1</v>
      </c>
      <c r="AG1537">
        <f t="shared" si="429"/>
        <v>0</v>
      </c>
      <c r="AH1537">
        <f t="shared" si="430"/>
        <v>0</v>
      </c>
      <c r="AI1537">
        <f t="shared" si="431"/>
        <v>0</v>
      </c>
    </row>
    <row r="1538" spans="1:35" x14ac:dyDescent="0.2">
      <c r="A1538">
        <v>413</v>
      </c>
      <c r="B1538" t="s">
        <v>1398</v>
      </c>
      <c r="C1538">
        <v>9</v>
      </c>
      <c r="D1538" t="s">
        <v>4156</v>
      </c>
      <c r="E1538" t="s">
        <v>21</v>
      </c>
      <c r="F1538" t="s">
        <v>39</v>
      </c>
      <c r="G1538" t="s">
        <v>39</v>
      </c>
      <c r="H1538" t="s">
        <v>21</v>
      </c>
      <c r="I1538">
        <v>4</v>
      </c>
      <c r="J1538">
        <v>1</v>
      </c>
      <c r="K1538">
        <v>50</v>
      </c>
      <c r="L1538" t="s">
        <v>194</v>
      </c>
      <c r="M1538" t="s">
        <v>154</v>
      </c>
      <c r="N1538" t="s">
        <v>84</v>
      </c>
      <c r="O1538" t="s">
        <v>4157</v>
      </c>
      <c r="P1538" t="s">
        <v>4158</v>
      </c>
      <c r="Q1538">
        <f t="shared" si="414"/>
        <v>1</v>
      </c>
      <c r="R1538">
        <f t="shared" si="415"/>
        <v>5</v>
      </c>
      <c r="S1538">
        <f t="shared" si="416"/>
        <v>5</v>
      </c>
      <c r="T1538">
        <f t="shared" si="417"/>
        <v>1</v>
      </c>
      <c r="U1538">
        <v>50</v>
      </c>
      <c r="V1538">
        <f t="shared" si="418"/>
        <v>0</v>
      </c>
      <c r="W1538">
        <f t="shared" si="419"/>
        <v>0</v>
      </c>
      <c r="X1538">
        <f t="shared" si="420"/>
        <v>0</v>
      </c>
      <c r="Y1538">
        <f t="shared" si="421"/>
        <v>1</v>
      </c>
      <c r="Z1538">
        <f t="shared" si="422"/>
        <v>1</v>
      </c>
      <c r="AA1538">
        <f t="shared" si="423"/>
        <v>1</v>
      </c>
      <c r="AB1538">
        <f t="shared" si="424"/>
        <v>0</v>
      </c>
      <c r="AC1538">
        <f t="shared" si="425"/>
        <v>1</v>
      </c>
      <c r="AD1538">
        <f t="shared" si="426"/>
        <v>0</v>
      </c>
      <c r="AE1538">
        <f t="shared" si="427"/>
        <v>0</v>
      </c>
      <c r="AF1538">
        <f t="shared" si="428"/>
        <v>0</v>
      </c>
      <c r="AG1538">
        <f t="shared" si="429"/>
        <v>1</v>
      </c>
      <c r="AH1538">
        <f t="shared" si="430"/>
        <v>0</v>
      </c>
      <c r="AI1538">
        <f t="shared" si="431"/>
        <v>0</v>
      </c>
    </row>
    <row r="1539" spans="1:35" x14ac:dyDescent="0.2">
      <c r="A1539">
        <v>414</v>
      </c>
      <c r="B1539" t="s">
        <v>1398</v>
      </c>
      <c r="C1539">
        <v>4</v>
      </c>
      <c r="D1539" t="s">
        <v>4159</v>
      </c>
      <c r="E1539" t="s">
        <v>21</v>
      </c>
      <c r="F1539" t="s">
        <v>18</v>
      </c>
      <c r="G1539" t="s">
        <v>39</v>
      </c>
      <c r="H1539" t="s">
        <v>21</v>
      </c>
      <c r="I1539">
        <v>3</v>
      </c>
      <c r="J1539">
        <v>2</v>
      </c>
      <c r="K1539">
        <v>20</v>
      </c>
      <c r="L1539" t="s">
        <v>41</v>
      </c>
      <c r="M1539" t="s">
        <v>115</v>
      </c>
      <c r="N1539" t="s">
        <v>215</v>
      </c>
      <c r="O1539" t="s">
        <v>909</v>
      </c>
      <c r="P1539" t="s">
        <v>4160</v>
      </c>
      <c r="Q1539">
        <f t="shared" ref="Q1539:Q1602" si="432">IF(E1539="", "", LEFT(E1539, 1) * 1)</f>
        <v>1</v>
      </c>
      <c r="R1539">
        <f t="shared" ref="R1539:R1602" si="433">IF(F1539="","",VALUE(LEFT(F1539,FIND(" ",F1539)-1)))</f>
        <v>4</v>
      </c>
      <c r="S1539">
        <f t="shared" ref="S1539:S1602" si="434">IF(G1539="","",VALUE(LEFT(G1539,FIND(" ",G1539)-1)))</f>
        <v>5</v>
      </c>
      <c r="T1539">
        <f t="shared" ref="T1539:T1602" si="435">IF(H1539="","",VALUE(LEFT(H1539,FIND(" ",H1539)-1)))</f>
        <v>1</v>
      </c>
      <c r="U1539">
        <v>20</v>
      </c>
      <c r="V1539">
        <f t="shared" ref="V1539:V1602" si="436">IF(L1539="",0,IF(ISNUMBER(SEARCH("Bathroom",L1539)),1,0))</f>
        <v>0</v>
      </c>
      <c r="W1539">
        <f t="shared" ref="W1539:W1602" si="437">IF(L1539="",0,IF(ISNUMBER(SEARCH("Dining room",L1539)),1,0))</f>
        <v>0</v>
      </c>
      <c r="X1539">
        <f t="shared" ref="X1539:X1602" si="438">IF(L1539="",0,IF(ISNUMBER(SEARCH("Office",L1539)),1,0))</f>
        <v>0</v>
      </c>
      <c r="Y1539">
        <f t="shared" ref="Y1539:Y1602" si="439">IF(L1539="",0,IF(ISNUMBER(SEARCH("Bedroom",L1539)),1,0))</f>
        <v>0</v>
      </c>
      <c r="Z1539">
        <f t="shared" ref="Z1539:Z1602" si="440">IF(L1539="",0,IF(ISNUMBER(SEARCH("Living room",L1539)),1,0))</f>
        <v>1</v>
      </c>
      <c r="AA1539">
        <f t="shared" ref="AA1539:AA1602" si="441">IF(M1539="",0, IF(ISNUMBER(SEARCH("By yourself",M1539)), 1, 0))</f>
        <v>0</v>
      </c>
      <c r="AB1539">
        <f t="shared" ref="AB1539:AB1602" si="442">IF(M1539="", 0, IF(ISNUMBER(SEARCH("Friends", M1539)), 1, 0))</f>
        <v>0</v>
      </c>
      <c r="AC1539">
        <f t="shared" ref="AC1539:AC1602" si="443">IF(M1539="",0,IF(ISNUMBER(SEARCH("Family members", M1539)), 1, 0))</f>
        <v>1</v>
      </c>
      <c r="AD1539">
        <f t="shared" ref="AD1539:AD1602" si="444">IF(M1539="", 0, IF(ISNUMBER(SEARCH("Coworkers/Classmates", M1539)), 1, 0))</f>
        <v>0</v>
      </c>
      <c r="AE1539">
        <f t="shared" ref="AE1539:AE1602" si="445">IF(M1539="", 0, IF(ISNUMBER(SEARCH("Strangers", M1539)), 1, 0))</f>
        <v>0</v>
      </c>
      <c r="AF1539">
        <f t="shared" ref="AF1539:AF1602" si="446">IF(N1539="", 0, IF(ISNUMBER(SEARCH("Spring", N1539)), 1, 0))</f>
        <v>1</v>
      </c>
      <c r="AG1539">
        <f t="shared" ref="AG1539:AG1602" si="447">IF(N1539="", 0, IF(ISNUMBER(SEARCH("Summer", N1539)), 1, 0))</f>
        <v>0</v>
      </c>
      <c r="AH1539">
        <f t="shared" ref="AH1539:AH1602" si="448">IF(N1539="", 0, IF(ISNUMBER(SEARCH("Fall", N1539)), 1, 0))</f>
        <v>0</v>
      </c>
      <c r="AI1539">
        <f t="shared" ref="AI1539:AI1602" si="449">IF(N1539="", 0, IF(ISNUMBER(SEARCH("Winter", N1539)), 1, 0))</f>
        <v>0</v>
      </c>
    </row>
    <row r="1540" spans="1:35" x14ac:dyDescent="0.2">
      <c r="A1540">
        <v>415</v>
      </c>
      <c r="B1540" t="s">
        <v>1398</v>
      </c>
      <c r="C1540">
        <v>3</v>
      </c>
      <c r="D1540" t="s">
        <v>4161</v>
      </c>
      <c r="E1540" t="s">
        <v>21</v>
      </c>
      <c r="F1540" t="s">
        <v>18</v>
      </c>
      <c r="G1540" t="s">
        <v>18</v>
      </c>
      <c r="H1540" t="s">
        <v>20</v>
      </c>
      <c r="I1540">
        <v>1</v>
      </c>
      <c r="J1540">
        <v>1</v>
      </c>
      <c r="K1540" s="1">
        <v>10</v>
      </c>
      <c r="L1540" t="s">
        <v>41</v>
      </c>
      <c r="M1540" t="s">
        <v>42</v>
      </c>
      <c r="N1540" t="s">
        <v>84</v>
      </c>
      <c r="O1540" t="s">
        <v>4162</v>
      </c>
      <c r="P1540" t="s">
        <v>4163</v>
      </c>
      <c r="Q1540">
        <f t="shared" si="432"/>
        <v>1</v>
      </c>
      <c r="R1540">
        <f t="shared" si="433"/>
        <v>4</v>
      </c>
      <c r="S1540">
        <f t="shared" si="434"/>
        <v>4</v>
      </c>
      <c r="T1540">
        <f t="shared" si="435"/>
        <v>2</v>
      </c>
      <c r="U1540">
        <v>10</v>
      </c>
      <c r="V1540">
        <f t="shared" si="436"/>
        <v>0</v>
      </c>
      <c r="W1540">
        <f t="shared" si="437"/>
        <v>0</v>
      </c>
      <c r="X1540">
        <f t="shared" si="438"/>
        <v>0</v>
      </c>
      <c r="Y1540">
        <f t="shared" si="439"/>
        <v>0</v>
      </c>
      <c r="Z1540">
        <f t="shared" si="440"/>
        <v>1</v>
      </c>
      <c r="AA1540">
        <f t="shared" si="441"/>
        <v>0</v>
      </c>
      <c r="AB1540">
        <f t="shared" si="442"/>
        <v>1</v>
      </c>
      <c r="AC1540">
        <f t="shared" si="443"/>
        <v>0</v>
      </c>
      <c r="AD1540">
        <f t="shared" si="444"/>
        <v>0</v>
      </c>
      <c r="AE1540">
        <f t="shared" si="445"/>
        <v>0</v>
      </c>
      <c r="AF1540">
        <f t="shared" si="446"/>
        <v>0</v>
      </c>
      <c r="AG1540">
        <f t="shared" si="447"/>
        <v>1</v>
      </c>
      <c r="AH1540">
        <f t="shared" si="448"/>
        <v>0</v>
      </c>
      <c r="AI1540">
        <f t="shared" si="449"/>
        <v>0</v>
      </c>
    </row>
    <row r="1541" spans="1:35" x14ac:dyDescent="0.2">
      <c r="A1541">
        <v>416</v>
      </c>
      <c r="B1541" t="s">
        <v>1398</v>
      </c>
      <c r="C1541">
        <v>10</v>
      </c>
      <c r="D1541" t="s">
        <v>816</v>
      </c>
      <c r="E1541" t="s">
        <v>21</v>
      </c>
      <c r="F1541" t="s">
        <v>39</v>
      </c>
      <c r="G1541" t="s">
        <v>39</v>
      </c>
      <c r="H1541" t="s">
        <v>21</v>
      </c>
      <c r="I1541">
        <v>3</v>
      </c>
      <c r="J1541">
        <v>4</v>
      </c>
      <c r="K1541">
        <v>100</v>
      </c>
      <c r="L1541" t="s">
        <v>494</v>
      </c>
      <c r="M1541" t="s">
        <v>161</v>
      </c>
      <c r="N1541" t="s">
        <v>215</v>
      </c>
      <c r="O1541" t="s">
        <v>60</v>
      </c>
      <c r="P1541" t="s">
        <v>4164</v>
      </c>
      <c r="Q1541">
        <f t="shared" si="432"/>
        <v>1</v>
      </c>
      <c r="R1541">
        <f t="shared" si="433"/>
        <v>5</v>
      </c>
      <c r="S1541">
        <f t="shared" si="434"/>
        <v>5</v>
      </c>
      <c r="T1541">
        <f t="shared" si="435"/>
        <v>1</v>
      </c>
      <c r="U1541">
        <v>100</v>
      </c>
      <c r="V1541">
        <f t="shared" si="436"/>
        <v>0</v>
      </c>
      <c r="W1541">
        <f t="shared" si="437"/>
        <v>1</v>
      </c>
      <c r="X1541">
        <f t="shared" si="438"/>
        <v>1</v>
      </c>
      <c r="Y1541">
        <f t="shared" si="439"/>
        <v>1</v>
      </c>
      <c r="Z1541">
        <f t="shared" si="440"/>
        <v>1</v>
      </c>
      <c r="AA1541">
        <f t="shared" si="441"/>
        <v>1</v>
      </c>
      <c r="AB1541">
        <f t="shared" si="442"/>
        <v>1</v>
      </c>
      <c r="AC1541">
        <f t="shared" si="443"/>
        <v>1</v>
      </c>
      <c r="AD1541">
        <f t="shared" si="444"/>
        <v>1</v>
      </c>
      <c r="AE1541">
        <f t="shared" si="445"/>
        <v>0</v>
      </c>
      <c r="AF1541">
        <f t="shared" si="446"/>
        <v>1</v>
      </c>
      <c r="AG1541">
        <f t="shared" si="447"/>
        <v>0</v>
      </c>
      <c r="AH1541">
        <f t="shared" si="448"/>
        <v>0</v>
      </c>
      <c r="AI1541">
        <f t="shared" si="449"/>
        <v>0</v>
      </c>
    </row>
    <row r="1542" spans="1:35" x14ac:dyDescent="0.2">
      <c r="A1542">
        <v>417</v>
      </c>
      <c r="B1542" t="s">
        <v>1398</v>
      </c>
      <c r="C1542">
        <v>6</v>
      </c>
      <c r="D1542" t="s">
        <v>4165</v>
      </c>
      <c r="E1542" t="s">
        <v>21</v>
      </c>
      <c r="F1542" t="s">
        <v>18</v>
      </c>
      <c r="G1542" t="s">
        <v>18</v>
      </c>
      <c r="H1542" t="s">
        <v>21</v>
      </c>
      <c r="I1542">
        <v>2</v>
      </c>
      <c r="J1542">
        <v>2</v>
      </c>
      <c r="K1542">
        <v>25</v>
      </c>
      <c r="L1542" t="s">
        <v>47</v>
      </c>
      <c r="M1542" t="s">
        <v>154</v>
      </c>
      <c r="N1542" t="s">
        <v>43</v>
      </c>
      <c r="O1542" t="s">
        <v>4166</v>
      </c>
      <c r="P1542" t="s">
        <v>4167</v>
      </c>
      <c r="Q1542">
        <f t="shared" si="432"/>
        <v>1</v>
      </c>
      <c r="R1542">
        <f t="shared" si="433"/>
        <v>4</v>
      </c>
      <c r="S1542">
        <f t="shared" si="434"/>
        <v>4</v>
      </c>
      <c r="T1542">
        <f t="shared" si="435"/>
        <v>1</v>
      </c>
      <c r="U1542">
        <v>25</v>
      </c>
      <c r="V1542">
        <f t="shared" si="436"/>
        <v>0</v>
      </c>
      <c r="W1542">
        <f t="shared" si="437"/>
        <v>0</v>
      </c>
      <c r="X1542">
        <f t="shared" si="438"/>
        <v>1</v>
      </c>
      <c r="Y1542">
        <f t="shared" si="439"/>
        <v>0</v>
      </c>
      <c r="Z1542">
        <f t="shared" si="440"/>
        <v>1</v>
      </c>
      <c r="AA1542">
        <f t="shared" si="441"/>
        <v>1</v>
      </c>
      <c r="AB1542">
        <f t="shared" si="442"/>
        <v>0</v>
      </c>
      <c r="AC1542">
        <f t="shared" si="443"/>
        <v>1</v>
      </c>
      <c r="AD1542">
        <f t="shared" si="444"/>
        <v>0</v>
      </c>
      <c r="AE1542">
        <f t="shared" si="445"/>
        <v>0</v>
      </c>
      <c r="AF1542">
        <f t="shared" si="446"/>
        <v>1</v>
      </c>
      <c r="AG1542">
        <f t="shared" si="447"/>
        <v>1</v>
      </c>
      <c r="AH1542">
        <f t="shared" si="448"/>
        <v>0</v>
      </c>
      <c r="AI1542">
        <f t="shared" si="449"/>
        <v>0</v>
      </c>
    </row>
    <row r="1543" spans="1:35" x14ac:dyDescent="0.2">
      <c r="A1543">
        <v>418</v>
      </c>
      <c r="B1543" t="s">
        <v>1398</v>
      </c>
      <c r="C1543">
        <v>4</v>
      </c>
      <c r="D1543" t="s">
        <v>4168</v>
      </c>
      <c r="E1543" t="s">
        <v>21</v>
      </c>
      <c r="F1543" t="s">
        <v>19</v>
      </c>
      <c r="G1543" t="s">
        <v>20</v>
      </c>
      <c r="H1543" t="s">
        <v>21</v>
      </c>
      <c r="I1543">
        <v>2</v>
      </c>
      <c r="J1543">
        <v>1</v>
      </c>
      <c r="K1543" s="1">
        <v>5</v>
      </c>
      <c r="L1543" t="s">
        <v>41</v>
      </c>
      <c r="M1543" t="s">
        <v>219</v>
      </c>
      <c r="N1543" t="s">
        <v>215</v>
      </c>
      <c r="O1543" t="s">
        <v>4169</v>
      </c>
      <c r="P1543" t="s">
        <v>4170</v>
      </c>
      <c r="Q1543">
        <f t="shared" si="432"/>
        <v>1</v>
      </c>
      <c r="R1543">
        <f t="shared" si="433"/>
        <v>3</v>
      </c>
      <c r="S1543">
        <f t="shared" si="434"/>
        <v>2</v>
      </c>
      <c r="T1543">
        <f t="shared" si="435"/>
        <v>1</v>
      </c>
      <c r="U1543">
        <v>5</v>
      </c>
      <c r="V1543">
        <f t="shared" si="436"/>
        <v>0</v>
      </c>
      <c r="W1543">
        <f t="shared" si="437"/>
        <v>0</v>
      </c>
      <c r="X1543">
        <f t="shared" si="438"/>
        <v>0</v>
      </c>
      <c r="Y1543">
        <f t="shared" si="439"/>
        <v>0</v>
      </c>
      <c r="Z1543">
        <f t="shared" si="440"/>
        <v>1</v>
      </c>
      <c r="AA1543">
        <f t="shared" si="441"/>
        <v>0</v>
      </c>
      <c r="AB1543">
        <f t="shared" si="442"/>
        <v>0</v>
      </c>
      <c r="AC1543">
        <f t="shared" si="443"/>
        <v>0</v>
      </c>
      <c r="AD1543">
        <f t="shared" si="444"/>
        <v>0</v>
      </c>
      <c r="AE1543">
        <f t="shared" si="445"/>
        <v>1</v>
      </c>
      <c r="AF1543">
        <f t="shared" si="446"/>
        <v>1</v>
      </c>
      <c r="AG1543">
        <f t="shared" si="447"/>
        <v>0</v>
      </c>
      <c r="AH1543">
        <f t="shared" si="448"/>
        <v>0</v>
      </c>
      <c r="AI1543">
        <f t="shared" si="449"/>
        <v>0</v>
      </c>
    </row>
    <row r="1544" spans="1:35" x14ac:dyDescent="0.2">
      <c r="A1544">
        <v>419</v>
      </c>
      <c r="B1544" t="s">
        <v>1398</v>
      </c>
      <c r="C1544">
        <v>1</v>
      </c>
      <c r="D1544" t="s">
        <v>4171</v>
      </c>
      <c r="E1544" t="s">
        <v>19</v>
      </c>
      <c r="F1544" t="s">
        <v>21</v>
      </c>
      <c r="G1544" t="s">
        <v>39</v>
      </c>
      <c r="H1544" t="s">
        <v>21</v>
      </c>
      <c r="I1544">
        <v>2</v>
      </c>
      <c r="J1544">
        <v>1</v>
      </c>
      <c r="K1544" s="1">
        <v>5</v>
      </c>
      <c r="L1544" t="s">
        <v>53</v>
      </c>
      <c r="M1544" t="s">
        <v>23</v>
      </c>
      <c r="N1544" t="s">
        <v>215</v>
      </c>
      <c r="O1544" t="s">
        <v>4172</v>
      </c>
      <c r="P1544" t="s">
        <v>4173</v>
      </c>
      <c r="Q1544">
        <f t="shared" si="432"/>
        <v>3</v>
      </c>
      <c r="R1544">
        <f t="shared" si="433"/>
        <v>1</v>
      </c>
      <c r="S1544">
        <f t="shared" si="434"/>
        <v>5</v>
      </c>
      <c r="T1544">
        <f t="shared" si="435"/>
        <v>1</v>
      </c>
      <c r="U1544">
        <v>5</v>
      </c>
      <c r="V1544">
        <f t="shared" si="436"/>
        <v>0</v>
      </c>
      <c r="W1544">
        <f t="shared" si="437"/>
        <v>0</v>
      </c>
      <c r="X1544">
        <f t="shared" si="438"/>
        <v>1</v>
      </c>
      <c r="Y1544">
        <f t="shared" si="439"/>
        <v>0</v>
      </c>
      <c r="Z1544">
        <f t="shared" si="440"/>
        <v>0</v>
      </c>
      <c r="AA1544">
        <f t="shared" si="441"/>
        <v>1</v>
      </c>
      <c r="AB1544">
        <f t="shared" si="442"/>
        <v>0</v>
      </c>
      <c r="AC1544">
        <f t="shared" si="443"/>
        <v>0</v>
      </c>
      <c r="AD1544">
        <f t="shared" si="444"/>
        <v>0</v>
      </c>
      <c r="AE1544">
        <f t="shared" si="445"/>
        <v>0</v>
      </c>
      <c r="AF1544">
        <f t="shared" si="446"/>
        <v>1</v>
      </c>
      <c r="AG1544">
        <f t="shared" si="447"/>
        <v>0</v>
      </c>
      <c r="AH1544">
        <f t="shared" si="448"/>
        <v>0</v>
      </c>
      <c r="AI1544">
        <f t="shared" si="449"/>
        <v>0</v>
      </c>
    </row>
    <row r="1545" spans="1:35" x14ac:dyDescent="0.2">
      <c r="A1545">
        <v>420</v>
      </c>
      <c r="B1545" t="s">
        <v>1398</v>
      </c>
      <c r="C1545">
        <v>8</v>
      </c>
      <c r="D1545" t="s">
        <v>4174</v>
      </c>
      <c r="E1545" t="s">
        <v>21</v>
      </c>
      <c r="F1545" t="s">
        <v>18</v>
      </c>
      <c r="G1545" t="s">
        <v>39</v>
      </c>
      <c r="H1545" t="s">
        <v>21</v>
      </c>
      <c r="I1545">
        <v>3</v>
      </c>
      <c r="J1545">
        <v>3</v>
      </c>
      <c r="K1545" t="s">
        <v>4175</v>
      </c>
      <c r="L1545" t="s">
        <v>53</v>
      </c>
      <c r="M1545" t="s">
        <v>23</v>
      </c>
      <c r="N1545" t="s">
        <v>84</v>
      </c>
      <c r="O1545" t="s">
        <v>4176</v>
      </c>
      <c r="P1545" t="s">
        <v>4177</v>
      </c>
      <c r="Q1545">
        <f t="shared" si="432"/>
        <v>1</v>
      </c>
      <c r="R1545">
        <f t="shared" si="433"/>
        <v>4</v>
      </c>
      <c r="S1545">
        <f t="shared" si="434"/>
        <v>5</v>
      </c>
      <c r="T1545">
        <f t="shared" si="435"/>
        <v>1</v>
      </c>
      <c r="U1545">
        <v>200000</v>
      </c>
      <c r="V1545">
        <f t="shared" si="436"/>
        <v>0</v>
      </c>
      <c r="W1545">
        <f t="shared" si="437"/>
        <v>0</v>
      </c>
      <c r="X1545">
        <f t="shared" si="438"/>
        <v>1</v>
      </c>
      <c r="Y1545">
        <f t="shared" si="439"/>
        <v>0</v>
      </c>
      <c r="Z1545">
        <f t="shared" si="440"/>
        <v>0</v>
      </c>
      <c r="AA1545">
        <f t="shared" si="441"/>
        <v>1</v>
      </c>
      <c r="AB1545">
        <f t="shared" si="442"/>
        <v>0</v>
      </c>
      <c r="AC1545">
        <f t="shared" si="443"/>
        <v>0</v>
      </c>
      <c r="AD1545">
        <f t="shared" si="444"/>
        <v>0</v>
      </c>
      <c r="AE1545">
        <f t="shared" si="445"/>
        <v>0</v>
      </c>
      <c r="AF1545">
        <f t="shared" si="446"/>
        <v>0</v>
      </c>
      <c r="AG1545">
        <f t="shared" si="447"/>
        <v>1</v>
      </c>
      <c r="AH1545">
        <f t="shared" si="448"/>
        <v>0</v>
      </c>
      <c r="AI1545">
        <f t="shared" si="449"/>
        <v>0</v>
      </c>
    </row>
    <row r="1546" spans="1:35" x14ac:dyDescent="0.2">
      <c r="A1546">
        <v>421</v>
      </c>
      <c r="B1546" t="s">
        <v>1398</v>
      </c>
      <c r="C1546">
        <v>8</v>
      </c>
      <c r="D1546" t="s">
        <v>4178</v>
      </c>
      <c r="E1546" t="s">
        <v>21</v>
      </c>
      <c r="F1546" t="s">
        <v>39</v>
      </c>
      <c r="G1546" t="s">
        <v>39</v>
      </c>
      <c r="H1546" t="s">
        <v>20</v>
      </c>
      <c r="I1546">
        <v>1</v>
      </c>
      <c r="J1546">
        <v>3</v>
      </c>
      <c r="K1546">
        <v>25000</v>
      </c>
      <c r="L1546" t="s">
        <v>194</v>
      </c>
      <c r="M1546" t="s">
        <v>161</v>
      </c>
      <c r="N1546" t="s">
        <v>43</v>
      </c>
      <c r="O1546" t="s">
        <v>4179</v>
      </c>
      <c r="P1546" t="s">
        <v>4180</v>
      </c>
      <c r="Q1546">
        <f t="shared" si="432"/>
        <v>1</v>
      </c>
      <c r="R1546">
        <f t="shared" si="433"/>
        <v>5</v>
      </c>
      <c r="S1546">
        <f t="shared" si="434"/>
        <v>5</v>
      </c>
      <c r="T1546">
        <f t="shared" si="435"/>
        <v>2</v>
      </c>
      <c r="U1546">
        <v>25000</v>
      </c>
      <c r="V1546">
        <f t="shared" si="436"/>
        <v>0</v>
      </c>
      <c r="W1546">
        <f t="shared" si="437"/>
        <v>0</v>
      </c>
      <c r="X1546">
        <f t="shared" si="438"/>
        <v>0</v>
      </c>
      <c r="Y1546">
        <f t="shared" si="439"/>
        <v>1</v>
      </c>
      <c r="Z1546">
        <f t="shared" si="440"/>
        <v>1</v>
      </c>
      <c r="AA1546">
        <f t="shared" si="441"/>
        <v>1</v>
      </c>
      <c r="AB1546">
        <f t="shared" si="442"/>
        <v>1</v>
      </c>
      <c r="AC1546">
        <f t="shared" si="443"/>
        <v>1</v>
      </c>
      <c r="AD1546">
        <f t="shared" si="444"/>
        <v>1</v>
      </c>
      <c r="AE1546">
        <f t="shared" si="445"/>
        <v>0</v>
      </c>
      <c r="AF1546">
        <f t="shared" si="446"/>
        <v>1</v>
      </c>
      <c r="AG1546">
        <f t="shared" si="447"/>
        <v>1</v>
      </c>
      <c r="AH1546">
        <f t="shared" si="448"/>
        <v>0</v>
      </c>
      <c r="AI1546">
        <f t="shared" si="449"/>
        <v>0</v>
      </c>
    </row>
    <row r="1547" spans="1:35" x14ac:dyDescent="0.2">
      <c r="A1547">
        <v>422</v>
      </c>
      <c r="B1547" t="s">
        <v>1398</v>
      </c>
      <c r="C1547">
        <v>9</v>
      </c>
      <c r="D1547" t="s">
        <v>4181</v>
      </c>
      <c r="E1547" t="s">
        <v>21</v>
      </c>
      <c r="F1547" t="s">
        <v>39</v>
      </c>
      <c r="G1547" t="s">
        <v>39</v>
      </c>
      <c r="H1547" t="s">
        <v>21</v>
      </c>
      <c r="I1547">
        <v>2</v>
      </c>
      <c r="J1547">
        <v>2</v>
      </c>
      <c r="K1547">
        <v>500</v>
      </c>
      <c r="L1547" t="s">
        <v>562</v>
      </c>
      <c r="M1547" t="s">
        <v>161</v>
      </c>
      <c r="N1547" t="s">
        <v>215</v>
      </c>
      <c r="O1547" t="s">
        <v>4182</v>
      </c>
      <c r="P1547" t="s">
        <v>4183</v>
      </c>
      <c r="Q1547">
        <f t="shared" si="432"/>
        <v>1</v>
      </c>
      <c r="R1547">
        <f t="shared" si="433"/>
        <v>5</v>
      </c>
      <c r="S1547">
        <f t="shared" si="434"/>
        <v>5</v>
      </c>
      <c r="T1547">
        <f t="shared" si="435"/>
        <v>1</v>
      </c>
      <c r="U1547">
        <v>500</v>
      </c>
      <c r="V1547">
        <f t="shared" si="436"/>
        <v>0</v>
      </c>
      <c r="W1547">
        <f t="shared" si="437"/>
        <v>1</v>
      </c>
      <c r="X1547">
        <f t="shared" si="438"/>
        <v>1</v>
      </c>
      <c r="Y1547">
        <f t="shared" si="439"/>
        <v>0</v>
      </c>
      <c r="Z1547">
        <f t="shared" si="440"/>
        <v>1</v>
      </c>
      <c r="AA1547">
        <f t="shared" si="441"/>
        <v>1</v>
      </c>
      <c r="AB1547">
        <f t="shared" si="442"/>
        <v>1</v>
      </c>
      <c r="AC1547">
        <f t="shared" si="443"/>
        <v>1</v>
      </c>
      <c r="AD1547">
        <f t="shared" si="444"/>
        <v>1</v>
      </c>
      <c r="AE1547">
        <f t="shared" si="445"/>
        <v>0</v>
      </c>
      <c r="AF1547">
        <f t="shared" si="446"/>
        <v>1</v>
      </c>
      <c r="AG1547">
        <f t="shared" si="447"/>
        <v>0</v>
      </c>
      <c r="AH1547">
        <f t="shared" si="448"/>
        <v>0</v>
      </c>
      <c r="AI1547">
        <f t="shared" si="449"/>
        <v>0</v>
      </c>
    </row>
    <row r="1548" spans="1:35" x14ac:dyDescent="0.2">
      <c r="A1548">
        <v>423</v>
      </c>
      <c r="B1548" t="s">
        <v>1398</v>
      </c>
      <c r="C1548">
        <v>6</v>
      </c>
      <c r="D1548" t="s">
        <v>4184</v>
      </c>
      <c r="E1548" t="s">
        <v>21</v>
      </c>
      <c r="F1548" t="s">
        <v>39</v>
      </c>
      <c r="G1548" t="s">
        <v>39</v>
      </c>
      <c r="H1548" t="s">
        <v>21</v>
      </c>
      <c r="I1548">
        <v>3</v>
      </c>
      <c r="J1548">
        <v>1</v>
      </c>
      <c r="K1548">
        <v>30</v>
      </c>
      <c r="L1548" t="s">
        <v>47</v>
      </c>
      <c r="M1548" t="s">
        <v>48</v>
      </c>
      <c r="N1548" t="s">
        <v>43</v>
      </c>
      <c r="O1548" t="s">
        <v>4185</v>
      </c>
      <c r="P1548" t="s">
        <v>4186</v>
      </c>
      <c r="Q1548">
        <f t="shared" si="432"/>
        <v>1</v>
      </c>
      <c r="R1548">
        <f t="shared" si="433"/>
        <v>5</v>
      </c>
      <c r="S1548">
        <f t="shared" si="434"/>
        <v>5</v>
      </c>
      <c r="T1548">
        <f t="shared" si="435"/>
        <v>1</v>
      </c>
      <c r="U1548">
        <v>30</v>
      </c>
      <c r="V1548">
        <f t="shared" si="436"/>
        <v>0</v>
      </c>
      <c r="W1548">
        <f t="shared" si="437"/>
        <v>0</v>
      </c>
      <c r="X1548">
        <f t="shared" si="438"/>
        <v>1</v>
      </c>
      <c r="Y1548">
        <f t="shared" si="439"/>
        <v>0</v>
      </c>
      <c r="Z1548">
        <f t="shared" si="440"/>
        <v>1</v>
      </c>
      <c r="AA1548">
        <f t="shared" si="441"/>
        <v>1</v>
      </c>
      <c r="AB1548">
        <f t="shared" si="442"/>
        <v>1</v>
      </c>
      <c r="AC1548">
        <f t="shared" si="443"/>
        <v>1</v>
      </c>
      <c r="AD1548">
        <f t="shared" si="444"/>
        <v>0</v>
      </c>
      <c r="AE1548">
        <f t="shared" si="445"/>
        <v>0</v>
      </c>
      <c r="AF1548">
        <f t="shared" si="446"/>
        <v>1</v>
      </c>
      <c r="AG1548">
        <f t="shared" si="447"/>
        <v>1</v>
      </c>
      <c r="AH1548">
        <f t="shared" si="448"/>
        <v>0</v>
      </c>
      <c r="AI1548">
        <f t="shared" si="449"/>
        <v>0</v>
      </c>
    </row>
    <row r="1549" spans="1:35" x14ac:dyDescent="0.2">
      <c r="A1549">
        <v>424</v>
      </c>
      <c r="B1549" t="s">
        <v>1398</v>
      </c>
      <c r="C1549">
        <v>7</v>
      </c>
      <c r="D1549" t="s">
        <v>4187</v>
      </c>
      <c r="E1549" t="s">
        <v>21</v>
      </c>
      <c r="F1549" t="s">
        <v>39</v>
      </c>
      <c r="G1549" t="s">
        <v>39</v>
      </c>
      <c r="H1549" t="s">
        <v>21</v>
      </c>
      <c r="I1549">
        <v>2</v>
      </c>
      <c r="J1549">
        <v>1</v>
      </c>
      <c r="K1549">
        <v>50</v>
      </c>
      <c r="L1549" t="s">
        <v>47</v>
      </c>
      <c r="M1549" t="s">
        <v>219</v>
      </c>
      <c r="N1549" t="s">
        <v>43</v>
      </c>
      <c r="O1549" t="s">
        <v>4188</v>
      </c>
      <c r="P1549" t="s">
        <v>4189</v>
      </c>
      <c r="Q1549">
        <f t="shared" si="432"/>
        <v>1</v>
      </c>
      <c r="R1549">
        <f t="shared" si="433"/>
        <v>5</v>
      </c>
      <c r="S1549">
        <f t="shared" si="434"/>
        <v>5</v>
      </c>
      <c r="T1549">
        <f t="shared" si="435"/>
        <v>1</v>
      </c>
      <c r="U1549">
        <v>50</v>
      </c>
      <c r="V1549">
        <f t="shared" si="436"/>
        <v>0</v>
      </c>
      <c r="W1549">
        <f t="shared" si="437"/>
        <v>0</v>
      </c>
      <c r="X1549">
        <f t="shared" si="438"/>
        <v>1</v>
      </c>
      <c r="Y1549">
        <f t="shared" si="439"/>
        <v>0</v>
      </c>
      <c r="Z1549">
        <f t="shared" si="440"/>
        <v>1</v>
      </c>
      <c r="AA1549">
        <f t="shared" si="441"/>
        <v>0</v>
      </c>
      <c r="AB1549">
        <f t="shared" si="442"/>
        <v>0</v>
      </c>
      <c r="AC1549">
        <f t="shared" si="443"/>
        <v>0</v>
      </c>
      <c r="AD1549">
        <f t="shared" si="444"/>
        <v>0</v>
      </c>
      <c r="AE1549">
        <f t="shared" si="445"/>
        <v>1</v>
      </c>
      <c r="AF1549">
        <f t="shared" si="446"/>
        <v>1</v>
      </c>
      <c r="AG1549">
        <f t="shared" si="447"/>
        <v>1</v>
      </c>
      <c r="AH1549">
        <f t="shared" si="448"/>
        <v>0</v>
      </c>
      <c r="AI1549">
        <f t="shared" si="449"/>
        <v>0</v>
      </c>
    </row>
    <row r="1550" spans="1:35" x14ac:dyDescent="0.2">
      <c r="A1550">
        <v>425</v>
      </c>
      <c r="B1550" t="s">
        <v>1398</v>
      </c>
      <c r="C1550">
        <v>3</v>
      </c>
      <c r="D1550" t="s">
        <v>4190</v>
      </c>
      <c r="E1550" t="s">
        <v>21</v>
      </c>
      <c r="F1550" t="s">
        <v>18</v>
      </c>
      <c r="G1550" t="s">
        <v>39</v>
      </c>
      <c r="H1550" t="s">
        <v>21</v>
      </c>
      <c r="I1550">
        <v>2</v>
      </c>
      <c r="J1550">
        <v>1</v>
      </c>
      <c r="K1550">
        <v>50</v>
      </c>
      <c r="L1550" t="s">
        <v>22</v>
      </c>
      <c r="M1550" t="s">
        <v>23</v>
      </c>
      <c r="N1550" t="s">
        <v>215</v>
      </c>
      <c r="O1550" t="s">
        <v>909</v>
      </c>
      <c r="P1550" t="s">
        <v>4191</v>
      </c>
      <c r="Q1550">
        <f t="shared" si="432"/>
        <v>1</v>
      </c>
      <c r="R1550">
        <f t="shared" si="433"/>
        <v>4</v>
      </c>
      <c r="S1550">
        <f t="shared" si="434"/>
        <v>5</v>
      </c>
      <c r="T1550">
        <f t="shared" si="435"/>
        <v>1</v>
      </c>
      <c r="U1550">
        <v>50</v>
      </c>
      <c r="V1550">
        <f t="shared" si="436"/>
        <v>1</v>
      </c>
      <c r="W1550">
        <f t="shared" si="437"/>
        <v>0</v>
      </c>
      <c r="X1550">
        <f t="shared" si="438"/>
        <v>0</v>
      </c>
      <c r="Y1550">
        <f t="shared" si="439"/>
        <v>0</v>
      </c>
      <c r="Z1550">
        <f t="shared" si="440"/>
        <v>0</v>
      </c>
      <c r="AA1550">
        <f t="shared" si="441"/>
        <v>1</v>
      </c>
      <c r="AB1550">
        <f t="shared" si="442"/>
        <v>0</v>
      </c>
      <c r="AC1550">
        <f t="shared" si="443"/>
        <v>0</v>
      </c>
      <c r="AD1550">
        <f t="shared" si="444"/>
        <v>0</v>
      </c>
      <c r="AE1550">
        <f t="shared" si="445"/>
        <v>0</v>
      </c>
      <c r="AF1550">
        <f t="shared" si="446"/>
        <v>1</v>
      </c>
      <c r="AG1550">
        <f t="shared" si="447"/>
        <v>0</v>
      </c>
      <c r="AH1550">
        <f t="shared" si="448"/>
        <v>0</v>
      </c>
      <c r="AI1550">
        <f t="shared" si="449"/>
        <v>0</v>
      </c>
    </row>
    <row r="1551" spans="1:35" x14ac:dyDescent="0.2">
      <c r="A1551">
        <v>426</v>
      </c>
      <c r="B1551" t="s">
        <v>1398</v>
      </c>
      <c r="C1551">
        <v>4</v>
      </c>
      <c r="D1551" t="s">
        <v>4192</v>
      </c>
      <c r="E1551" t="s">
        <v>20</v>
      </c>
      <c r="F1551" t="s">
        <v>18</v>
      </c>
      <c r="G1551" t="s">
        <v>18</v>
      </c>
      <c r="H1551" t="s">
        <v>20</v>
      </c>
      <c r="I1551">
        <v>2</v>
      </c>
      <c r="J1551">
        <v>3</v>
      </c>
      <c r="K1551" s="1">
        <v>10</v>
      </c>
      <c r="L1551" t="s">
        <v>22</v>
      </c>
      <c r="M1551" t="s">
        <v>115</v>
      </c>
      <c r="N1551" t="s">
        <v>215</v>
      </c>
      <c r="O1551" t="s">
        <v>1419</v>
      </c>
      <c r="P1551" t="s">
        <v>4193</v>
      </c>
      <c r="Q1551">
        <f t="shared" si="432"/>
        <v>2</v>
      </c>
      <c r="R1551">
        <f t="shared" si="433"/>
        <v>4</v>
      </c>
      <c r="S1551">
        <f t="shared" si="434"/>
        <v>4</v>
      </c>
      <c r="T1551">
        <f t="shared" si="435"/>
        <v>2</v>
      </c>
      <c r="U1551">
        <v>10</v>
      </c>
      <c r="V1551">
        <f t="shared" si="436"/>
        <v>1</v>
      </c>
      <c r="W1551">
        <f t="shared" si="437"/>
        <v>0</v>
      </c>
      <c r="X1551">
        <f t="shared" si="438"/>
        <v>0</v>
      </c>
      <c r="Y1551">
        <f t="shared" si="439"/>
        <v>0</v>
      </c>
      <c r="Z1551">
        <f t="shared" si="440"/>
        <v>0</v>
      </c>
      <c r="AA1551">
        <f t="shared" si="441"/>
        <v>0</v>
      </c>
      <c r="AB1551">
        <f t="shared" si="442"/>
        <v>0</v>
      </c>
      <c r="AC1551">
        <f t="shared" si="443"/>
        <v>1</v>
      </c>
      <c r="AD1551">
        <f t="shared" si="444"/>
        <v>0</v>
      </c>
      <c r="AE1551">
        <f t="shared" si="445"/>
        <v>0</v>
      </c>
      <c r="AF1551">
        <f t="shared" si="446"/>
        <v>1</v>
      </c>
      <c r="AG1551">
        <f t="shared" si="447"/>
        <v>0</v>
      </c>
      <c r="AH1551">
        <f t="shared" si="448"/>
        <v>0</v>
      </c>
      <c r="AI1551">
        <f t="shared" si="449"/>
        <v>0</v>
      </c>
    </row>
    <row r="1552" spans="1:35" x14ac:dyDescent="0.2">
      <c r="A1552">
        <v>427</v>
      </c>
      <c r="B1552" t="s">
        <v>1398</v>
      </c>
      <c r="C1552">
        <v>8</v>
      </c>
      <c r="D1552" t="s">
        <v>4194</v>
      </c>
      <c r="E1552" t="s">
        <v>18</v>
      </c>
      <c r="F1552" t="s">
        <v>39</v>
      </c>
      <c r="G1552" t="s">
        <v>39</v>
      </c>
      <c r="H1552" t="s">
        <v>21</v>
      </c>
      <c r="I1552">
        <v>3</v>
      </c>
      <c r="J1552">
        <v>1</v>
      </c>
      <c r="K1552" s="1">
        <v>80</v>
      </c>
      <c r="L1552" t="s">
        <v>230</v>
      </c>
      <c r="M1552" t="s">
        <v>468</v>
      </c>
      <c r="N1552" t="s">
        <v>43</v>
      </c>
      <c r="O1552" t="s">
        <v>60</v>
      </c>
      <c r="P1552" t="s">
        <v>4195</v>
      </c>
      <c r="Q1552">
        <f t="shared" si="432"/>
        <v>4</v>
      </c>
      <c r="R1552">
        <f t="shared" si="433"/>
        <v>5</v>
      </c>
      <c r="S1552">
        <f t="shared" si="434"/>
        <v>5</v>
      </c>
      <c r="T1552">
        <f t="shared" si="435"/>
        <v>1</v>
      </c>
      <c r="U1552">
        <v>80</v>
      </c>
      <c r="V1552">
        <f t="shared" si="436"/>
        <v>1</v>
      </c>
      <c r="W1552">
        <f t="shared" si="437"/>
        <v>1</v>
      </c>
      <c r="X1552">
        <f t="shared" si="438"/>
        <v>1</v>
      </c>
      <c r="Y1552">
        <f t="shared" si="439"/>
        <v>1</v>
      </c>
      <c r="Z1552">
        <f t="shared" si="440"/>
        <v>1</v>
      </c>
      <c r="AA1552">
        <f t="shared" si="441"/>
        <v>1</v>
      </c>
      <c r="AB1552">
        <f t="shared" si="442"/>
        <v>1</v>
      </c>
      <c r="AC1552">
        <f t="shared" si="443"/>
        <v>1</v>
      </c>
      <c r="AD1552">
        <f t="shared" si="444"/>
        <v>1</v>
      </c>
      <c r="AE1552">
        <f t="shared" si="445"/>
        <v>1</v>
      </c>
      <c r="AF1552">
        <f t="shared" si="446"/>
        <v>1</v>
      </c>
      <c r="AG1552">
        <f t="shared" si="447"/>
        <v>1</v>
      </c>
      <c r="AH1552">
        <f t="shared" si="448"/>
        <v>0</v>
      </c>
      <c r="AI1552">
        <f t="shared" si="449"/>
        <v>0</v>
      </c>
    </row>
    <row r="1553" spans="1:35" x14ac:dyDescent="0.2">
      <c r="A1553">
        <v>428</v>
      </c>
      <c r="B1553" t="s">
        <v>1398</v>
      </c>
      <c r="C1553">
        <v>9</v>
      </c>
      <c r="D1553" t="s">
        <v>4196</v>
      </c>
      <c r="E1553" t="s">
        <v>21</v>
      </c>
      <c r="F1553" t="s">
        <v>39</v>
      </c>
      <c r="G1553" t="s">
        <v>39</v>
      </c>
      <c r="H1553" t="s">
        <v>21</v>
      </c>
      <c r="I1553">
        <v>4</v>
      </c>
      <c r="J1553">
        <v>2</v>
      </c>
      <c r="K1553">
        <v>1000</v>
      </c>
      <c r="L1553" t="s">
        <v>494</v>
      </c>
      <c r="M1553" t="s">
        <v>23</v>
      </c>
      <c r="N1553" t="s">
        <v>84</v>
      </c>
      <c r="O1553" t="s">
        <v>4197</v>
      </c>
      <c r="P1553" t="s">
        <v>4198</v>
      </c>
      <c r="Q1553">
        <f t="shared" si="432"/>
        <v>1</v>
      </c>
      <c r="R1553">
        <f t="shared" si="433"/>
        <v>5</v>
      </c>
      <c r="S1553">
        <f t="shared" si="434"/>
        <v>5</v>
      </c>
      <c r="T1553">
        <f t="shared" si="435"/>
        <v>1</v>
      </c>
      <c r="U1553">
        <v>1000</v>
      </c>
      <c r="V1553">
        <f t="shared" si="436"/>
        <v>0</v>
      </c>
      <c r="W1553">
        <f t="shared" si="437"/>
        <v>1</v>
      </c>
      <c r="X1553">
        <f t="shared" si="438"/>
        <v>1</v>
      </c>
      <c r="Y1553">
        <f t="shared" si="439"/>
        <v>1</v>
      </c>
      <c r="Z1553">
        <f t="shared" si="440"/>
        <v>1</v>
      </c>
      <c r="AA1553">
        <f t="shared" si="441"/>
        <v>1</v>
      </c>
      <c r="AB1553">
        <f t="shared" si="442"/>
        <v>0</v>
      </c>
      <c r="AC1553">
        <f t="shared" si="443"/>
        <v>0</v>
      </c>
      <c r="AD1553">
        <f t="shared" si="444"/>
        <v>0</v>
      </c>
      <c r="AE1553">
        <f t="shared" si="445"/>
        <v>0</v>
      </c>
      <c r="AF1553">
        <f t="shared" si="446"/>
        <v>0</v>
      </c>
      <c r="AG1553">
        <f t="shared" si="447"/>
        <v>1</v>
      </c>
      <c r="AH1553">
        <f t="shared" si="448"/>
        <v>0</v>
      </c>
      <c r="AI1553">
        <f t="shared" si="449"/>
        <v>0</v>
      </c>
    </row>
    <row r="1554" spans="1:35" x14ac:dyDescent="0.2">
      <c r="A1554">
        <v>429</v>
      </c>
      <c r="B1554" t="s">
        <v>1398</v>
      </c>
      <c r="C1554">
        <v>4</v>
      </c>
      <c r="D1554" t="s">
        <v>4199</v>
      </c>
      <c r="E1554" t="s">
        <v>18</v>
      </c>
      <c r="F1554" t="s">
        <v>39</v>
      </c>
      <c r="G1554" t="s">
        <v>39</v>
      </c>
      <c r="H1554" t="s">
        <v>21</v>
      </c>
      <c r="I1554">
        <v>3</v>
      </c>
      <c r="J1554">
        <v>1</v>
      </c>
      <c r="K1554">
        <v>10000</v>
      </c>
      <c r="L1554" t="s">
        <v>47</v>
      </c>
      <c r="M1554" t="s">
        <v>135</v>
      </c>
      <c r="N1554" t="s">
        <v>43</v>
      </c>
      <c r="O1554" t="s">
        <v>4200</v>
      </c>
      <c r="P1554" t="s">
        <v>4201</v>
      </c>
      <c r="Q1554">
        <f t="shared" si="432"/>
        <v>4</v>
      </c>
      <c r="R1554">
        <f t="shared" si="433"/>
        <v>5</v>
      </c>
      <c r="S1554">
        <f t="shared" si="434"/>
        <v>5</v>
      </c>
      <c r="T1554">
        <f t="shared" si="435"/>
        <v>1</v>
      </c>
      <c r="U1554">
        <v>10000</v>
      </c>
      <c r="V1554">
        <f t="shared" si="436"/>
        <v>0</v>
      </c>
      <c r="W1554">
        <f t="shared" si="437"/>
        <v>0</v>
      </c>
      <c r="X1554">
        <f t="shared" si="438"/>
        <v>1</v>
      </c>
      <c r="Y1554">
        <f t="shared" si="439"/>
        <v>0</v>
      </c>
      <c r="Z1554">
        <f t="shared" si="440"/>
        <v>1</v>
      </c>
      <c r="AA1554">
        <f t="shared" si="441"/>
        <v>1</v>
      </c>
      <c r="AB1554">
        <f t="shared" si="442"/>
        <v>1</v>
      </c>
      <c r="AC1554">
        <f t="shared" si="443"/>
        <v>0</v>
      </c>
      <c r="AD1554">
        <f t="shared" si="444"/>
        <v>0</v>
      </c>
      <c r="AE1554">
        <f t="shared" si="445"/>
        <v>0</v>
      </c>
      <c r="AF1554">
        <f t="shared" si="446"/>
        <v>1</v>
      </c>
      <c r="AG1554">
        <f t="shared" si="447"/>
        <v>1</v>
      </c>
      <c r="AH1554">
        <f t="shared" si="448"/>
        <v>0</v>
      </c>
      <c r="AI1554">
        <f t="shared" si="449"/>
        <v>0</v>
      </c>
    </row>
    <row r="1555" spans="1:35" x14ac:dyDescent="0.2">
      <c r="A1555">
        <v>430</v>
      </c>
      <c r="B1555" t="s">
        <v>1398</v>
      </c>
      <c r="C1555">
        <v>7</v>
      </c>
      <c r="D1555" t="s">
        <v>4202</v>
      </c>
      <c r="E1555" t="s">
        <v>20</v>
      </c>
      <c r="F1555" t="s">
        <v>39</v>
      </c>
      <c r="G1555" t="s">
        <v>39</v>
      </c>
      <c r="H1555" t="s">
        <v>21</v>
      </c>
      <c r="I1555">
        <v>6</v>
      </c>
      <c r="J1555">
        <v>8</v>
      </c>
      <c r="K1555" s="1">
        <v>30</v>
      </c>
      <c r="L1555" t="s">
        <v>305</v>
      </c>
      <c r="M1555" t="s">
        <v>161</v>
      </c>
      <c r="N1555" t="s">
        <v>43</v>
      </c>
      <c r="O1555" t="s">
        <v>4203</v>
      </c>
      <c r="P1555" t="s">
        <v>4204</v>
      </c>
      <c r="Q1555">
        <f t="shared" si="432"/>
        <v>2</v>
      </c>
      <c r="R1555">
        <f t="shared" si="433"/>
        <v>5</v>
      </c>
      <c r="S1555">
        <f t="shared" si="434"/>
        <v>5</v>
      </c>
      <c r="T1555">
        <f t="shared" si="435"/>
        <v>1</v>
      </c>
      <c r="U1555">
        <v>30</v>
      </c>
      <c r="V1555">
        <f t="shared" si="436"/>
        <v>1</v>
      </c>
      <c r="W1555">
        <f t="shared" si="437"/>
        <v>1</v>
      </c>
      <c r="X1555">
        <f t="shared" si="438"/>
        <v>1</v>
      </c>
      <c r="Y1555">
        <f t="shared" si="439"/>
        <v>0</v>
      </c>
      <c r="Z1555">
        <f t="shared" si="440"/>
        <v>1</v>
      </c>
      <c r="AA1555">
        <f t="shared" si="441"/>
        <v>1</v>
      </c>
      <c r="AB1555">
        <f t="shared" si="442"/>
        <v>1</v>
      </c>
      <c r="AC1555">
        <f t="shared" si="443"/>
        <v>1</v>
      </c>
      <c r="AD1555">
        <f t="shared" si="444"/>
        <v>1</v>
      </c>
      <c r="AE1555">
        <f t="shared" si="445"/>
        <v>0</v>
      </c>
      <c r="AF1555">
        <f t="shared" si="446"/>
        <v>1</v>
      </c>
      <c r="AG1555">
        <f t="shared" si="447"/>
        <v>1</v>
      </c>
      <c r="AH1555">
        <f t="shared" si="448"/>
        <v>0</v>
      </c>
      <c r="AI1555">
        <f t="shared" si="449"/>
        <v>0</v>
      </c>
    </row>
    <row r="1556" spans="1:35" x14ac:dyDescent="0.2">
      <c r="A1556">
        <v>431</v>
      </c>
      <c r="B1556" t="s">
        <v>1398</v>
      </c>
      <c r="C1556">
        <v>5</v>
      </c>
      <c r="D1556" t="s">
        <v>4205</v>
      </c>
      <c r="E1556" t="s">
        <v>21</v>
      </c>
      <c r="F1556" t="s">
        <v>39</v>
      </c>
      <c r="G1556" t="s">
        <v>39</v>
      </c>
      <c r="H1556" t="s">
        <v>21</v>
      </c>
      <c r="I1556">
        <v>4</v>
      </c>
      <c r="J1556">
        <v>2</v>
      </c>
      <c r="K1556">
        <v>65</v>
      </c>
      <c r="L1556" t="s">
        <v>70</v>
      </c>
      <c r="M1556" t="s">
        <v>115</v>
      </c>
      <c r="N1556" t="s">
        <v>43</v>
      </c>
      <c r="O1556" t="s">
        <v>2792</v>
      </c>
      <c r="P1556" t="s">
        <v>4206</v>
      </c>
      <c r="Q1556">
        <f t="shared" si="432"/>
        <v>1</v>
      </c>
      <c r="R1556">
        <f t="shared" si="433"/>
        <v>5</v>
      </c>
      <c r="S1556">
        <f t="shared" si="434"/>
        <v>5</v>
      </c>
      <c r="T1556">
        <f t="shared" si="435"/>
        <v>1</v>
      </c>
      <c r="U1556">
        <v>65</v>
      </c>
      <c r="V1556">
        <f t="shared" si="436"/>
        <v>0</v>
      </c>
      <c r="W1556">
        <f t="shared" si="437"/>
        <v>0</v>
      </c>
      <c r="X1556">
        <f t="shared" si="438"/>
        <v>0</v>
      </c>
      <c r="Y1556">
        <f t="shared" si="439"/>
        <v>1</v>
      </c>
      <c r="Z1556">
        <f t="shared" si="440"/>
        <v>0</v>
      </c>
      <c r="AA1556">
        <f t="shared" si="441"/>
        <v>0</v>
      </c>
      <c r="AB1556">
        <f t="shared" si="442"/>
        <v>0</v>
      </c>
      <c r="AC1556">
        <f t="shared" si="443"/>
        <v>1</v>
      </c>
      <c r="AD1556">
        <f t="shared" si="444"/>
        <v>0</v>
      </c>
      <c r="AE1556">
        <f t="shared" si="445"/>
        <v>0</v>
      </c>
      <c r="AF1556">
        <f t="shared" si="446"/>
        <v>1</v>
      </c>
      <c r="AG1556">
        <f t="shared" si="447"/>
        <v>1</v>
      </c>
      <c r="AH1556">
        <f t="shared" si="448"/>
        <v>0</v>
      </c>
      <c r="AI1556">
        <f t="shared" si="449"/>
        <v>0</v>
      </c>
    </row>
    <row r="1557" spans="1:35" x14ac:dyDescent="0.2">
      <c r="A1557">
        <v>432</v>
      </c>
      <c r="B1557" t="s">
        <v>1398</v>
      </c>
      <c r="C1557">
        <v>8</v>
      </c>
      <c r="D1557" t="s">
        <v>4207</v>
      </c>
      <c r="E1557" t="s">
        <v>21</v>
      </c>
      <c r="F1557" t="s">
        <v>39</v>
      </c>
      <c r="G1557" t="s">
        <v>18</v>
      </c>
      <c r="H1557" t="s">
        <v>21</v>
      </c>
      <c r="I1557">
        <v>3</v>
      </c>
      <c r="J1557">
        <v>2</v>
      </c>
      <c r="K1557" s="1">
        <v>500</v>
      </c>
      <c r="L1557" t="s">
        <v>41</v>
      </c>
      <c r="M1557" t="s">
        <v>280</v>
      </c>
      <c r="N1557" t="s">
        <v>215</v>
      </c>
      <c r="O1557" t="s">
        <v>4208</v>
      </c>
      <c r="P1557" t="s">
        <v>4209</v>
      </c>
      <c r="Q1557">
        <f t="shared" si="432"/>
        <v>1</v>
      </c>
      <c r="R1557">
        <f t="shared" si="433"/>
        <v>5</v>
      </c>
      <c r="S1557">
        <f t="shared" si="434"/>
        <v>4</v>
      </c>
      <c r="T1557">
        <f t="shared" si="435"/>
        <v>1</v>
      </c>
      <c r="U1557">
        <v>500</v>
      </c>
      <c r="V1557">
        <f t="shared" si="436"/>
        <v>0</v>
      </c>
      <c r="W1557">
        <f t="shared" si="437"/>
        <v>0</v>
      </c>
      <c r="X1557">
        <f t="shared" si="438"/>
        <v>0</v>
      </c>
      <c r="Y1557">
        <f t="shared" si="439"/>
        <v>0</v>
      </c>
      <c r="Z1557">
        <f t="shared" si="440"/>
        <v>1</v>
      </c>
      <c r="AA1557">
        <f t="shared" si="441"/>
        <v>0</v>
      </c>
      <c r="AB1557">
        <f t="shared" si="442"/>
        <v>1</v>
      </c>
      <c r="AC1557">
        <f t="shared" si="443"/>
        <v>1</v>
      </c>
      <c r="AD1557">
        <f t="shared" si="444"/>
        <v>1</v>
      </c>
      <c r="AE1557">
        <f t="shared" si="445"/>
        <v>0</v>
      </c>
      <c r="AF1557">
        <f t="shared" si="446"/>
        <v>1</v>
      </c>
      <c r="AG1557">
        <f t="shared" si="447"/>
        <v>0</v>
      </c>
      <c r="AH1557">
        <f t="shared" si="448"/>
        <v>0</v>
      </c>
      <c r="AI1557">
        <f t="shared" si="449"/>
        <v>0</v>
      </c>
    </row>
    <row r="1558" spans="1:35" x14ac:dyDescent="0.2">
      <c r="A1558">
        <v>433</v>
      </c>
      <c r="B1558" t="s">
        <v>1398</v>
      </c>
      <c r="C1558">
        <v>4</v>
      </c>
      <c r="D1558" t="s">
        <v>4210</v>
      </c>
      <c r="E1558" t="s">
        <v>20</v>
      </c>
      <c r="F1558" t="s">
        <v>18</v>
      </c>
      <c r="G1558" t="s">
        <v>19</v>
      </c>
      <c r="H1558" t="s">
        <v>20</v>
      </c>
      <c r="I1558">
        <v>3</v>
      </c>
      <c r="J1558">
        <v>3</v>
      </c>
      <c r="K1558">
        <v>1</v>
      </c>
      <c r="L1558" t="s">
        <v>79</v>
      </c>
      <c r="M1558" t="s">
        <v>161</v>
      </c>
      <c r="N1558" t="s">
        <v>84</v>
      </c>
      <c r="O1558" t="s">
        <v>4211</v>
      </c>
      <c r="P1558" t="s">
        <v>4212</v>
      </c>
      <c r="Q1558">
        <f t="shared" si="432"/>
        <v>2</v>
      </c>
      <c r="R1558">
        <f t="shared" si="433"/>
        <v>4</v>
      </c>
      <c r="S1558">
        <f t="shared" si="434"/>
        <v>3</v>
      </c>
      <c r="T1558">
        <f t="shared" si="435"/>
        <v>2</v>
      </c>
      <c r="U1558">
        <v>1</v>
      </c>
      <c r="V1558">
        <f t="shared" si="436"/>
        <v>0</v>
      </c>
      <c r="W1558">
        <f t="shared" si="437"/>
        <v>1</v>
      </c>
      <c r="X1558">
        <f t="shared" si="438"/>
        <v>0</v>
      </c>
      <c r="Y1558">
        <f t="shared" si="439"/>
        <v>0</v>
      </c>
      <c r="Z1558">
        <f t="shared" si="440"/>
        <v>1</v>
      </c>
      <c r="AA1558">
        <f t="shared" si="441"/>
        <v>1</v>
      </c>
      <c r="AB1558">
        <f t="shared" si="442"/>
        <v>1</v>
      </c>
      <c r="AC1558">
        <f t="shared" si="443"/>
        <v>1</v>
      </c>
      <c r="AD1558">
        <f t="shared" si="444"/>
        <v>1</v>
      </c>
      <c r="AE1558">
        <f t="shared" si="445"/>
        <v>0</v>
      </c>
      <c r="AF1558">
        <f t="shared" si="446"/>
        <v>0</v>
      </c>
      <c r="AG1558">
        <f t="shared" si="447"/>
        <v>1</v>
      </c>
      <c r="AH1558">
        <f t="shared" si="448"/>
        <v>0</v>
      </c>
      <c r="AI1558">
        <f t="shared" si="449"/>
        <v>0</v>
      </c>
    </row>
    <row r="1559" spans="1:35" x14ac:dyDescent="0.2">
      <c r="A1559">
        <v>434</v>
      </c>
      <c r="B1559" t="s">
        <v>1398</v>
      </c>
      <c r="C1559">
        <v>7</v>
      </c>
      <c r="D1559" t="s">
        <v>4213</v>
      </c>
      <c r="E1559" t="s">
        <v>20</v>
      </c>
      <c r="F1559" t="s">
        <v>39</v>
      </c>
      <c r="G1559" t="s">
        <v>39</v>
      </c>
      <c r="H1559" t="s">
        <v>21</v>
      </c>
      <c r="I1559">
        <v>3</v>
      </c>
      <c r="J1559">
        <v>2</v>
      </c>
      <c r="K1559">
        <v>70</v>
      </c>
      <c r="L1559" t="s">
        <v>70</v>
      </c>
      <c r="M1559" t="s">
        <v>161</v>
      </c>
      <c r="N1559" t="s">
        <v>43</v>
      </c>
      <c r="O1559" t="s">
        <v>4214</v>
      </c>
      <c r="P1559" t="s">
        <v>4215</v>
      </c>
      <c r="Q1559">
        <f t="shared" si="432"/>
        <v>2</v>
      </c>
      <c r="R1559">
        <f t="shared" si="433"/>
        <v>5</v>
      </c>
      <c r="S1559">
        <f t="shared" si="434"/>
        <v>5</v>
      </c>
      <c r="T1559">
        <f t="shared" si="435"/>
        <v>1</v>
      </c>
      <c r="U1559">
        <v>70</v>
      </c>
      <c r="V1559">
        <f t="shared" si="436"/>
        <v>0</v>
      </c>
      <c r="W1559">
        <f t="shared" si="437"/>
        <v>0</v>
      </c>
      <c r="X1559">
        <f t="shared" si="438"/>
        <v>0</v>
      </c>
      <c r="Y1559">
        <f t="shared" si="439"/>
        <v>1</v>
      </c>
      <c r="Z1559">
        <f t="shared" si="440"/>
        <v>0</v>
      </c>
      <c r="AA1559">
        <f t="shared" si="441"/>
        <v>1</v>
      </c>
      <c r="AB1559">
        <f t="shared" si="442"/>
        <v>1</v>
      </c>
      <c r="AC1559">
        <f t="shared" si="443"/>
        <v>1</v>
      </c>
      <c r="AD1559">
        <f t="shared" si="444"/>
        <v>1</v>
      </c>
      <c r="AE1559">
        <f t="shared" si="445"/>
        <v>0</v>
      </c>
      <c r="AF1559">
        <f t="shared" si="446"/>
        <v>1</v>
      </c>
      <c r="AG1559">
        <f t="shared" si="447"/>
        <v>1</v>
      </c>
      <c r="AH1559">
        <f t="shared" si="448"/>
        <v>0</v>
      </c>
      <c r="AI1559">
        <f t="shared" si="449"/>
        <v>0</v>
      </c>
    </row>
    <row r="1560" spans="1:35" x14ac:dyDescent="0.2">
      <c r="A1560">
        <v>435</v>
      </c>
      <c r="B1560" t="s">
        <v>1398</v>
      </c>
      <c r="C1560">
        <v>7</v>
      </c>
      <c r="D1560" t="s">
        <v>4216</v>
      </c>
      <c r="E1560" t="s">
        <v>21</v>
      </c>
      <c r="F1560" t="s">
        <v>18</v>
      </c>
      <c r="G1560" t="s">
        <v>18</v>
      </c>
      <c r="H1560" t="s">
        <v>20</v>
      </c>
      <c r="I1560">
        <v>2</v>
      </c>
      <c r="J1560">
        <v>2</v>
      </c>
      <c r="K1560">
        <v>100</v>
      </c>
      <c r="L1560" t="s">
        <v>41</v>
      </c>
      <c r="M1560" t="s">
        <v>781</v>
      </c>
      <c r="N1560" t="s">
        <v>43</v>
      </c>
      <c r="O1560" t="s">
        <v>1885</v>
      </c>
      <c r="P1560" t="s">
        <v>4217</v>
      </c>
      <c r="Q1560">
        <f t="shared" si="432"/>
        <v>1</v>
      </c>
      <c r="R1560">
        <f t="shared" si="433"/>
        <v>4</v>
      </c>
      <c r="S1560">
        <f t="shared" si="434"/>
        <v>4</v>
      </c>
      <c r="T1560">
        <f t="shared" si="435"/>
        <v>2</v>
      </c>
      <c r="U1560">
        <v>100</v>
      </c>
      <c r="V1560">
        <f t="shared" si="436"/>
        <v>0</v>
      </c>
      <c r="W1560">
        <f t="shared" si="437"/>
        <v>0</v>
      </c>
      <c r="X1560">
        <f t="shared" si="438"/>
        <v>0</v>
      </c>
      <c r="Y1560">
        <f t="shared" si="439"/>
        <v>0</v>
      </c>
      <c r="Z1560">
        <f t="shared" si="440"/>
        <v>1</v>
      </c>
      <c r="AA1560">
        <f t="shared" si="441"/>
        <v>0</v>
      </c>
      <c r="AB1560">
        <f t="shared" si="442"/>
        <v>1</v>
      </c>
      <c r="AC1560">
        <f t="shared" si="443"/>
        <v>1</v>
      </c>
      <c r="AD1560">
        <f t="shared" si="444"/>
        <v>1</v>
      </c>
      <c r="AE1560">
        <f t="shared" si="445"/>
        <v>1</v>
      </c>
      <c r="AF1560">
        <f t="shared" si="446"/>
        <v>1</v>
      </c>
      <c r="AG1560">
        <f t="shared" si="447"/>
        <v>1</v>
      </c>
      <c r="AH1560">
        <f t="shared" si="448"/>
        <v>0</v>
      </c>
      <c r="AI1560">
        <f t="shared" si="449"/>
        <v>0</v>
      </c>
    </row>
    <row r="1561" spans="1:35" x14ac:dyDescent="0.2">
      <c r="A1561">
        <v>436</v>
      </c>
      <c r="B1561" t="s">
        <v>1398</v>
      </c>
      <c r="C1561">
        <v>6</v>
      </c>
      <c r="D1561" t="s">
        <v>4218</v>
      </c>
      <c r="E1561" t="s">
        <v>21</v>
      </c>
      <c r="F1561" t="s">
        <v>18</v>
      </c>
      <c r="G1561" t="s">
        <v>18</v>
      </c>
      <c r="H1561" t="s">
        <v>21</v>
      </c>
      <c r="I1561">
        <v>3</v>
      </c>
      <c r="J1561">
        <v>4</v>
      </c>
      <c r="K1561" t="s">
        <v>1441</v>
      </c>
      <c r="L1561" t="s">
        <v>194</v>
      </c>
      <c r="M1561" t="s">
        <v>23</v>
      </c>
      <c r="N1561" t="s">
        <v>43</v>
      </c>
      <c r="O1561" t="s">
        <v>4219</v>
      </c>
      <c r="P1561" t="s">
        <v>4220</v>
      </c>
      <c r="Q1561">
        <f t="shared" si="432"/>
        <v>1</v>
      </c>
      <c r="R1561">
        <f t="shared" si="433"/>
        <v>4</v>
      </c>
      <c r="S1561">
        <f t="shared" si="434"/>
        <v>4</v>
      </c>
      <c r="T1561">
        <f t="shared" si="435"/>
        <v>1</v>
      </c>
      <c r="U1561">
        <v>500</v>
      </c>
      <c r="V1561">
        <f t="shared" si="436"/>
        <v>0</v>
      </c>
      <c r="W1561">
        <f t="shared" si="437"/>
        <v>0</v>
      </c>
      <c r="X1561">
        <f t="shared" si="438"/>
        <v>0</v>
      </c>
      <c r="Y1561">
        <f t="shared" si="439"/>
        <v>1</v>
      </c>
      <c r="Z1561">
        <f t="shared" si="440"/>
        <v>1</v>
      </c>
      <c r="AA1561">
        <f t="shared" si="441"/>
        <v>1</v>
      </c>
      <c r="AB1561">
        <f t="shared" si="442"/>
        <v>0</v>
      </c>
      <c r="AC1561">
        <f t="shared" si="443"/>
        <v>0</v>
      </c>
      <c r="AD1561">
        <f t="shared" si="444"/>
        <v>0</v>
      </c>
      <c r="AE1561">
        <f t="shared" si="445"/>
        <v>0</v>
      </c>
      <c r="AF1561">
        <f t="shared" si="446"/>
        <v>1</v>
      </c>
      <c r="AG1561">
        <f t="shared" si="447"/>
        <v>1</v>
      </c>
      <c r="AH1561">
        <f t="shared" si="448"/>
        <v>0</v>
      </c>
      <c r="AI1561">
        <f t="shared" si="449"/>
        <v>0</v>
      </c>
    </row>
    <row r="1562" spans="1:35" x14ac:dyDescent="0.2">
      <c r="A1562">
        <v>437</v>
      </c>
      <c r="B1562" t="s">
        <v>1398</v>
      </c>
      <c r="C1562">
        <v>10</v>
      </c>
      <c r="D1562" t="s">
        <v>4221</v>
      </c>
      <c r="E1562" t="s">
        <v>20</v>
      </c>
      <c r="F1562" t="s">
        <v>39</v>
      </c>
      <c r="G1562" t="s">
        <v>39</v>
      </c>
      <c r="H1562" t="s">
        <v>21</v>
      </c>
      <c r="I1562">
        <v>5</v>
      </c>
      <c r="J1562">
        <v>3</v>
      </c>
      <c r="K1562">
        <v>10000000</v>
      </c>
      <c r="L1562" t="s">
        <v>34</v>
      </c>
      <c r="M1562" t="s">
        <v>23</v>
      </c>
      <c r="N1562" t="s">
        <v>84</v>
      </c>
      <c r="O1562" t="s">
        <v>4222</v>
      </c>
      <c r="P1562" t="s">
        <v>4223</v>
      </c>
      <c r="Q1562">
        <f t="shared" si="432"/>
        <v>2</v>
      </c>
      <c r="R1562">
        <f t="shared" si="433"/>
        <v>5</v>
      </c>
      <c r="S1562">
        <f t="shared" si="434"/>
        <v>5</v>
      </c>
      <c r="T1562">
        <f t="shared" si="435"/>
        <v>1</v>
      </c>
      <c r="U1562">
        <v>10000000</v>
      </c>
      <c r="V1562">
        <f t="shared" si="436"/>
        <v>1</v>
      </c>
      <c r="W1562">
        <f t="shared" si="437"/>
        <v>0</v>
      </c>
      <c r="X1562">
        <f t="shared" si="438"/>
        <v>0</v>
      </c>
      <c r="Y1562">
        <f t="shared" si="439"/>
        <v>1</v>
      </c>
      <c r="Z1562">
        <f t="shared" si="440"/>
        <v>0</v>
      </c>
      <c r="AA1562">
        <f t="shared" si="441"/>
        <v>1</v>
      </c>
      <c r="AB1562">
        <f t="shared" si="442"/>
        <v>0</v>
      </c>
      <c r="AC1562">
        <f t="shared" si="443"/>
        <v>0</v>
      </c>
      <c r="AD1562">
        <f t="shared" si="444"/>
        <v>0</v>
      </c>
      <c r="AE1562">
        <f t="shared" si="445"/>
        <v>0</v>
      </c>
      <c r="AF1562">
        <f t="shared" si="446"/>
        <v>0</v>
      </c>
      <c r="AG1562">
        <f t="shared" si="447"/>
        <v>1</v>
      </c>
      <c r="AH1562">
        <f t="shared" si="448"/>
        <v>0</v>
      </c>
      <c r="AI1562">
        <f t="shared" si="449"/>
        <v>0</v>
      </c>
    </row>
    <row r="1563" spans="1:35" x14ac:dyDescent="0.2">
      <c r="A1563">
        <v>438</v>
      </c>
      <c r="B1563" t="s">
        <v>1398</v>
      </c>
      <c r="C1563">
        <v>10</v>
      </c>
      <c r="D1563" t="s">
        <v>4224</v>
      </c>
      <c r="E1563" t="s">
        <v>21</v>
      </c>
      <c r="F1563" t="s">
        <v>39</v>
      </c>
      <c r="G1563" t="s">
        <v>39</v>
      </c>
      <c r="H1563" t="s">
        <v>20</v>
      </c>
      <c r="I1563">
        <v>5</v>
      </c>
      <c r="J1563">
        <v>5</v>
      </c>
      <c r="K1563">
        <v>20000000</v>
      </c>
      <c r="L1563" t="s">
        <v>230</v>
      </c>
      <c r="M1563" t="s">
        <v>468</v>
      </c>
      <c r="N1563" t="s">
        <v>43</v>
      </c>
      <c r="O1563" t="s">
        <v>4225</v>
      </c>
      <c r="P1563" t="s">
        <v>4226</v>
      </c>
      <c r="Q1563">
        <f t="shared" si="432"/>
        <v>1</v>
      </c>
      <c r="R1563">
        <f t="shared" si="433"/>
        <v>5</v>
      </c>
      <c r="S1563">
        <f t="shared" si="434"/>
        <v>5</v>
      </c>
      <c r="T1563">
        <f t="shared" si="435"/>
        <v>2</v>
      </c>
      <c r="U1563">
        <v>20000000</v>
      </c>
      <c r="V1563">
        <f t="shared" si="436"/>
        <v>1</v>
      </c>
      <c r="W1563">
        <f t="shared" si="437"/>
        <v>1</v>
      </c>
      <c r="X1563">
        <f t="shared" si="438"/>
        <v>1</v>
      </c>
      <c r="Y1563">
        <f t="shared" si="439"/>
        <v>1</v>
      </c>
      <c r="Z1563">
        <f t="shared" si="440"/>
        <v>1</v>
      </c>
      <c r="AA1563">
        <f t="shared" si="441"/>
        <v>1</v>
      </c>
      <c r="AB1563">
        <f t="shared" si="442"/>
        <v>1</v>
      </c>
      <c r="AC1563">
        <f t="shared" si="443"/>
        <v>1</v>
      </c>
      <c r="AD1563">
        <f t="shared" si="444"/>
        <v>1</v>
      </c>
      <c r="AE1563">
        <f t="shared" si="445"/>
        <v>1</v>
      </c>
      <c r="AF1563">
        <f t="shared" si="446"/>
        <v>1</v>
      </c>
      <c r="AG1563">
        <f t="shared" si="447"/>
        <v>1</v>
      </c>
      <c r="AH1563">
        <f t="shared" si="448"/>
        <v>0</v>
      </c>
      <c r="AI1563">
        <f t="shared" si="449"/>
        <v>0</v>
      </c>
    </row>
    <row r="1564" spans="1:35" x14ac:dyDescent="0.2">
      <c r="A1564">
        <v>439</v>
      </c>
      <c r="B1564" t="s">
        <v>1398</v>
      </c>
      <c r="C1564">
        <v>4</v>
      </c>
      <c r="D1564" t="s">
        <v>1130</v>
      </c>
      <c r="E1564" t="s">
        <v>21</v>
      </c>
      <c r="F1564" t="s">
        <v>19</v>
      </c>
      <c r="G1564" t="s">
        <v>39</v>
      </c>
      <c r="H1564" t="s">
        <v>21</v>
      </c>
      <c r="I1564">
        <v>3</v>
      </c>
      <c r="J1564">
        <v>2</v>
      </c>
      <c r="K1564" t="s">
        <v>3418</v>
      </c>
      <c r="L1564" t="s">
        <v>22</v>
      </c>
      <c r="M1564" t="s">
        <v>123</v>
      </c>
      <c r="N1564" t="s">
        <v>43</v>
      </c>
      <c r="O1564" t="s">
        <v>659</v>
      </c>
      <c r="P1564" t="s">
        <v>4227</v>
      </c>
      <c r="Q1564">
        <f t="shared" si="432"/>
        <v>1</v>
      </c>
      <c r="R1564">
        <f t="shared" si="433"/>
        <v>3</v>
      </c>
      <c r="S1564">
        <f t="shared" si="434"/>
        <v>5</v>
      </c>
      <c r="T1564">
        <f t="shared" si="435"/>
        <v>1</v>
      </c>
      <c r="U1564">
        <v>50000</v>
      </c>
      <c r="V1564">
        <f t="shared" si="436"/>
        <v>1</v>
      </c>
      <c r="W1564">
        <f t="shared" si="437"/>
        <v>0</v>
      </c>
      <c r="X1564">
        <f t="shared" si="438"/>
        <v>0</v>
      </c>
      <c r="Y1564">
        <f t="shared" si="439"/>
        <v>0</v>
      </c>
      <c r="Z1564">
        <f t="shared" si="440"/>
        <v>0</v>
      </c>
      <c r="AA1564">
        <f t="shared" si="441"/>
        <v>0</v>
      </c>
      <c r="AB1564">
        <f t="shared" si="442"/>
        <v>1</v>
      </c>
      <c r="AC1564">
        <f t="shared" si="443"/>
        <v>1</v>
      </c>
      <c r="AD1564">
        <f t="shared" si="444"/>
        <v>0</v>
      </c>
      <c r="AE1564">
        <f t="shared" si="445"/>
        <v>0</v>
      </c>
      <c r="AF1564">
        <f t="shared" si="446"/>
        <v>1</v>
      </c>
      <c r="AG1564">
        <f t="shared" si="447"/>
        <v>1</v>
      </c>
      <c r="AH1564">
        <f t="shared" si="448"/>
        <v>0</v>
      </c>
      <c r="AI1564">
        <f t="shared" si="449"/>
        <v>0</v>
      </c>
    </row>
    <row r="1565" spans="1:35" x14ac:dyDescent="0.2">
      <c r="A1565">
        <v>440</v>
      </c>
      <c r="B1565" t="s">
        <v>1398</v>
      </c>
      <c r="C1565">
        <v>7</v>
      </c>
      <c r="D1565" t="s">
        <v>4228</v>
      </c>
      <c r="E1565" t="s">
        <v>21</v>
      </c>
      <c r="F1565" t="s">
        <v>39</v>
      </c>
      <c r="G1565" t="s">
        <v>39</v>
      </c>
      <c r="H1565" t="s">
        <v>21</v>
      </c>
      <c r="I1565">
        <v>2</v>
      </c>
      <c r="J1565">
        <v>1</v>
      </c>
      <c r="K1565">
        <v>1000</v>
      </c>
      <c r="L1565" t="s">
        <v>276</v>
      </c>
      <c r="M1565" t="s">
        <v>123</v>
      </c>
      <c r="N1565" t="s">
        <v>43</v>
      </c>
      <c r="O1565" t="s">
        <v>1698</v>
      </c>
      <c r="P1565" t="s">
        <v>4229</v>
      </c>
      <c r="Q1565">
        <f t="shared" si="432"/>
        <v>1</v>
      </c>
      <c r="R1565">
        <f t="shared" si="433"/>
        <v>5</v>
      </c>
      <c r="S1565">
        <f t="shared" si="434"/>
        <v>5</v>
      </c>
      <c r="T1565">
        <f t="shared" si="435"/>
        <v>1</v>
      </c>
      <c r="U1565">
        <v>1000</v>
      </c>
      <c r="V1565">
        <f t="shared" si="436"/>
        <v>1</v>
      </c>
      <c r="W1565">
        <f t="shared" si="437"/>
        <v>1</v>
      </c>
      <c r="X1565">
        <f t="shared" si="438"/>
        <v>0</v>
      </c>
      <c r="Y1565">
        <f t="shared" si="439"/>
        <v>1</v>
      </c>
      <c r="Z1565">
        <f t="shared" si="440"/>
        <v>1</v>
      </c>
      <c r="AA1565">
        <f t="shared" si="441"/>
        <v>0</v>
      </c>
      <c r="AB1565">
        <f t="shared" si="442"/>
        <v>1</v>
      </c>
      <c r="AC1565">
        <f t="shared" si="443"/>
        <v>1</v>
      </c>
      <c r="AD1565">
        <f t="shared" si="444"/>
        <v>0</v>
      </c>
      <c r="AE1565">
        <f t="shared" si="445"/>
        <v>0</v>
      </c>
      <c r="AF1565">
        <f t="shared" si="446"/>
        <v>1</v>
      </c>
      <c r="AG1565">
        <f t="shared" si="447"/>
        <v>1</v>
      </c>
      <c r="AH1565">
        <f t="shared" si="448"/>
        <v>0</v>
      </c>
      <c r="AI1565">
        <f t="shared" si="449"/>
        <v>0</v>
      </c>
    </row>
    <row r="1566" spans="1:35" x14ac:dyDescent="0.2">
      <c r="A1566">
        <v>441</v>
      </c>
      <c r="B1566" t="s">
        <v>1398</v>
      </c>
      <c r="C1566">
        <v>9</v>
      </c>
      <c r="D1566" t="s">
        <v>4230</v>
      </c>
      <c r="E1566" t="s">
        <v>20</v>
      </c>
      <c r="F1566" t="s">
        <v>39</v>
      </c>
      <c r="G1566" t="s">
        <v>39</v>
      </c>
      <c r="H1566" t="s">
        <v>21</v>
      </c>
      <c r="I1566">
        <v>2</v>
      </c>
      <c r="J1566">
        <v>2</v>
      </c>
      <c r="K1566">
        <v>500</v>
      </c>
      <c r="L1566" t="s">
        <v>562</v>
      </c>
      <c r="M1566" t="s">
        <v>280</v>
      </c>
      <c r="N1566" t="s">
        <v>215</v>
      </c>
      <c r="O1566" t="s">
        <v>4231</v>
      </c>
      <c r="P1566" t="s">
        <v>4232</v>
      </c>
      <c r="Q1566">
        <f t="shared" si="432"/>
        <v>2</v>
      </c>
      <c r="R1566">
        <f t="shared" si="433"/>
        <v>5</v>
      </c>
      <c r="S1566">
        <f t="shared" si="434"/>
        <v>5</v>
      </c>
      <c r="T1566">
        <f t="shared" si="435"/>
        <v>1</v>
      </c>
      <c r="U1566">
        <v>500</v>
      </c>
      <c r="V1566">
        <f t="shared" si="436"/>
        <v>0</v>
      </c>
      <c r="W1566">
        <f t="shared" si="437"/>
        <v>1</v>
      </c>
      <c r="X1566">
        <f t="shared" si="438"/>
        <v>1</v>
      </c>
      <c r="Y1566">
        <f t="shared" si="439"/>
        <v>0</v>
      </c>
      <c r="Z1566">
        <f t="shared" si="440"/>
        <v>1</v>
      </c>
      <c r="AA1566">
        <f t="shared" si="441"/>
        <v>0</v>
      </c>
      <c r="AB1566">
        <f t="shared" si="442"/>
        <v>1</v>
      </c>
      <c r="AC1566">
        <f t="shared" si="443"/>
        <v>1</v>
      </c>
      <c r="AD1566">
        <f t="shared" si="444"/>
        <v>1</v>
      </c>
      <c r="AE1566">
        <f t="shared" si="445"/>
        <v>0</v>
      </c>
      <c r="AF1566">
        <f t="shared" si="446"/>
        <v>1</v>
      </c>
      <c r="AG1566">
        <f t="shared" si="447"/>
        <v>0</v>
      </c>
      <c r="AH1566">
        <f t="shared" si="448"/>
        <v>0</v>
      </c>
      <c r="AI1566">
        <f t="shared" si="449"/>
        <v>0</v>
      </c>
    </row>
    <row r="1567" spans="1:35" x14ac:dyDescent="0.2">
      <c r="A1567">
        <v>442</v>
      </c>
      <c r="B1567" t="s">
        <v>1398</v>
      </c>
      <c r="C1567">
        <v>5</v>
      </c>
      <c r="D1567" t="s">
        <v>4233</v>
      </c>
      <c r="E1567" t="s">
        <v>21</v>
      </c>
      <c r="F1567" t="s">
        <v>39</v>
      </c>
      <c r="G1567" t="s">
        <v>39</v>
      </c>
      <c r="H1567" t="s">
        <v>21</v>
      </c>
      <c r="I1567">
        <v>2</v>
      </c>
      <c r="J1567">
        <v>3</v>
      </c>
      <c r="K1567">
        <v>1000</v>
      </c>
      <c r="L1567" t="s">
        <v>601</v>
      </c>
      <c r="M1567" t="s">
        <v>123</v>
      </c>
      <c r="N1567" t="s">
        <v>43</v>
      </c>
      <c r="O1567" t="s">
        <v>4234</v>
      </c>
      <c r="P1567" t="s">
        <v>4235</v>
      </c>
      <c r="Q1567">
        <f t="shared" si="432"/>
        <v>1</v>
      </c>
      <c r="R1567">
        <f t="shared" si="433"/>
        <v>5</v>
      </c>
      <c r="S1567">
        <f t="shared" si="434"/>
        <v>5</v>
      </c>
      <c r="T1567">
        <f t="shared" si="435"/>
        <v>1</v>
      </c>
      <c r="U1567">
        <v>1000</v>
      </c>
      <c r="V1567">
        <f t="shared" si="436"/>
        <v>0</v>
      </c>
      <c r="W1567">
        <f t="shared" si="437"/>
        <v>1</v>
      </c>
      <c r="X1567">
        <f t="shared" si="438"/>
        <v>0</v>
      </c>
      <c r="Y1567">
        <f t="shared" si="439"/>
        <v>1</v>
      </c>
      <c r="Z1567">
        <f t="shared" si="440"/>
        <v>1</v>
      </c>
      <c r="AA1567">
        <f t="shared" si="441"/>
        <v>0</v>
      </c>
      <c r="AB1567">
        <f t="shared" si="442"/>
        <v>1</v>
      </c>
      <c r="AC1567">
        <f t="shared" si="443"/>
        <v>1</v>
      </c>
      <c r="AD1567">
        <f t="shared" si="444"/>
        <v>0</v>
      </c>
      <c r="AE1567">
        <f t="shared" si="445"/>
        <v>0</v>
      </c>
      <c r="AF1567">
        <f t="shared" si="446"/>
        <v>1</v>
      </c>
      <c r="AG1567">
        <f t="shared" si="447"/>
        <v>1</v>
      </c>
      <c r="AH1567">
        <f t="shared" si="448"/>
        <v>0</v>
      </c>
      <c r="AI1567">
        <f t="shared" si="449"/>
        <v>0</v>
      </c>
    </row>
    <row r="1568" spans="1:35" x14ac:dyDescent="0.2">
      <c r="A1568">
        <v>443</v>
      </c>
      <c r="B1568" t="s">
        <v>1398</v>
      </c>
      <c r="C1568">
        <v>5</v>
      </c>
      <c r="D1568" t="s">
        <v>4236</v>
      </c>
      <c r="E1568" t="s">
        <v>21</v>
      </c>
      <c r="F1568" t="s">
        <v>39</v>
      </c>
      <c r="G1568" t="s">
        <v>18</v>
      </c>
      <c r="H1568" t="s">
        <v>21</v>
      </c>
      <c r="I1568">
        <v>3</v>
      </c>
      <c r="J1568">
        <v>3</v>
      </c>
      <c r="K1568">
        <v>500</v>
      </c>
      <c r="L1568" t="s">
        <v>776</v>
      </c>
      <c r="M1568" t="s">
        <v>115</v>
      </c>
      <c r="N1568" t="s">
        <v>215</v>
      </c>
      <c r="O1568" t="s">
        <v>4237</v>
      </c>
      <c r="P1568" t="s">
        <v>4238</v>
      </c>
      <c r="Q1568">
        <f t="shared" si="432"/>
        <v>1</v>
      </c>
      <c r="R1568">
        <f t="shared" si="433"/>
        <v>5</v>
      </c>
      <c r="S1568">
        <f t="shared" si="434"/>
        <v>4</v>
      </c>
      <c r="T1568">
        <f t="shared" si="435"/>
        <v>1</v>
      </c>
      <c r="U1568">
        <v>500</v>
      </c>
      <c r="V1568">
        <f t="shared" si="436"/>
        <v>0</v>
      </c>
      <c r="W1568">
        <f t="shared" si="437"/>
        <v>1</v>
      </c>
      <c r="X1568">
        <f t="shared" si="438"/>
        <v>0</v>
      </c>
      <c r="Y1568">
        <f t="shared" si="439"/>
        <v>1</v>
      </c>
      <c r="Z1568">
        <f t="shared" si="440"/>
        <v>0</v>
      </c>
      <c r="AA1568">
        <f t="shared" si="441"/>
        <v>0</v>
      </c>
      <c r="AB1568">
        <f t="shared" si="442"/>
        <v>0</v>
      </c>
      <c r="AC1568">
        <f t="shared" si="443"/>
        <v>1</v>
      </c>
      <c r="AD1568">
        <f t="shared" si="444"/>
        <v>0</v>
      </c>
      <c r="AE1568">
        <f t="shared" si="445"/>
        <v>0</v>
      </c>
      <c r="AF1568">
        <f t="shared" si="446"/>
        <v>1</v>
      </c>
      <c r="AG1568">
        <f t="shared" si="447"/>
        <v>0</v>
      </c>
      <c r="AH1568">
        <f t="shared" si="448"/>
        <v>0</v>
      </c>
      <c r="AI1568">
        <f t="shared" si="449"/>
        <v>0</v>
      </c>
    </row>
    <row r="1569" spans="1:35" x14ac:dyDescent="0.2">
      <c r="A1569">
        <v>444</v>
      </c>
      <c r="B1569" t="s">
        <v>1398</v>
      </c>
      <c r="C1569">
        <v>10</v>
      </c>
      <c r="D1569" t="s">
        <v>4239</v>
      </c>
      <c r="E1569" t="s">
        <v>21</v>
      </c>
      <c r="F1569" t="s">
        <v>39</v>
      </c>
      <c r="G1569" t="s">
        <v>39</v>
      </c>
      <c r="H1569" t="s">
        <v>21</v>
      </c>
      <c r="I1569">
        <v>3</v>
      </c>
      <c r="J1569">
        <v>1</v>
      </c>
      <c r="K1569">
        <v>100</v>
      </c>
      <c r="L1569" t="s">
        <v>194</v>
      </c>
      <c r="M1569" t="s">
        <v>48</v>
      </c>
      <c r="N1569" t="s">
        <v>215</v>
      </c>
      <c r="O1569" t="s">
        <v>4240</v>
      </c>
      <c r="P1569" t="s">
        <v>4241</v>
      </c>
      <c r="Q1569">
        <f t="shared" si="432"/>
        <v>1</v>
      </c>
      <c r="R1569">
        <f t="shared" si="433"/>
        <v>5</v>
      </c>
      <c r="S1569">
        <f t="shared" si="434"/>
        <v>5</v>
      </c>
      <c r="T1569">
        <f t="shared" si="435"/>
        <v>1</v>
      </c>
      <c r="U1569">
        <v>100</v>
      </c>
      <c r="V1569">
        <f t="shared" si="436"/>
        <v>0</v>
      </c>
      <c r="W1569">
        <f t="shared" si="437"/>
        <v>0</v>
      </c>
      <c r="X1569">
        <f t="shared" si="438"/>
        <v>0</v>
      </c>
      <c r="Y1569">
        <f t="shared" si="439"/>
        <v>1</v>
      </c>
      <c r="Z1569">
        <f t="shared" si="440"/>
        <v>1</v>
      </c>
      <c r="AA1569">
        <f t="shared" si="441"/>
        <v>1</v>
      </c>
      <c r="AB1569">
        <f t="shared" si="442"/>
        <v>1</v>
      </c>
      <c r="AC1569">
        <f t="shared" si="443"/>
        <v>1</v>
      </c>
      <c r="AD1569">
        <f t="shared" si="444"/>
        <v>0</v>
      </c>
      <c r="AE1569">
        <f t="shared" si="445"/>
        <v>0</v>
      </c>
      <c r="AF1569">
        <f t="shared" si="446"/>
        <v>1</v>
      </c>
      <c r="AG1569">
        <f t="shared" si="447"/>
        <v>0</v>
      </c>
      <c r="AH1569">
        <f t="shared" si="448"/>
        <v>0</v>
      </c>
      <c r="AI1569">
        <f t="shared" si="449"/>
        <v>0</v>
      </c>
    </row>
    <row r="1570" spans="1:35" x14ac:dyDescent="0.2">
      <c r="A1570">
        <v>445</v>
      </c>
      <c r="B1570" t="s">
        <v>1398</v>
      </c>
      <c r="C1570">
        <v>9</v>
      </c>
      <c r="D1570" t="s">
        <v>816</v>
      </c>
      <c r="E1570" t="s">
        <v>21</v>
      </c>
      <c r="F1570" t="s">
        <v>18</v>
      </c>
      <c r="G1570" t="s">
        <v>18</v>
      </c>
      <c r="H1570" t="s">
        <v>21</v>
      </c>
      <c r="I1570">
        <v>3</v>
      </c>
      <c r="J1570">
        <v>2</v>
      </c>
      <c r="K1570" t="s">
        <v>4242</v>
      </c>
      <c r="L1570" t="s">
        <v>514</v>
      </c>
      <c r="M1570" t="s">
        <v>115</v>
      </c>
      <c r="N1570" t="s">
        <v>43</v>
      </c>
      <c r="O1570" t="s">
        <v>909</v>
      </c>
      <c r="P1570" t="s">
        <v>4243</v>
      </c>
      <c r="Q1570">
        <f t="shared" si="432"/>
        <v>1</v>
      </c>
      <c r="R1570">
        <f t="shared" si="433"/>
        <v>4</v>
      </c>
      <c r="S1570">
        <f t="shared" si="434"/>
        <v>4</v>
      </c>
      <c r="T1570">
        <f t="shared" si="435"/>
        <v>1</v>
      </c>
      <c r="U1570">
        <v>55000</v>
      </c>
      <c r="V1570">
        <f t="shared" si="436"/>
        <v>1</v>
      </c>
      <c r="W1570">
        <f t="shared" si="437"/>
        <v>1</v>
      </c>
      <c r="X1570">
        <f t="shared" si="438"/>
        <v>0</v>
      </c>
      <c r="Y1570">
        <f t="shared" si="439"/>
        <v>0</v>
      </c>
      <c r="Z1570">
        <f t="shared" si="440"/>
        <v>1</v>
      </c>
      <c r="AA1570">
        <f t="shared" si="441"/>
        <v>0</v>
      </c>
      <c r="AB1570">
        <f t="shared" si="442"/>
        <v>0</v>
      </c>
      <c r="AC1570">
        <f t="shared" si="443"/>
        <v>1</v>
      </c>
      <c r="AD1570">
        <f t="shared" si="444"/>
        <v>0</v>
      </c>
      <c r="AE1570">
        <f t="shared" si="445"/>
        <v>0</v>
      </c>
      <c r="AF1570">
        <f t="shared" si="446"/>
        <v>1</v>
      </c>
      <c r="AG1570">
        <f t="shared" si="447"/>
        <v>1</v>
      </c>
      <c r="AH1570">
        <f t="shared" si="448"/>
        <v>0</v>
      </c>
      <c r="AI1570">
        <f t="shared" si="449"/>
        <v>0</v>
      </c>
    </row>
    <row r="1571" spans="1:35" x14ac:dyDescent="0.2">
      <c r="A1571">
        <v>446</v>
      </c>
      <c r="B1571" t="s">
        <v>1398</v>
      </c>
      <c r="C1571">
        <v>4</v>
      </c>
      <c r="D1571" t="s">
        <v>4244</v>
      </c>
      <c r="E1571" t="s">
        <v>20</v>
      </c>
      <c r="F1571" t="s">
        <v>19</v>
      </c>
      <c r="G1571" t="s">
        <v>18</v>
      </c>
      <c r="H1571" t="s">
        <v>21</v>
      </c>
      <c r="I1571">
        <v>5</v>
      </c>
      <c r="J1571">
        <v>2</v>
      </c>
      <c r="K1571">
        <v>50</v>
      </c>
      <c r="L1571" t="s">
        <v>41</v>
      </c>
      <c r="M1571" t="s">
        <v>23</v>
      </c>
      <c r="N1571" t="s">
        <v>215</v>
      </c>
      <c r="O1571" t="s">
        <v>4245</v>
      </c>
      <c r="P1571" t="s">
        <v>4246</v>
      </c>
      <c r="Q1571">
        <f t="shared" si="432"/>
        <v>2</v>
      </c>
      <c r="R1571">
        <f t="shared" si="433"/>
        <v>3</v>
      </c>
      <c r="S1571">
        <f t="shared" si="434"/>
        <v>4</v>
      </c>
      <c r="T1571">
        <f t="shared" si="435"/>
        <v>1</v>
      </c>
      <c r="U1571">
        <v>50</v>
      </c>
      <c r="V1571">
        <f t="shared" si="436"/>
        <v>0</v>
      </c>
      <c r="W1571">
        <f t="shared" si="437"/>
        <v>0</v>
      </c>
      <c r="X1571">
        <f t="shared" si="438"/>
        <v>0</v>
      </c>
      <c r="Y1571">
        <f t="shared" si="439"/>
        <v>0</v>
      </c>
      <c r="Z1571">
        <f t="shared" si="440"/>
        <v>1</v>
      </c>
      <c r="AA1571">
        <f t="shared" si="441"/>
        <v>1</v>
      </c>
      <c r="AB1571">
        <f t="shared" si="442"/>
        <v>0</v>
      </c>
      <c r="AC1571">
        <f t="shared" si="443"/>
        <v>0</v>
      </c>
      <c r="AD1571">
        <f t="shared" si="444"/>
        <v>0</v>
      </c>
      <c r="AE1571">
        <f t="shared" si="445"/>
        <v>0</v>
      </c>
      <c r="AF1571">
        <f t="shared" si="446"/>
        <v>1</v>
      </c>
      <c r="AG1571">
        <f t="shared" si="447"/>
        <v>0</v>
      </c>
      <c r="AH1571">
        <f t="shared" si="448"/>
        <v>0</v>
      </c>
      <c r="AI1571">
        <f t="shared" si="449"/>
        <v>0</v>
      </c>
    </row>
    <row r="1572" spans="1:35" x14ac:dyDescent="0.2">
      <c r="A1572">
        <v>447</v>
      </c>
      <c r="B1572" t="s">
        <v>1398</v>
      </c>
      <c r="C1572">
        <v>8</v>
      </c>
      <c r="D1572" t="s">
        <v>4247</v>
      </c>
      <c r="E1572" t="s">
        <v>19</v>
      </c>
      <c r="F1572" t="s">
        <v>18</v>
      </c>
      <c r="G1572" t="s">
        <v>18</v>
      </c>
      <c r="H1572" t="s">
        <v>20</v>
      </c>
      <c r="I1572">
        <v>4</v>
      </c>
      <c r="J1572">
        <v>4</v>
      </c>
      <c r="K1572">
        <v>150</v>
      </c>
      <c r="L1572" t="s">
        <v>66</v>
      </c>
      <c r="M1572" t="s">
        <v>468</v>
      </c>
      <c r="N1572" t="s">
        <v>43</v>
      </c>
      <c r="O1572" t="s">
        <v>909</v>
      </c>
      <c r="P1572" t="s">
        <v>4248</v>
      </c>
      <c r="Q1572">
        <f t="shared" si="432"/>
        <v>3</v>
      </c>
      <c r="R1572">
        <f t="shared" si="433"/>
        <v>4</v>
      </c>
      <c r="S1572">
        <f t="shared" si="434"/>
        <v>4</v>
      </c>
      <c r="T1572">
        <f t="shared" si="435"/>
        <v>2</v>
      </c>
      <c r="U1572">
        <v>150</v>
      </c>
      <c r="V1572">
        <f t="shared" si="436"/>
        <v>0</v>
      </c>
      <c r="W1572">
        <f t="shared" si="437"/>
        <v>1</v>
      </c>
      <c r="X1572">
        <f t="shared" si="438"/>
        <v>1</v>
      </c>
      <c r="Y1572">
        <f t="shared" si="439"/>
        <v>0</v>
      </c>
      <c r="Z1572">
        <f t="shared" si="440"/>
        <v>0</v>
      </c>
      <c r="AA1572">
        <f t="shared" si="441"/>
        <v>1</v>
      </c>
      <c r="AB1572">
        <f t="shared" si="442"/>
        <v>1</v>
      </c>
      <c r="AC1572">
        <f t="shared" si="443"/>
        <v>1</v>
      </c>
      <c r="AD1572">
        <f t="shared" si="444"/>
        <v>1</v>
      </c>
      <c r="AE1572">
        <f t="shared" si="445"/>
        <v>1</v>
      </c>
      <c r="AF1572">
        <f t="shared" si="446"/>
        <v>1</v>
      </c>
      <c r="AG1572">
        <f t="shared" si="447"/>
        <v>1</v>
      </c>
      <c r="AH1572">
        <f t="shared" si="448"/>
        <v>0</v>
      </c>
      <c r="AI1572">
        <f t="shared" si="449"/>
        <v>0</v>
      </c>
    </row>
    <row r="1573" spans="1:35" x14ac:dyDescent="0.2">
      <c r="A1573">
        <v>448</v>
      </c>
      <c r="B1573" t="s">
        <v>1398</v>
      </c>
      <c r="C1573">
        <v>5</v>
      </c>
      <c r="D1573" t="s">
        <v>4249</v>
      </c>
      <c r="E1573" t="s">
        <v>21</v>
      </c>
      <c r="F1573" t="s">
        <v>18</v>
      </c>
      <c r="G1573" t="s">
        <v>39</v>
      </c>
      <c r="H1573" t="s">
        <v>21</v>
      </c>
      <c r="I1573">
        <v>4</v>
      </c>
      <c r="J1573">
        <v>4</v>
      </c>
      <c r="K1573" s="1">
        <v>50000</v>
      </c>
      <c r="L1573" t="s">
        <v>34</v>
      </c>
      <c r="M1573" t="s">
        <v>123</v>
      </c>
      <c r="N1573" t="s">
        <v>43</v>
      </c>
      <c r="O1573" t="s">
        <v>1848</v>
      </c>
      <c r="P1573" t="s">
        <v>4250</v>
      </c>
      <c r="Q1573">
        <f t="shared" si="432"/>
        <v>1</v>
      </c>
      <c r="R1573">
        <f t="shared" si="433"/>
        <v>4</v>
      </c>
      <c r="S1573">
        <f t="shared" si="434"/>
        <v>5</v>
      </c>
      <c r="T1573">
        <f t="shared" si="435"/>
        <v>1</v>
      </c>
      <c r="U1573">
        <v>50000</v>
      </c>
      <c r="V1573">
        <f t="shared" si="436"/>
        <v>1</v>
      </c>
      <c r="W1573">
        <f t="shared" si="437"/>
        <v>0</v>
      </c>
      <c r="X1573">
        <f t="shared" si="438"/>
        <v>0</v>
      </c>
      <c r="Y1573">
        <f t="shared" si="439"/>
        <v>1</v>
      </c>
      <c r="Z1573">
        <f t="shared" si="440"/>
        <v>0</v>
      </c>
      <c r="AA1573">
        <f t="shared" si="441"/>
        <v>0</v>
      </c>
      <c r="AB1573">
        <f t="shared" si="442"/>
        <v>1</v>
      </c>
      <c r="AC1573">
        <f t="shared" si="443"/>
        <v>1</v>
      </c>
      <c r="AD1573">
        <f t="shared" si="444"/>
        <v>0</v>
      </c>
      <c r="AE1573">
        <f t="shared" si="445"/>
        <v>0</v>
      </c>
      <c r="AF1573">
        <f t="shared" si="446"/>
        <v>1</v>
      </c>
      <c r="AG1573">
        <f t="shared" si="447"/>
        <v>1</v>
      </c>
      <c r="AH1573">
        <f t="shared" si="448"/>
        <v>0</v>
      </c>
      <c r="AI1573">
        <f t="shared" si="449"/>
        <v>0</v>
      </c>
    </row>
    <row r="1574" spans="1:35" x14ac:dyDescent="0.2">
      <c r="A1574">
        <v>449</v>
      </c>
      <c r="B1574" t="s">
        <v>1398</v>
      </c>
      <c r="C1574">
        <v>1</v>
      </c>
      <c r="D1574" t="s">
        <v>4251</v>
      </c>
      <c r="E1574" t="s">
        <v>20</v>
      </c>
      <c r="F1574" t="s">
        <v>19</v>
      </c>
      <c r="G1574" t="s">
        <v>19</v>
      </c>
      <c r="H1574" t="s">
        <v>21</v>
      </c>
      <c r="I1574">
        <v>3</v>
      </c>
      <c r="J1574">
        <v>3</v>
      </c>
      <c r="K1574">
        <v>1</v>
      </c>
      <c r="L1574" t="s">
        <v>22</v>
      </c>
      <c r="M1574" t="s">
        <v>219</v>
      </c>
      <c r="N1574" t="s">
        <v>215</v>
      </c>
      <c r="O1574" t="s">
        <v>4252</v>
      </c>
      <c r="P1574" t="s">
        <v>4253</v>
      </c>
      <c r="Q1574">
        <f t="shared" si="432"/>
        <v>2</v>
      </c>
      <c r="R1574">
        <f t="shared" si="433"/>
        <v>3</v>
      </c>
      <c r="S1574">
        <f t="shared" si="434"/>
        <v>3</v>
      </c>
      <c r="T1574">
        <f t="shared" si="435"/>
        <v>1</v>
      </c>
      <c r="U1574">
        <v>1</v>
      </c>
      <c r="V1574">
        <f t="shared" si="436"/>
        <v>1</v>
      </c>
      <c r="W1574">
        <f t="shared" si="437"/>
        <v>0</v>
      </c>
      <c r="X1574">
        <f t="shared" si="438"/>
        <v>0</v>
      </c>
      <c r="Y1574">
        <f t="shared" si="439"/>
        <v>0</v>
      </c>
      <c r="Z1574">
        <f t="shared" si="440"/>
        <v>0</v>
      </c>
      <c r="AA1574">
        <f t="shared" si="441"/>
        <v>0</v>
      </c>
      <c r="AB1574">
        <f t="shared" si="442"/>
        <v>0</v>
      </c>
      <c r="AC1574">
        <f t="shared" si="443"/>
        <v>0</v>
      </c>
      <c r="AD1574">
        <f t="shared" si="444"/>
        <v>0</v>
      </c>
      <c r="AE1574">
        <f t="shared" si="445"/>
        <v>1</v>
      </c>
      <c r="AF1574">
        <f t="shared" si="446"/>
        <v>1</v>
      </c>
      <c r="AG1574">
        <f t="shared" si="447"/>
        <v>0</v>
      </c>
      <c r="AH1574">
        <f t="shared" si="448"/>
        <v>0</v>
      </c>
      <c r="AI1574">
        <f t="shared" si="449"/>
        <v>0</v>
      </c>
    </row>
    <row r="1575" spans="1:35" x14ac:dyDescent="0.2">
      <c r="A1575">
        <v>450</v>
      </c>
      <c r="B1575" t="s">
        <v>1398</v>
      </c>
      <c r="C1575">
        <v>5</v>
      </c>
      <c r="D1575" t="s">
        <v>4254</v>
      </c>
      <c r="E1575" t="s">
        <v>21</v>
      </c>
      <c r="F1575" t="s">
        <v>18</v>
      </c>
      <c r="G1575" t="s">
        <v>39</v>
      </c>
      <c r="H1575" t="s">
        <v>21</v>
      </c>
      <c r="I1575">
        <v>4</v>
      </c>
      <c r="J1575">
        <v>1</v>
      </c>
      <c r="K1575">
        <v>300</v>
      </c>
      <c r="L1575" t="s">
        <v>435</v>
      </c>
      <c r="M1575" t="s">
        <v>280</v>
      </c>
      <c r="N1575" t="s">
        <v>43</v>
      </c>
      <c r="O1575" t="s">
        <v>1419</v>
      </c>
      <c r="P1575" t="s">
        <v>4255</v>
      </c>
      <c r="Q1575">
        <f t="shared" si="432"/>
        <v>1</v>
      </c>
      <c r="R1575">
        <f t="shared" si="433"/>
        <v>4</v>
      </c>
      <c r="S1575">
        <f t="shared" si="434"/>
        <v>5</v>
      </c>
      <c r="T1575">
        <f t="shared" si="435"/>
        <v>1</v>
      </c>
      <c r="U1575">
        <v>300</v>
      </c>
      <c r="V1575">
        <f t="shared" si="436"/>
        <v>1</v>
      </c>
      <c r="W1575">
        <f t="shared" si="437"/>
        <v>0</v>
      </c>
      <c r="X1575">
        <f t="shared" si="438"/>
        <v>0</v>
      </c>
      <c r="Y1575">
        <f t="shared" si="439"/>
        <v>0</v>
      </c>
      <c r="Z1575">
        <f t="shared" si="440"/>
        <v>1</v>
      </c>
      <c r="AA1575">
        <f t="shared" si="441"/>
        <v>0</v>
      </c>
      <c r="AB1575">
        <f t="shared" si="442"/>
        <v>1</v>
      </c>
      <c r="AC1575">
        <f t="shared" si="443"/>
        <v>1</v>
      </c>
      <c r="AD1575">
        <f t="shared" si="444"/>
        <v>1</v>
      </c>
      <c r="AE1575">
        <f t="shared" si="445"/>
        <v>0</v>
      </c>
      <c r="AF1575">
        <f t="shared" si="446"/>
        <v>1</v>
      </c>
      <c r="AG1575">
        <f t="shared" si="447"/>
        <v>1</v>
      </c>
      <c r="AH1575">
        <f t="shared" si="448"/>
        <v>0</v>
      </c>
      <c r="AI1575">
        <f t="shared" si="449"/>
        <v>0</v>
      </c>
    </row>
    <row r="1576" spans="1:35" x14ac:dyDescent="0.2">
      <c r="A1576">
        <v>451</v>
      </c>
      <c r="B1576" t="s">
        <v>1398</v>
      </c>
      <c r="C1576">
        <v>3</v>
      </c>
      <c r="D1576" t="s">
        <v>4256</v>
      </c>
      <c r="E1576" t="s">
        <v>18</v>
      </c>
      <c r="F1576" t="s">
        <v>18</v>
      </c>
      <c r="G1576" t="s">
        <v>18</v>
      </c>
      <c r="H1576" t="s">
        <v>20</v>
      </c>
      <c r="I1576">
        <v>3</v>
      </c>
      <c r="J1576">
        <v>1</v>
      </c>
      <c r="K1576" s="1">
        <v>750</v>
      </c>
      <c r="L1576" t="s">
        <v>34</v>
      </c>
      <c r="M1576" t="s">
        <v>99</v>
      </c>
      <c r="N1576" t="s">
        <v>215</v>
      </c>
      <c r="O1576" t="s">
        <v>4257</v>
      </c>
      <c r="P1576" t="s">
        <v>4258</v>
      </c>
      <c r="Q1576">
        <f t="shared" si="432"/>
        <v>4</v>
      </c>
      <c r="R1576">
        <f t="shared" si="433"/>
        <v>4</v>
      </c>
      <c r="S1576">
        <f t="shared" si="434"/>
        <v>4</v>
      </c>
      <c r="T1576">
        <f t="shared" si="435"/>
        <v>2</v>
      </c>
      <c r="U1576">
        <v>750</v>
      </c>
      <c r="V1576">
        <f t="shared" si="436"/>
        <v>1</v>
      </c>
      <c r="W1576">
        <f t="shared" si="437"/>
        <v>0</v>
      </c>
      <c r="X1576">
        <f t="shared" si="438"/>
        <v>0</v>
      </c>
      <c r="Y1576">
        <f t="shared" si="439"/>
        <v>1</v>
      </c>
      <c r="Z1576">
        <f t="shared" si="440"/>
        <v>0</v>
      </c>
      <c r="AA1576">
        <f t="shared" si="441"/>
        <v>1</v>
      </c>
      <c r="AB1576">
        <f t="shared" si="442"/>
        <v>0</v>
      </c>
      <c r="AC1576">
        <f t="shared" si="443"/>
        <v>0</v>
      </c>
      <c r="AD1576">
        <f t="shared" si="444"/>
        <v>0</v>
      </c>
      <c r="AE1576">
        <f t="shared" si="445"/>
        <v>1</v>
      </c>
      <c r="AF1576">
        <f t="shared" si="446"/>
        <v>1</v>
      </c>
      <c r="AG1576">
        <f t="shared" si="447"/>
        <v>0</v>
      </c>
      <c r="AH1576">
        <f t="shared" si="448"/>
        <v>0</v>
      </c>
      <c r="AI1576">
        <f t="shared" si="449"/>
        <v>0</v>
      </c>
    </row>
    <row r="1577" spans="1:35" x14ac:dyDescent="0.2">
      <c r="A1577">
        <v>452</v>
      </c>
      <c r="B1577" t="s">
        <v>1398</v>
      </c>
      <c r="C1577">
        <v>6</v>
      </c>
      <c r="D1577" t="s">
        <v>4259</v>
      </c>
      <c r="E1577" t="s">
        <v>18</v>
      </c>
      <c r="F1577" t="s">
        <v>18</v>
      </c>
      <c r="G1577" t="s">
        <v>18</v>
      </c>
      <c r="H1577" t="s">
        <v>21</v>
      </c>
      <c r="I1577">
        <v>1</v>
      </c>
      <c r="J1577">
        <v>2</v>
      </c>
      <c r="K1577">
        <v>100</v>
      </c>
      <c r="L1577" t="s">
        <v>70</v>
      </c>
      <c r="M1577" t="s">
        <v>23</v>
      </c>
      <c r="N1577" t="s">
        <v>84</v>
      </c>
      <c r="O1577" t="s">
        <v>4260</v>
      </c>
      <c r="P1577" t="s">
        <v>4261</v>
      </c>
      <c r="Q1577">
        <f t="shared" si="432"/>
        <v>4</v>
      </c>
      <c r="R1577">
        <f t="shared" si="433"/>
        <v>4</v>
      </c>
      <c r="S1577">
        <f t="shared" si="434"/>
        <v>4</v>
      </c>
      <c r="T1577">
        <f t="shared" si="435"/>
        <v>1</v>
      </c>
      <c r="U1577">
        <v>100</v>
      </c>
      <c r="V1577">
        <f t="shared" si="436"/>
        <v>0</v>
      </c>
      <c r="W1577">
        <f t="shared" si="437"/>
        <v>0</v>
      </c>
      <c r="X1577">
        <f t="shared" si="438"/>
        <v>0</v>
      </c>
      <c r="Y1577">
        <f t="shared" si="439"/>
        <v>1</v>
      </c>
      <c r="Z1577">
        <f t="shared" si="440"/>
        <v>0</v>
      </c>
      <c r="AA1577">
        <f t="shared" si="441"/>
        <v>1</v>
      </c>
      <c r="AB1577">
        <f t="shared" si="442"/>
        <v>0</v>
      </c>
      <c r="AC1577">
        <f t="shared" si="443"/>
        <v>0</v>
      </c>
      <c r="AD1577">
        <f t="shared" si="444"/>
        <v>0</v>
      </c>
      <c r="AE1577">
        <f t="shared" si="445"/>
        <v>0</v>
      </c>
      <c r="AF1577">
        <f t="shared" si="446"/>
        <v>0</v>
      </c>
      <c r="AG1577">
        <f t="shared" si="447"/>
        <v>1</v>
      </c>
      <c r="AH1577">
        <f t="shared" si="448"/>
        <v>0</v>
      </c>
      <c r="AI1577">
        <f t="shared" si="449"/>
        <v>0</v>
      </c>
    </row>
    <row r="1578" spans="1:35" x14ac:dyDescent="0.2">
      <c r="A1578">
        <v>453</v>
      </c>
      <c r="B1578" t="s">
        <v>1398</v>
      </c>
      <c r="C1578">
        <v>8</v>
      </c>
      <c r="D1578" t="s">
        <v>4262</v>
      </c>
      <c r="E1578" t="s">
        <v>21</v>
      </c>
      <c r="F1578" t="s">
        <v>39</v>
      </c>
      <c r="G1578" t="s">
        <v>39</v>
      </c>
      <c r="H1578" t="s">
        <v>21</v>
      </c>
      <c r="I1578">
        <v>2</v>
      </c>
      <c r="J1578">
        <v>3</v>
      </c>
      <c r="K1578" t="s">
        <v>4263</v>
      </c>
      <c r="L1578" t="s">
        <v>194</v>
      </c>
      <c r="M1578" t="s">
        <v>48</v>
      </c>
      <c r="N1578" t="s">
        <v>43</v>
      </c>
      <c r="O1578" t="s">
        <v>4264</v>
      </c>
      <c r="P1578" t="s">
        <v>4265</v>
      </c>
      <c r="Q1578">
        <f t="shared" si="432"/>
        <v>1</v>
      </c>
      <c r="R1578">
        <f t="shared" si="433"/>
        <v>5</v>
      </c>
      <c r="S1578">
        <f t="shared" si="434"/>
        <v>5</v>
      </c>
      <c r="T1578">
        <f t="shared" si="435"/>
        <v>1</v>
      </c>
      <c r="U1578">
        <v>50</v>
      </c>
      <c r="V1578">
        <f t="shared" si="436"/>
        <v>0</v>
      </c>
      <c r="W1578">
        <f t="shared" si="437"/>
        <v>0</v>
      </c>
      <c r="X1578">
        <f t="shared" si="438"/>
        <v>0</v>
      </c>
      <c r="Y1578">
        <f t="shared" si="439"/>
        <v>1</v>
      </c>
      <c r="Z1578">
        <f t="shared" si="440"/>
        <v>1</v>
      </c>
      <c r="AA1578">
        <f t="shared" si="441"/>
        <v>1</v>
      </c>
      <c r="AB1578">
        <f t="shared" si="442"/>
        <v>1</v>
      </c>
      <c r="AC1578">
        <f t="shared" si="443"/>
        <v>1</v>
      </c>
      <c r="AD1578">
        <f t="shared" si="444"/>
        <v>0</v>
      </c>
      <c r="AE1578">
        <f t="shared" si="445"/>
        <v>0</v>
      </c>
      <c r="AF1578">
        <f t="shared" si="446"/>
        <v>1</v>
      </c>
      <c r="AG1578">
        <f t="shared" si="447"/>
        <v>1</v>
      </c>
      <c r="AH1578">
        <f t="shared" si="448"/>
        <v>0</v>
      </c>
      <c r="AI1578">
        <f t="shared" si="449"/>
        <v>0</v>
      </c>
    </row>
    <row r="1579" spans="1:35" x14ac:dyDescent="0.2">
      <c r="A1579">
        <v>454</v>
      </c>
      <c r="B1579" t="s">
        <v>1398</v>
      </c>
      <c r="C1579">
        <v>3</v>
      </c>
      <c r="D1579" t="s">
        <v>4266</v>
      </c>
      <c r="E1579" t="s">
        <v>21</v>
      </c>
      <c r="F1579" t="s">
        <v>19</v>
      </c>
      <c r="G1579" t="s">
        <v>39</v>
      </c>
      <c r="H1579" t="s">
        <v>21</v>
      </c>
      <c r="I1579">
        <v>1</v>
      </c>
      <c r="J1579">
        <v>1</v>
      </c>
      <c r="K1579">
        <v>50000</v>
      </c>
      <c r="L1579" t="s">
        <v>22</v>
      </c>
      <c r="M1579" t="s">
        <v>123</v>
      </c>
      <c r="N1579" t="s">
        <v>43</v>
      </c>
      <c r="O1579" t="s">
        <v>977</v>
      </c>
      <c r="P1579" t="s">
        <v>4267</v>
      </c>
      <c r="Q1579">
        <f t="shared" si="432"/>
        <v>1</v>
      </c>
      <c r="R1579">
        <f t="shared" si="433"/>
        <v>3</v>
      </c>
      <c r="S1579">
        <f t="shared" si="434"/>
        <v>5</v>
      </c>
      <c r="T1579">
        <f t="shared" si="435"/>
        <v>1</v>
      </c>
      <c r="U1579">
        <v>50000</v>
      </c>
      <c r="V1579">
        <f t="shared" si="436"/>
        <v>1</v>
      </c>
      <c r="W1579">
        <f t="shared" si="437"/>
        <v>0</v>
      </c>
      <c r="X1579">
        <f t="shared" si="438"/>
        <v>0</v>
      </c>
      <c r="Y1579">
        <f t="shared" si="439"/>
        <v>0</v>
      </c>
      <c r="Z1579">
        <f t="shared" si="440"/>
        <v>0</v>
      </c>
      <c r="AA1579">
        <f t="shared" si="441"/>
        <v>0</v>
      </c>
      <c r="AB1579">
        <f t="shared" si="442"/>
        <v>1</v>
      </c>
      <c r="AC1579">
        <f t="shared" si="443"/>
        <v>1</v>
      </c>
      <c r="AD1579">
        <f t="shared" si="444"/>
        <v>0</v>
      </c>
      <c r="AE1579">
        <f t="shared" si="445"/>
        <v>0</v>
      </c>
      <c r="AF1579">
        <f t="shared" si="446"/>
        <v>1</v>
      </c>
      <c r="AG1579">
        <f t="shared" si="447"/>
        <v>1</v>
      </c>
      <c r="AH1579">
        <f t="shared" si="448"/>
        <v>0</v>
      </c>
      <c r="AI1579">
        <f t="shared" si="449"/>
        <v>0</v>
      </c>
    </row>
    <row r="1580" spans="1:35" x14ac:dyDescent="0.2">
      <c r="A1580">
        <v>455</v>
      </c>
      <c r="B1580" t="s">
        <v>1398</v>
      </c>
      <c r="C1580">
        <v>4</v>
      </c>
      <c r="D1580" t="s">
        <v>4268</v>
      </c>
      <c r="E1580" t="s">
        <v>20</v>
      </c>
      <c r="F1580" t="s">
        <v>18</v>
      </c>
      <c r="G1580" t="s">
        <v>18</v>
      </c>
      <c r="H1580" t="s">
        <v>20</v>
      </c>
      <c r="I1580">
        <v>2</v>
      </c>
      <c r="J1580">
        <v>1</v>
      </c>
      <c r="K1580">
        <v>50</v>
      </c>
      <c r="L1580" t="s">
        <v>98</v>
      </c>
      <c r="M1580" t="s">
        <v>154</v>
      </c>
      <c r="N1580" t="s">
        <v>43</v>
      </c>
      <c r="O1580" t="s">
        <v>1698</v>
      </c>
      <c r="P1580" t="s">
        <v>4269</v>
      </c>
      <c r="Q1580">
        <f t="shared" si="432"/>
        <v>2</v>
      </c>
      <c r="R1580">
        <f t="shared" si="433"/>
        <v>4</v>
      </c>
      <c r="S1580">
        <f t="shared" si="434"/>
        <v>4</v>
      </c>
      <c r="T1580">
        <f t="shared" si="435"/>
        <v>2</v>
      </c>
      <c r="U1580">
        <v>50</v>
      </c>
      <c r="V1580">
        <f t="shared" si="436"/>
        <v>0</v>
      </c>
      <c r="W1580">
        <f t="shared" si="437"/>
        <v>1</v>
      </c>
      <c r="X1580">
        <f t="shared" si="438"/>
        <v>0</v>
      </c>
      <c r="Y1580">
        <f t="shared" si="439"/>
        <v>0</v>
      </c>
      <c r="Z1580">
        <f t="shared" si="440"/>
        <v>0</v>
      </c>
      <c r="AA1580">
        <f t="shared" si="441"/>
        <v>1</v>
      </c>
      <c r="AB1580">
        <f t="shared" si="442"/>
        <v>0</v>
      </c>
      <c r="AC1580">
        <f t="shared" si="443"/>
        <v>1</v>
      </c>
      <c r="AD1580">
        <f t="shared" si="444"/>
        <v>0</v>
      </c>
      <c r="AE1580">
        <f t="shared" si="445"/>
        <v>0</v>
      </c>
      <c r="AF1580">
        <f t="shared" si="446"/>
        <v>1</v>
      </c>
      <c r="AG1580">
        <f t="shared" si="447"/>
        <v>1</v>
      </c>
      <c r="AH1580">
        <f t="shared" si="448"/>
        <v>0</v>
      </c>
      <c r="AI1580">
        <f t="shared" si="449"/>
        <v>0</v>
      </c>
    </row>
    <row r="1581" spans="1:35" x14ac:dyDescent="0.2">
      <c r="A1581">
        <v>456</v>
      </c>
      <c r="B1581" t="s">
        <v>1398</v>
      </c>
      <c r="C1581">
        <v>2</v>
      </c>
      <c r="D1581" t="s">
        <v>4270</v>
      </c>
      <c r="E1581" t="s">
        <v>21</v>
      </c>
      <c r="F1581" t="s">
        <v>18</v>
      </c>
      <c r="G1581" t="s">
        <v>19</v>
      </c>
      <c r="H1581" t="s">
        <v>20</v>
      </c>
      <c r="I1581">
        <v>2</v>
      </c>
      <c r="J1581">
        <v>2</v>
      </c>
      <c r="K1581">
        <v>20</v>
      </c>
      <c r="L1581" t="s">
        <v>22</v>
      </c>
      <c r="M1581" t="s">
        <v>154</v>
      </c>
      <c r="N1581" t="s">
        <v>651</v>
      </c>
      <c r="O1581" t="s">
        <v>683</v>
      </c>
      <c r="P1581" t="s">
        <v>4271</v>
      </c>
      <c r="Q1581">
        <f t="shared" si="432"/>
        <v>1</v>
      </c>
      <c r="R1581">
        <f t="shared" si="433"/>
        <v>4</v>
      </c>
      <c r="S1581">
        <f t="shared" si="434"/>
        <v>3</v>
      </c>
      <c r="T1581">
        <f t="shared" si="435"/>
        <v>2</v>
      </c>
      <c r="U1581">
        <v>20</v>
      </c>
      <c r="V1581">
        <f t="shared" si="436"/>
        <v>1</v>
      </c>
      <c r="W1581">
        <f t="shared" si="437"/>
        <v>0</v>
      </c>
      <c r="X1581">
        <f t="shared" si="438"/>
        <v>0</v>
      </c>
      <c r="Y1581">
        <f t="shared" si="439"/>
        <v>0</v>
      </c>
      <c r="Z1581">
        <f t="shared" si="440"/>
        <v>0</v>
      </c>
      <c r="AA1581">
        <f t="shared" si="441"/>
        <v>1</v>
      </c>
      <c r="AB1581">
        <f t="shared" si="442"/>
        <v>0</v>
      </c>
      <c r="AC1581">
        <f t="shared" si="443"/>
        <v>1</v>
      </c>
      <c r="AD1581">
        <f t="shared" si="444"/>
        <v>0</v>
      </c>
      <c r="AE1581">
        <f t="shared" si="445"/>
        <v>0</v>
      </c>
      <c r="AF1581">
        <f t="shared" si="446"/>
        <v>1</v>
      </c>
      <c r="AG1581">
        <f t="shared" si="447"/>
        <v>0</v>
      </c>
      <c r="AH1581">
        <f t="shared" si="448"/>
        <v>1</v>
      </c>
      <c r="AI1581">
        <f t="shared" si="449"/>
        <v>0</v>
      </c>
    </row>
    <row r="1582" spans="1:35" x14ac:dyDescent="0.2">
      <c r="A1582">
        <v>457</v>
      </c>
      <c r="B1582" t="s">
        <v>1398</v>
      </c>
      <c r="C1582">
        <v>7</v>
      </c>
      <c r="D1582" t="s">
        <v>4272</v>
      </c>
      <c r="E1582" t="s">
        <v>21</v>
      </c>
      <c r="F1582" t="s">
        <v>39</v>
      </c>
      <c r="G1582" t="s">
        <v>39</v>
      </c>
      <c r="H1582" t="s">
        <v>21</v>
      </c>
      <c r="I1582">
        <v>3</v>
      </c>
      <c r="J1582">
        <v>1</v>
      </c>
      <c r="K1582">
        <v>10000</v>
      </c>
      <c r="L1582" t="s">
        <v>562</v>
      </c>
      <c r="M1582" t="s">
        <v>280</v>
      </c>
      <c r="N1582" t="s">
        <v>43</v>
      </c>
      <c r="O1582" t="s">
        <v>1180</v>
      </c>
      <c r="P1582" t="s">
        <v>4273</v>
      </c>
      <c r="Q1582">
        <f t="shared" si="432"/>
        <v>1</v>
      </c>
      <c r="R1582">
        <f t="shared" si="433"/>
        <v>5</v>
      </c>
      <c r="S1582">
        <f t="shared" si="434"/>
        <v>5</v>
      </c>
      <c r="T1582">
        <f t="shared" si="435"/>
        <v>1</v>
      </c>
      <c r="U1582">
        <v>10000</v>
      </c>
      <c r="V1582">
        <f t="shared" si="436"/>
        <v>0</v>
      </c>
      <c r="W1582">
        <f t="shared" si="437"/>
        <v>1</v>
      </c>
      <c r="X1582">
        <f t="shared" si="438"/>
        <v>1</v>
      </c>
      <c r="Y1582">
        <f t="shared" si="439"/>
        <v>0</v>
      </c>
      <c r="Z1582">
        <f t="shared" si="440"/>
        <v>1</v>
      </c>
      <c r="AA1582">
        <f t="shared" si="441"/>
        <v>0</v>
      </c>
      <c r="AB1582">
        <f t="shared" si="442"/>
        <v>1</v>
      </c>
      <c r="AC1582">
        <f t="shared" si="443"/>
        <v>1</v>
      </c>
      <c r="AD1582">
        <f t="shared" si="444"/>
        <v>1</v>
      </c>
      <c r="AE1582">
        <f t="shared" si="445"/>
        <v>0</v>
      </c>
      <c r="AF1582">
        <f t="shared" si="446"/>
        <v>1</v>
      </c>
      <c r="AG1582">
        <f t="shared" si="447"/>
        <v>1</v>
      </c>
      <c r="AH1582">
        <f t="shared" si="448"/>
        <v>0</v>
      </c>
      <c r="AI1582">
        <f t="shared" si="449"/>
        <v>0</v>
      </c>
    </row>
    <row r="1583" spans="1:35" x14ac:dyDescent="0.2">
      <c r="A1583">
        <v>458</v>
      </c>
      <c r="B1583" t="s">
        <v>1398</v>
      </c>
      <c r="C1583">
        <v>9</v>
      </c>
      <c r="D1583" t="s">
        <v>4274</v>
      </c>
      <c r="E1583" t="s">
        <v>21</v>
      </c>
      <c r="F1583" t="s">
        <v>39</v>
      </c>
      <c r="G1583" t="s">
        <v>39</v>
      </c>
      <c r="H1583" t="s">
        <v>20</v>
      </c>
      <c r="I1583">
        <v>2</v>
      </c>
      <c r="J1583">
        <v>1</v>
      </c>
      <c r="K1583">
        <v>10</v>
      </c>
      <c r="L1583" t="s">
        <v>41</v>
      </c>
      <c r="M1583" t="s">
        <v>115</v>
      </c>
      <c r="N1583" t="s">
        <v>215</v>
      </c>
      <c r="O1583" t="s">
        <v>116</v>
      </c>
      <c r="P1583" t="s">
        <v>4275</v>
      </c>
      <c r="Q1583">
        <f t="shared" si="432"/>
        <v>1</v>
      </c>
      <c r="R1583">
        <f t="shared" si="433"/>
        <v>5</v>
      </c>
      <c r="S1583">
        <f t="shared" si="434"/>
        <v>5</v>
      </c>
      <c r="T1583">
        <f t="shared" si="435"/>
        <v>2</v>
      </c>
      <c r="U1583">
        <v>10</v>
      </c>
      <c r="V1583">
        <f t="shared" si="436"/>
        <v>0</v>
      </c>
      <c r="W1583">
        <f t="shared" si="437"/>
        <v>0</v>
      </c>
      <c r="X1583">
        <f t="shared" si="438"/>
        <v>0</v>
      </c>
      <c r="Y1583">
        <f t="shared" si="439"/>
        <v>0</v>
      </c>
      <c r="Z1583">
        <f t="shared" si="440"/>
        <v>1</v>
      </c>
      <c r="AA1583">
        <f t="shared" si="441"/>
        <v>0</v>
      </c>
      <c r="AB1583">
        <f t="shared" si="442"/>
        <v>0</v>
      </c>
      <c r="AC1583">
        <f t="shared" si="443"/>
        <v>1</v>
      </c>
      <c r="AD1583">
        <f t="shared" si="444"/>
        <v>0</v>
      </c>
      <c r="AE1583">
        <f t="shared" si="445"/>
        <v>0</v>
      </c>
      <c r="AF1583">
        <f t="shared" si="446"/>
        <v>1</v>
      </c>
      <c r="AG1583">
        <f t="shared" si="447"/>
        <v>0</v>
      </c>
      <c r="AH1583">
        <f t="shared" si="448"/>
        <v>0</v>
      </c>
      <c r="AI1583">
        <f t="shared" si="449"/>
        <v>0</v>
      </c>
    </row>
    <row r="1584" spans="1:35" x14ac:dyDescent="0.2">
      <c r="A1584">
        <v>459</v>
      </c>
      <c r="B1584" t="s">
        <v>1398</v>
      </c>
      <c r="C1584">
        <v>10</v>
      </c>
      <c r="D1584" t="s">
        <v>4276</v>
      </c>
      <c r="E1584" t="s">
        <v>18</v>
      </c>
      <c r="F1584" t="s">
        <v>18</v>
      </c>
      <c r="G1584" t="s">
        <v>20</v>
      </c>
      <c r="H1584" t="s">
        <v>18</v>
      </c>
      <c r="I1584">
        <v>1</v>
      </c>
      <c r="J1584">
        <v>3</v>
      </c>
      <c r="K1584" s="1">
        <v>5</v>
      </c>
      <c r="L1584" t="s">
        <v>435</v>
      </c>
      <c r="M1584" t="s">
        <v>3443</v>
      </c>
      <c r="N1584" t="s">
        <v>215</v>
      </c>
      <c r="O1584" t="s">
        <v>4277</v>
      </c>
      <c r="P1584" t="s">
        <v>4278</v>
      </c>
      <c r="Q1584">
        <f t="shared" si="432"/>
        <v>4</v>
      </c>
      <c r="R1584">
        <f t="shared" si="433"/>
        <v>4</v>
      </c>
      <c r="S1584">
        <f t="shared" si="434"/>
        <v>2</v>
      </c>
      <c r="T1584">
        <f t="shared" si="435"/>
        <v>4</v>
      </c>
      <c r="U1584">
        <v>5</v>
      </c>
      <c r="V1584">
        <f t="shared" si="436"/>
        <v>1</v>
      </c>
      <c r="W1584">
        <f t="shared" si="437"/>
        <v>0</v>
      </c>
      <c r="X1584">
        <f t="shared" si="438"/>
        <v>0</v>
      </c>
      <c r="Y1584">
        <f t="shared" si="439"/>
        <v>0</v>
      </c>
      <c r="Z1584">
        <f t="shared" si="440"/>
        <v>1</v>
      </c>
      <c r="AA1584">
        <f t="shared" si="441"/>
        <v>0</v>
      </c>
      <c r="AB1584">
        <f t="shared" si="442"/>
        <v>0</v>
      </c>
      <c r="AC1584">
        <f t="shared" si="443"/>
        <v>1</v>
      </c>
      <c r="AD1584">
        <f t="shared" si="444"/>
        <v>1</v>
      </c>
      <c r="AE1584">
        <f t="shared" si="445"/>
        <v>1</v>
      </c>
      <c r="AF1584">
        <f t="shared" si="446"/>
        <v>1</v>
      </c>
      <c r="AG1584">
        <f t="shared" si="447"/>
        <v>0</v>
      </c>
      <c r="AH1584">
        <f t="shared" si="448"/>
        <v>0</v>
      </c>
      <c r="AI1584">
        <f t="shared" si="449"/>
        <v>0</v>
      </c>
    </row>
    <row r="1585" spans="1:35" x14ac:dyDescent="0.2">
      <c r="A1585">
        <v>460</v>
      </c>
      <c r="B1585" t="s">
        <v>1398</v>
      </c>
      <c r="C1585">
        <v>8</v>
      </c>
      <c r="D1585" t="s">
        <v>1130</v>
      </c>
      <c r="E1585" t="s">
        <v>21</v>
      </c>
      <c r="F1585" t="s">
        <v>18</v>
      </c>
      <c r="G1585" t="s">
        <v>39</v>
      </c>
      <c r="H1585" t="s">
        <v>21</v>
      </c>
      <c r="I1585">
        <v>3</v>
      </c>
      <c r="J1585">
        <v>3</v>
      </c>
      <c r="K1585">
        <v>500</v>
      </c>
      <c r="L1585" t="s">
        <v>494</v>
      </c>
      <c r="M1585" t="s">
        <v>468</v>
      </c>
      <c r="N1585" t="s">
        <v>43</v>
      </c>
      <c r="O1585" t="s">
        <v>2475</v>
      </c>
      <c r="P1585" t="s">
        <v>4279</v>
      </c>
      <c r="Q1585">
        <f t="shared" si="432"/>
        <v>1</v>
      </c>
      <c r="R1585">
        <f t="shared" si="433"/>
        <v>4</v>
      </c>
      <c r="S1585">
        <f t="shared" si="434"/>
        <v>5</v>
      </c>
      <c r="T1585">
        <f t="shared" si="435"/>
        <v>1</v>
      </c>
      <c r="U1585">
        <v>500</v>
      </c>
      <c r="V1585">
        <f t="shared" si="436"/>
        <v>0</v>
      </c>
      <c r="W1585">
        <f t="shared" si="437"/>
        <v>1</v>
      </c>
      <c r="X1585">
        <f t="shared" si="438"/>
        <v>1</v>
      </c>
      <c r="Y1585">
        <f t="shared" si="439"/>
        <v>1</v>
      </c>
      <c r="Z1585">
        <f t="shared" si="440"/>
        <v>1</v>
      </c>
      <c r="AA1585">
        <f t="shared" si="441"/>
        <v>1</v>
      </c>
      <c r="AB1585">
        <f t="shared" si="442"/>
        <v>1</v>
      </c>
      <c r="AC1585">
        <f t="shared" si="443"/>
        <v>1</v>
      </c>
      <c r="AD1585">
        <f t="shared" si="444"/>
        <v>1</v>
      </c>
      <c r="AE1585">
        <f t="shared" si="445"/>
        <v>1</v>
      </c>
      <c r="AF1585">
        <f t="shared" si="446"/>
        <v>1</v>
      </c>
      <c r="AG1585">
        <f t="shared" si="447"/>
        <v>1</v>
      </c>
      <c r="AH1585">
        <f t="shared" si="448"/>
        <v>0</v>
      </c>
      <c r="AI1585">
        <f t="shared" si="449"/>
        <v>0</v>
      </c>
    </row>
    <row r="1586" spans="1:35" x14ac:dyDescent="0.2">
      <c r="A1586">
        <v>461</v>
      </c>
      <c r="B1586" t="s">
        <v>1398</v>
      </c>
      <c r="C1586">
        <v>9</v>
      </c>
      <c r="D1586" t="s">
        <v>4280</v>
      </c>
      <c r="E1586" t="s">
        <v>20</v>
      </c>
      <c r="F1586" t="s">
        <v>18</v>
      </c>
      <c r="G1586" t="s">
        <v>39</v>
      </c>
      <c r="H1586" t="s">
        <v>21</v>
      </c>
      <c r="I1586">
        <v>2</v>
      </c>
      <c r="J1586">
        <v>3</v>
      </c>
      <c r="K1586">
        <v>200</v>
      </c>
      <c r="L1586" t="s">
        <v>41</v>
      </c>
      <c r="M1586" t="s">
        <v>48</v>
      </c>
      <c r="N1586" t="s">
        <v>43</v>
      </c>
      <c r="O1586" t="s">
        <v>4281</v>
      </c>
      <c r="P1586" t="s">
        <v>4282</v>
      </c>
      <c r="Q1586">
        <f t="shared" si="432"/>
        <v>2</v>
      </c>
      <c r="R1586">
        <f t="shared" si="433"/>
        <v>4</v>
      </c>
      <c r="S1586">
        <f t="shared" si="434"/>
        <v>5</v>
      </c>
      <c r="T1586">
        <f t="shared" si="435"/>
        <v>1</v>
      </c>
      <c r="U1586">
        <v>200</v>
      </c>
      <c r="V1586">
        <f t="shared" si="436"/>
        <v>0</v>
      </c>
      <c r="W1586">
        <f t="shared" si="437"/>
        <v>0</v>
      </c>
      <c r="X1586">
        <f t="shared" si="438"/>
        <v>0</v>
      </c>
      <c r="Y1586">
        <f t="shared" si="439"/>
        <v>0</v>
      </c>
      <c r="Z1586">
        <f t="shared" si="440"/>
        <v>1</v>
      </c>
      <c r="AA1586">
        <f t="shared" si="441"/>
        <v>1</v>
      </c>
      <c r="AB1586">
        <f t="shared" si="442"/>
        <v>1</v>
      </c>
      <c r="AC1586">
        <f t="shared" si="443"/>
        <v>1</v>
      </c>
      <c r="AD1586">
        <f t="shared" si="444"/>
        <v>0</v>
      </c>
      <c r="AE1586">
        <f t="shared" si="445"/>
        <v>0</v>
      </c>
      <c r="AF1586">
        <f t="shared" si="446"/>
        <v>1</v>
      </c>
      <c r="AG1586">
        <f t="shared" si="447"/>
        <v>1</v>
      </c>
      <c r="AH1586">
        <f t="shared" si="448"/>
        <v>0</v>
      </c>
      <c r="AI1586">
        <f t="shared" si="449"/>
        <v>0</v>
      </c>
    </row>
    <row r="1587" spans="1:35" x14ac:dyDescent="0.2">
      <c r="A1587">
        <v>462</v>
      </c>
      <c r="B1587" t="s">
        <v>1398</v>
      </c>
      <c r="C1587">
        <v>4</v>
      </c>
      <c r="D1587" t="s">
        <v>4283</v>
      </c>
      <c r="E1587" t="s">
        <v>21</v>
      </c>
      <c r="F1587" t="s">
        <v>39</v>
      </c>
      <c r="G1587" t="s">
        <v>39</v>
      </c>
      <c r="H1587" t="s">
        <v>20</v>
      </c>
      <c r="I1587">
        <v>1</v>
      </c>
      <c r="J1587">
        <v>1</v>
      </c>
      <c r="K1587">
        <v>200</v>
      </c>
      <c r="L1587" t="s">
        <v>601</v>
      </c>
      <c r="M1587" t="s">
        <v>123</v>
      </c>
      <c r="N1587" t="s">
        <v>43</v>
      </c>
      <c r="O1587" t="s">
        <v>3771</v>
      </c>
      <c r="P1587" t="s">
        <v>4284</v>
      </c>
      <c r="Q1587">
        <f t="shared" si="432"/>
        <v>1</v>
      </c>
      <c r="R1587">
        <f t="shared" si="433"/>
        <v>5</v>
      </c>
      <c r="S1587">
        <f t="shared" si="434"/>
        <v>5</v>
      </c>
      <c r="T1587">
        <f t="shared" si="435"/>
        <v>2</v>
      </c>
      <c r="U1587">
        <v>200</v>
      </c>
      <c r="V1587">
        <f t="shared" si="436"/>
        <v>0</v>
      </c>
      <c r="W1587">
        <f t="shared" si="437"/>
        <v>1</v>
      </c>
      <c r="X1587">
        <f t="shared" si="438"/>
        <v>0</v>
      </c>
      <c r="Y1587">
        <f t="shared" si="439"/>
        <v>1</v>
      </c>
      <c r="Z1587">
        <f t="shared" si="440"/>
        <v>1</v>
      </c>
      <c r="AA1587">
        <f t="shared" si="441"/>
        <v>0</v>
      </c>
      <c r="AB1587">
        <f t="shared" si="442"/>
        <v>1</v>
      </c>
      <c r="AC1587">
        <f t="shared" si="443"/>
        <v>1</v>
      </c>
      <c r="AD1587">
        <f t="shared" si="444"/>
        <v>0</v>
      </c>
      <c r="AE1587">
        <f t="shared" si="445"/>
        <v>0</v>
      </c>
      <c r="AF1587">
        <f t="shared" si="446"/>
        <v>1</v>
      </c>
      <c r="AG1587">
        <f t="shared" si="447"/>
        <v>1</v>
      </c>
      <c r="AH1587">
        <f t="shared" si="448"/>
        <v>0</v>
      </c>
      <c r="AI1587">
        <f t="shared" si="449"/>
        <v>0</v>
      </c>
    </row>
    <row r="1588" spans="1:35" x14ac:dyDescent="0.2">
      <c r="A1588">
        <v>463</v>
      </c>
      <c r="B1588" t="s">
        <v>1398</v>
      </c>
      <c r="C1588">
        <v>3</v>
      </c>
      <c r="D1588" t="s">
        <v>4285</v>
      </c>
      <c r="E1588" t="s">
        <v>21</v>
      </c>
      <c r="F1588" t="s">
        <v>39</v>
      </c>
      <c r="G1588" t="s">
        <v>18</v>
      </c>
      <c r="H1588" t="s">
        <v>21</v>
      </c>
      <c r="I1588">
        <v>3</v>
      </c>
      <c r="J1588">
        <v>1</v>
      </c>
      <c r="K1588">
        <v>80</v>
      </c>
      <c r="L1588" t="s">
        <v>79</v>
      </c>
      <c r="M1588" t="s">
        <v>154</v>
      </c>
      <c r="N1588" t="s">
        <v>215</v>
      </c>
      <c r="O1588" t="s">
        <v>4286</v>
      </c>
      <c r="P1588" t="s">
        <v>4287</v>
      </c>
      <c r="Q1588">
        <f t="shared" si="432"/>
        <v>1</v>
      </c>
      <c r="R1588">
        <f t="shared" si="433"/>
        <v>5</v>
      </c>
      <c r="S1588">
        <f t="shared" si="434"/>
        <v>4</v>
      </c>
      <c r="T1588">
        <f t="shared" si="435"/>
        <v>1</v>
      </c>
      <c r="U1588">
        <v>80</v>
      </c>
      <c r="V1588">
        <f t="shared" si="436"/>
        <v>0</v>
      </c>
      <c r="W1588">
        <f t="shared" si="437"/>
        <v>1</v>
      </c>
      <c r="X1588">
        <f t="shared" si="438"/>
        <v>0</v>
      </c>
      <c r="Y1588">
        <f t="shared" si="439"/>
        <v>0</v>
      </c>
      <c r="Z1588">
        <f t="shared" si="440"/>
        <v>1</v>
      </c>
      <c r="AA1588">
        <f t="shared" si="441"/>
        <v>1</v>
      </c>
      <c r="AB1588">
        <f t="shared" si="442"/>
        <v>0</v>
      </c>
      <c r="AC1588">
        <f t="shared" si="443"/>
        <v>1</v>
      </c>
      <c r="AD1588">
        <f t="shared" si="444"/>
        <v>0</v>
      </c>
      <c r="AE1588">
        <f t="shared" si="445"/>
        <v>0</v>
      </c>
      <c r="AF1588">
        <f t="shared" si="446"/>
        <v>1</v>
      </c>
      <c r="AG1588">
        <f t="shared" si="447"/>
        <v>0</v>
      </c>
      <c r="AH1588">
        <f t="shared" si="448"/>
        <v>0</v>
      </c>
      <c r="AI1588">
        <f t="shared" si="449"/>
        <v>0</v>
      </c>
    </row>
    <row r="1589" spans="1:35" x14ac:dyDescent="0.2">
      <c r="A1589">
        <v>464</v>
      </c>
      <c r="B1589" t="s">
        <v>1398</v>
      </c>
      <c r="C1589">
        <v>7</v>
      </c>
      <c r="D1589" t="s">
        <v>1199</v>
      </c>
      <c r="E1589" t="s">
        <v>21</v>
      </c>
      <c r="F1589" t="s">
        <v>39</v>
      </c>
      <c r="G1589" t="s">
        <v>39</v>
      </c>
      <c r="H1589" t="s">
        <v>20</v>
      </c>
      <c r="I1589">
        <v>3</v>
      </c>
      <c r="J1589">
        <v>4</v>
      </c>
      <c r="K1589">
        <v>100</v>
      </c>
      <c r="L1589" t="s">
        <v>601</v>
      </c>
      <c r="M1589" t="s">
        <v>958</v>
      </c>
      <c r="N1589" t="s">
        <v>215</v>
      </c>
      <c r="O1589" t="s">
        <v>1515</v>
      </c>
      <c r="P1589" t="s">
        <v>4288</v>
      </c>
      <c r="Q1589">
        <f t="shared" si="432"/>
        <v>1</v>
      </c>
      <c r="R1589">
        <f t="shared" si="433"/>
        <v>5</v>
      </c>
      <c r="S1589">
        <f t="shared" si="434"/>
        <v>5</v>
      </c>
      <c r="T1589">
        <f t="shared" si="435"/>
        <v>2</v>
      </c>
      <c r="U1589">
        <v>100</v>
      </c>
      <c r="V1589">
        <f t="shared" si="436"/>
        <v>0</v>
      </c>
      <c r="W1589">
        <f t="shared" si="437"/>
        <v>1</v>
      </c>
      <c r="X1589">
        <f t="shared" si="438"/>
        <v>0</v>
      </c>
      <c r="Y1589">
        <f t="shared" si="439"/>
        <v>1</v>
      </c>
      <c r="Z1589">
        <f t="shared" si="440"/>
        <v>1</v>
      </c>
      <c r="AA1589">
        <f t="shared" si="441"/>
        <v>1</v>
      </c>
      <c r="AB1589">
        <f t="shared" si="442"/>
        <v>0</v>
      </c>
      <c r="AC1589">
        <f t="shared" si="443"/>
        <v>1</v>
      </c>
      <c r="AD1589">
        <f t="shared" si="444"/>
        <v>0</v>
      </c>
      <c r="AE1589">
        <f t="shared" si="445"/>
        <v>1</v>
      </c>
      <c r="AF1589">
        <f t="shared" si="446"/>
        <v>1</v>
      </c>
      <c r="AG1589">
        <f t="shared" si="447"/>
        <v>0</v>
      </c>
      <c r="AH1589">
        <f t="shared" si="448"/>
        <v>0</v>
      </c>
      <c r="AI1589">
        <f t="shared" si="449"/>
        <v>0</v>
      </c>
    </row>
    <row r="1590" spans="1:35" x14ac:dyDescent="0.2">
      <c r="A1590">
        <v>465</v>
      </c>
      <c r="B1590" t="s">
        <v>1398</v>
      </c>
      <c r="C1590">
        <v>4</v>
      </c>
      <c r="D1590" t="s">
        <v>4289</v>
      </c>
      <c r="E1590" t="s">
        <v>20</v>
      </c>
      <c r="F1590" t="s">
        <v>18</v>
      </c>
      <c r="G1590" t="s">
        <v>39</v>
      </c>
      <c r="H1590" t="s">
        <v>21</v>
      </c>
      <c r="I1590">
        <v>2</v>
      </c>
      <c r="J1590">
        <v>1</v>
      </c>
      <c r="K1590" s="1">
        <v>150</v>
      </c>
      <c r="L1590" t="s">
        <v>194</v>
      </c>
      <c r="M1590" t="s">
        <v>123</v>
      </c>
      <c r="N1590" t="s">
        <v>215</v>
      </c>
      <c r="O1590" t="s">
        <v>983</v>
      </c>
      <c r="P1590" t="s">
        <v>4290</v>
      </c>
      <c r="Q1590">
        <f t="shared" si="432"/>
        <v>2</v>
      </c>
      <c r="R1590">
        <f t="shared" si="433"/>
        <v>4</v>
      </c>
      <c r="S1590">
        <f t="shared" si="434"/>
        <v>5</v>
      </c>
      <c r="T1590">
        <f t="shared" si="435"/>
        <v>1</v>
      </c>
      <c r="U1590">
        <v>150</v>
      </c>
      <c r="V1590">
        <f t="shared" si="436"/>
        <v>0</v>
      </c>
      <c r="W1590">
        <f t="shared" si="437"/>
        <v>0</v>
      </c>
      <c r="X1590">
        <f t="shared" si="438"/>
        <v>0</v>
      </c>
      <c r="Y1590">
        <f t="shared" si="439"/>
        <v>1</v>
      </c>
      <c r="Z1590">
        <f t="shared" si="440"/>
        <v>1</v>
      </c>
      <c r="AA1590">
        <f t="shared" si="441"/>
        <v>0</v>
      </c>
      <c r="AB1590">
        <f t="shared" si="442"/>
        <v>1</v>
      </c>
      <c r="AC1590">
        <f t="shared" si="443"/>
        <v>1</v>
      </c>
      <c r="AD1590">
        <f t="shared" si="444"/>
        <v>0</v>
      </c>
      <c r="AE1590">
        <f t="shared" si="445"/>
        <v>0</v>
      </c>
      <c r="AF1590">
        <f t="shared" si="446"/>
        <v>1</v>
      </c>
      <c r="AG1590">
        <f t="shared" si="447"/>
        <v>0</v>
      </c>
      <c r="AH1590">
        <f t="shared" si="448"/>
        <v>0</v>
      </c>
      <c r="AI1590">
        <f t="shared" si="449"/>
        <v>0</v>
      </c>
    </row>
    <row r="1591" spans="1:35" x14ac:dyDescent="0.2">
      <c r="A1591">
        <v>466</v>
      </c>
      <c r="B1591" t="s">
        <v>1398</v>
      </c>
      <c r="C1591">
        <v>9</v>
      </c>
      <c r="D1591" t="s">
        <v>4291</v>
      </c>
      <c r="E1591" t="s">
        <v>21</v>
      </c>
      <c r="F1591" t="s">
        <v>39</v>
      </c>
      <c r="G1591" t="s">
        <v>18</v>
      </c>
      <c r="H1591" t="s">
        <v>19</v>
      </c>
      <c r="I1591">
        <v>1</v>
      </c>
      <c r="J1591">
        <v>2</v>
      </c>
      <c r="K1591">
        <v>30</v>
      </c>
      <c r="L1591" t="s">
        <v>41</v>
      </c>
      <c r="M1591" t="s">
        <v>42</v>
      </c>
      <c r="N1591" t="s">
        <v>215</v>
      </c>
      <c r="O1591" t="s">
        <v>4292</v>
      </c>
      <c r="P1591" t="s">
        <v>4293</v>
      </c>
      <c r="Q1591">
        <f t="shared" si="432"/>
        <v>1</v>
      </c>
      <c r="R1591">
        <f t="shared" si="433"/>
        <v>5</v>
      </c>
      <c r="S1591">
        <f t="shared" si="434"/>
        <v>4</v>
      </c>
      <c r="T1591">
        <f t="shared" si="435"/>
        <v>3</v>
      </c>
      <c r="U1591">
        <v>30</v>
      </c>
      <c r="V1591">
        <f t="shared" si="436"/>
        <v>0</v>
      </c>
      <c r="W1591">
        <f t="shared" si="437"/>
        <v>0</v>
      </c>
      <c r="X1591">
        <f t="shared" si="438"/>
        <v>0</v>
      </c>
      <c r="Y1591">
        <f t="shared" si="439"/>
        <v>0</v>
      </c>
      <c r="Z1591">
        <f t="shared" si="440"/>
        <v>1</v>
      </c>
      <c r="AA1591">
        <f t="shared" si="441"/>
        <v>0</v>
      </c>
      <c r="AB1591">
        <f t="shared" si="442"/>
        <v>1</v>
      </c>
      <c r="AC1591">
        <f t="shared" si="443"/>
        <v>0</v>
      </c>
      <c r="AD1591">
        <f t="shared" si="444"/>
        <v>0</v>
      </c>
      <c r="AE1591">
        <f t="shared" si="445"/>
        <v>0</v>
      </c>
      <c r="AF1591">
        <f t="shared" si="446"/>
        <v>1</v>
      </c>
      <c r="AG1591">
        <f t="shared" si="447"/>
        <v>0</v>
      </c>
      <c r="AH1591">
        <f t="shared" si="448"/>
        <v>0</v>
      </c>
      <c r="AI1591">
        <f t="shared" si="449"/>
        <v>0</v>
      </c>
    </row>
    <row r="1592" spans="1:35" x14ac:dyDescent="0.2">
      <c r="A1592">
        <v>467</v>
      </c>
      <c r="B1592" t="s">
        <v>1398</v>
      </c>
      <c r="C1592">
        <v>5</v>
      </c>
      <c r="D1592" t="s">
        <v>1379</v>
      </c>
      <c r="E1592" t="s">
        <v>21</v>
      </c>
      <c r="F1592" t="s">
        <v>18</v>
      </c>
      <c r="G1592" t="s">
        <v>18</v>
      </c>
      <c r="H1592" t="s">
        <v>21</v>
      </c>
      <c r="I1592">
        <v>3</v>
      </c>
      <c r="J1592">
        <v>3</v>
      </c>
      <c r="K1592">
        <v>75</v>
      </c>
      <c r="L1592" t="s">
        <v>70</v>
      </c>
      <c r="M1592" t="s">
        <v>42</v>
      </c>
      <c r="N1592" t="s">
        <v>215</v>
      </c>
      <c r="O1592" t="s">
        <v>2635</v>
      </c>
      <c r="P1592" t="s">
        <v>4294</v>
      </c>
      <c r="Q1592">
        <f t="shared" si="432"/>
        <v>1</v>
      </c>
      <c r="R1592">
        <f t="shared" si="433"/>
        <v>4</v>
      </c>
      <c r="S1592">
        <f t="shared" si="434"/>
        <v>4</v>
      </c>
      <c r="T1592">
        <f t="shared" si="435"/>
        <v>1</v>
      </c>
      <c r="U1592">
        <v>75</v>
      </c>
      <c r="V1592">
        <f t="shared" si="436"/>
        <v>0</v>
      </c>
      <c r="W1592">
        <f t="shared" si="437"/>
        <v>0</v>
      </c>
      <c r="X1592">
        <f t="shared" si="438"/>
        <v>0</v>
      </c>
      <c r="Y1592">
        <f t="shared" si="439"/>
        <v>1</v>
      </c>
      <c r="Z1592">
        <f t="shared" si="440"/>
        <v>0</v>
      </c>
      <c r="AA1592">
        <f t="shared" si="441"/>
        <v>0</v>
      </c>
      <c r="AB1592">
        <f t="shared" si="442"/>
        <v>1</v>
      </c>
      <c r="AC1592">
        <f t="shared" si="443"/>
        <v>0</v>
      </c>
      <c r="AD1592">
        <f t="shared" si="444"/>
        <v>0</v>
      </c>
      <c r="AE1592">
        <f t="shared" si="445"/>
        <v>0</v>
      </c>
      <c r="AF1592">
        <f t="shared" si="446"/>
        <v>1</v>
      </c>
      <c r="AG1592">
        <f t="shared" si="447"/>
        <v>0</v>
      </c>
      <c r="AH1592">
        <f t="shared" si="448"/>
        <v>0</v>
      </c>
      <c r="AI1592">
        <f t="shared" si="449"/>
        <v>0</v>
      </c>
    </row>
    <row r="1593" spans="1:35" x14ac:dyDescent="0.2">
      <c r="A1593">
        <v>468</v>
      </c>
      <c r="B1593" t="s">
        <v>1398</v>
      </c>
      <c r="C1593">
        <v>10</v>
      </c>
      <c r="D1593" t="s">
        <v>4295</v>
      </c>
      <c r="E1593" t="s">
        <v>21</v>
      </c>
      <c r="F1593" t="s">
        <v>39</v>
      </c>
      <c r="G1593" t="s">
        <v>39</v>
      </c>
      <c r="H1593" t="s">
        <v>21</v>
      </c>
      <c r="I1593">
        <v>1</v>
      </c>
      <c r="J1593">
        <v>1</v>
      </c>
      <c r="K1593">
        <v>15000</v>
      </c>
      <c r="L1593" t="s">
        <v>41</v>
      </c>
      <c r="M1593" t="s">
        <v>154</v>
      </c>
      <c r="N1593" t="s">
        <v>215</v>
      </c>
      <c r="O1593" t="s">
        <v>3774</v>
      </c>
      <c r="P1593" t="s">
        <v>4296</v>
      </c>
      <c r="Q1593">
        <f t="shared" si="432"/>
        <v>1</v>
      </c>
      <c r="R1593">
        <f t="shared" si="433"/>
        <v>5</v>
      </c>
      <c r="S1593">
        <f t="shared" si="434"/>
        <v>5</v>
      </c>
      <c r="T1593">
        <f t="shared" si="435"/>
        <v>1</v>
      </c>
      <c r="U1593">
        <v>15000</v>
      </c>
      <c r="V1593">
        <f t="shared" si="436"/>
        <v>0</v>
      </c>
      <c r="W1593">
        <f t="shared" si="437"/>
        <v>0</v>
      </c>
      <c r="X1593">
        <f t="shared" si="438"/>
        <v>0</v>
      </c>
      <c r="Y1593">
        <f t="shared" si="439"/>
        <v>0</v>
      </c>
      <c r="Z1593">
        <f t="shared" si="440"/>
        <v>1</v>
      </c>
      <c r="AA1593">
        <f t="shared" si="441"/>
        <v>1</v>
      </c>
      <c r="AB1593">
        <f t="shared" si="442"/>
        <v>0</v>
      </c>
      <c r="AC1593">
        <f t="shared" si="443"/>
        <v>1</v>
      </c>
      <c r="AD1593">
        <f t="shared" si="444"/>
        <v>0</v>
      </c>
      <c r="AE1593">
        <f t="shared" si="445"/>
        <v>0</v>
      </c>
      <c r="AF1593">
        <f t="shared" si="446"/>
        <v>1</v>
      </c>
      <c r="AG1593">
        <f t="shared" si="447"/>
        <v>0</v>
      </c>
      <c r="AH1593">
        <f t="shared" si="448"/>
        <v>0</v>
      </c>
      <c r="AI1593">
        <f t="shared" si="449"/>
        <v>0</v>
      </c>
    </row>
    <row r="1594" spans="1:35" x14ac:dyDescent="0.2">
      <c r="A1594">
        <v>469</v>
      </c>
      <c r="B1594" t="s">
        <v>1398</v>
      </c>
      <c r="C1594">
        <v>8</v>
      </c>
      <c r="D1594" t="s">
        <v>1845</v>
      </c>
      <c r="E1594" t="s">
        <v>21</v>
      </c>
      <c r="F1594" t="s">
        <v>39</v>
      </c>
      <c r="G1594" t="s">
        <v>20</v>
      </c>
      <c r="H1594" t="s">
        <v>21</v>
      </c>
      <c r="I1594">
        <v>1</v>
      </c>
      <c r="J1594">
        <v>2</v>
      </c>
      <c r="K1594">
        <v>400</v>
      </c>
      <c r="L1594" t="s">
        <v>41</v>
      </c>
      <c r="M1594" t="s">
        <v>123</v>
      </c>
      <c r="N1594" t="s">
        <v>215</v>
      </c>
      <c r="O1594" t="s">
        <v>1558</v>
      </c>
      <c r="P1594" t="s">
        <v>4297</v>
      </c>
      <c r="Q1594">
        <f t="shared" si="432"/>
        <v>1</v>
      </c>
      <c r="R1594">
        <f t="shared" si="433"/>
        <v>5</v>
      </c>
      <c r="S1594">
        <f t="shared" si="434"/>
        <v>2</v>
      </c>
      <c r="T1594">
        <f t="shared" si="435"/>
        <v>1</v>
      </c>
      <c r="U1594">
        <v>400</v>
      </c>
      <c r="V1594">
        <f t="shared" si="436"/>
        <v>0</v>
      </c>
      <c r="W1594">
        <f t="shared" si="437"/>
        <v>0</v>
      </c>
      <c r="X1594">
        <f t="shared" si="438"/>
        <v>0</v>
      </c>
      <c r="Y1594">
        <f t="shared" si="439"/>
        <v>0</v>
      </c>
      <c r="Z1594">
        <f t="shared" si="440"/>
        <v>1</v>
      </c>
      <c r="AA1594">
        <f t="shared" si="441"/>
        <v>0</v>
      </c>
      <c r="AB1594">
        <f t="shared" si="442"/>
        <v>1</v>
      </c>
      <c r="AC1594">
        <f t="shared" si="443"/>
        <v>1</v>
      </c>
      <c r="AD1594">
        <f t="shared" si="444"/>
        <v>0</v>
      </c>
      <c r="AE1594">
        <f t="shared" si="445"/>
        <v>0</v>
      </c>
      <c r="AF1594">
        <f t="shared" si="446"/>
        <v>1</v>
      </c>
      <c r="AG1594">
        <f t="shared" si="447"/>
        <v>0</v>
      </c>
      <c r="AH1594">
        <f t="shared" si="448"/>
        <v>0</v>
      </c>
      <c r="AI1594">
        <f t="shared" si="449"/>
        <v>0</v>
      </c>
    </row>
    <row r="1595" spans="1:35" x14ac:dyDescent="0.2">
      <c r="A1595">
        <v>470</v>
      </c>
      <c r="B1595" t="s">
        <v>1398</v>
      </c>
      <c r="C1595">
        <v>7</v>
      </c>
      <c r="D1595" t="s">
        <v>1246</v>
      </c>
      <c r="E1595" t="s">
        <v>21</v>
      </c>
      <c r="F1595" t="s">
        <v>18</v>
      </c>
      <c r="G1595" t="s">
        <v>18</v>
      </c>
      <c r="H1595" t="s">
        <v>20</v>
      </c>
      <c r="I1595">
        <v>1</v>
      </c>
      <c r="J1595">
        <v>1</v>
      </c>
      <c r="K1595">
        <v>100</v>
      </c>
      <c r="L1595" t="s">
        <v>194</v>
      </c>
      <c r="M1595" t="s">
        <v>42</v>
      </c>
      <c r="N1595" t="s">
        <v>215</v>
      </c>
      <c r="O1595" t="s">
        <v>1419</v>
      </c>
      <c r="P1595" t="s">
        <v>1383</v>
      </c>
      <c r="Q1595">
        <f t="shared" si="432"/>
        <v>1</v>
      </c>
      <c r="R1595">
        <f t="shared" si="433"/>
        <v>4</v>
      </c>
      <c r="S1595">
        <f t="shared" si="434"/>
        <v>4</v>
      </c>
      <c r="T1595">
        <f t="shared" si="435"/>
        <v>2</v>
      </c>
      <c r="U1595">
        <v>100</v>
      </c>
      <c r="V1595">
        <f t="shared" si="436"/>
        <v>0</v>
      </c>
      <c r="W1595">
        <f t="shared" si="437"/>
        <v>0</v>
      </c>
      <c r="X1595">
        <f t="shared" si="438"/>
        <v>0</v>
      </c>
      <c r="Y1595">
        <f t="shared" si="439"/>
        <v>1</v>
      </c>
      <c r="Z1595">
        <f t="shared" si="440"/>
        <v>1</v>
      </c>
      <c r="AA1595">
        <f t="shared" si="441"/>
        <v>0</v>
      </c>
      <c r="AB1595">
        <f t="shared" si="442"/>
        <v>1</v>
      </c>
      <c r="AC1595">
        <f t="shared" si="443"/>
        <v>0</v>
      </c>
      <c r="AD1595">
        <f t="shared" si="444"/>
        <v>0</v>
      </c>
      <c r="AE1595">
        <f t="shared" si="445"/>
        <v>0</v>
      </c>
      <c r="AF1595">
        <f t="shared" si="446"/>
        <v>1</v>
      </c>
      <c r="AG1595">
        <f t="shared" si="447"/>
        <v>0</v>
      </c>
      <c r="AH1595">
        <f t="shared" si="448"/>
        <v>0</v>
      </c>
      <c r="AI1595">
        <f t="shared" si="449"/>
        <v>0</v>
      </c>
    </row>
    <row r="1596" spans="1:35" x14ac:dyDescent="0.2">
      <c r="A1596">
        <v>471</v>
      </c>
      <c r="B1596" t="s">
        <v>1398</v>
      </c>
      <c r="C1596">
        <v>7</v>
      </c>
      <c r="D1596" t="s">
        <v>4298</v>
      </c>
      <c r="E1596" t="s">
        <v>21</v>
      </c>
      <c r="F1596" t="s">
        <v>18</v>
      </c>
      <c r="G1596" t="s">
        <v>39</v>
      </c>
      <c r="H1596" t="s">
        <v>19</v>
      </c>
      <c r="I1596">
        <v>2</v>
      </c>
      <c r="J1596">
        <v>1</v>
      </c>
      <c r="K1596">
        <v>30</v>
      </c>
      <c r="L1596" t="s">
        <v>230</v>
      </c>
      <c r="M1596" t="s">
        <v>468</v>
      </c>
      <c r="N1596" t="s">
        <v>43</v>
      </c>
      <c r="O1596" t="s">
        <v>1753</v>
      </c>
      <c r="P1596" t="s">
        <v>4299</v>
      </c>
      <c r="Q1596">
        <f t="shared" si="432"/>
        <v>1</v>
      </c>
      <c r="R1596">
        <f t="shared" si="433"/>
        <v>4</v>
      </c>
      <c r="S1596">
        <f t="shared" si="434"/>
        <v>5</v>
      </c>
      <c r="T1596">
        <f t="shared" si="435"/>
        <v>3</v>
      </c>
      <c r="U1596">
        <v>30</v>
      </c>
      <c r="V1596">
        <f t="shared" si="436"/>
        <v>1</v>
      </c>
      <c r="W1596">
        <f t="shared" si="437"/>
        <v>1</v>
      </c>
      <c r="X1596">
        <f t="shared" si="438"/>
        <v>1</v>
      </c>
      <c r="Y1596">
        <f t="shared" si="439"/>
        <v>1</v>
      </c>
      <c r="Z1596">
        <f t="shared" si="440"/>
        <v>1</v>
      </c>
      <c r="AA1596">
        <f t="shared" si="441"/>
        <v>1</v>
      </c>
      <c r="AB1596">
        <f t="shared" si="442"/>
        <v>1</v>
      </c>
      <c r="AC1596">
        <f t="shared" si="443"/>
        <v>1</v>
      </c>
      <c r="AD1596">
        <f t="shared" si="444"/>
        <v>1</v>
      </c>
      <c r="AE1596">
        <f t="shared" si="445"/>
        <v>1</v>
      </c>
      <c r="AF1596">
        <f t="shared" si="446"/>
        <v>1</v>
      </c>
      <c r="AG1596">
        <f t="shared" si="447"/>
        <v>1</v>
      </c>
      <c r="AH1596">
        <f t="shared" si="448"/>
        <v>0</v>
      </c>
      <c r="AI1596">
        <f t="shared" si="449"/>
        <v>0</v>
      </c>
    </row>
    <row r="1597" spans="1:35" x14ac:dyDescent="0.2">
      <c r="A1597">
        <v>472</v>
      </c>
      <c r="B1597" t="s">
        <v>1398</v>
      </c>
      <c r="C1597">
        <v>8</v>
      </c>
      <c r="D1597" t="s">
        <v>4300</v>
      </c>
      <c r="E1597" t="s">
        <v>21</v>
      </c>
      <c r="F1597" t="s">
        <v>39</v>
      </c>
      <c r="G1597" t="s">
        <v>39</v>
      </c>
      <c r="H1597" t="s">
        <v>21</v>
      </c>
      <c r="I1597">
        <v>3</v>
      </c>
      <c r="J1597">
        <v>1</v>
      </c>
      <c r="K1597" s="1">
        <v>40</v>
      </c>
      <c r="L1597" t="s">
        <v>122</v>
      </c>
      <c r="M1597" t="s">
        <v>468</v>
      </c>
      <c r="N1597" t="s">
        <v>84</v>
      </c>
      <c r="O1597" t="s">
        <v>148</v>
      </c>
      <c r="P1597" t="s">
        <v>4301</v>
      </c>
      <c r="Q1597">
        <f t="shared" si="432"/>
        <v>1</v>
      </c>
      <c r="R1597">
        <f t="shared" si="433"/>
        <v>5</v>
      </c>
      <c r="S1597">
        <f t="shared" si="434"/>
        <v>5</v>
      </c>
      <c r="T1597">
        <f t="shared" si="435"/>
        <v>1</v>
      </c>
      <c r="U1597">
        <v>40</v>
      </c>
      <c r="V1597">
        <f t="shared" si="436"/>
        <v>1</v>
      </c>
      <c r="W1597">
        <f t="shared" si="437"/>
        <v>0</v>
      </c>
      <c r="X1597">
        <f t="shared" si="438"/>
        <v>1</v>
      </c>
      <c r="Y1597">
        <f t="shared" si="439"/>
        <v>0</v>
      </c>
      <c r="Z1597">
        <f t="shared" si="440"/>
        <v>1</v>
      </c>
      <c r="AA1597">
        <f t="shared" si="441"/>
        <v>1</v>
      </c>
      <c r="AB1597">
        <f t="shared" si="442"/>
        <v>1</v>
      </c>
      <c r="AC1597">
        <f t="shared" si="443"/>
        <v>1</v>
      </c>
      <c r="AD1597">
        <f t="shared" si="444"/>
        <v>1</v>
      </c>
      <c r="AE1597">
        <f t="shared" si="445"/>
        <v>1</v>
      </c>
      <c r="AF1597">
        <f t="shared" si="446"/>
        <v>0</v>
      </c>
      <c r="AG1597">
        <f t="shared" si="447"/>
        <v>1</v>
      </c>
      <c r="AH1597">
        <f t="shared" si="448"/>
        <v>0</v>
      </c>
      <c r="AI1597">
        <f t="shared" si="449"/>
        <v>0</v>
      </c>
    </row>
    <row r="1598" spans="1:35" x14ac:dyDescent="0.2">
      <c r="A1598">
        <v>473</v>
      </c>
      <c r="B1598" t="s">
        <v>1398</v>
      </c>
      <c r="C1598">
        <v>7</v>
      </c>
      <c r="D1598" t="s">
        <v>274</v>
      </c>
      <c r="E1598" t="s">
        <v>21</v>
      </c>
      <c r="F1598" t="s">
        <v>18</v>
      </c>
      <c r="G1598" t="s">
        <v>39</v>
      </c>
      <c r="H1598" t="s">
        <v>21</v>
      </c>
      <c r="I1598">
        <v>1</v>
      </c>
      <c r="J1598">
        <v>1</v>
      </c>
      <c r="K1598" s="1">
        <v>500</v>
      </c>
      <c r="L1598" t="s">
        <v>435</v>
      </c>
      <c r="M1598" t="s">
        <v>123</v>
      </c>
      <c r="N1598" t="s">
        <v>43</v>
      </c>
      <c r="O1598" t="s">
        <v>4302</v>
      </c>
      <c r="P1598" t="s">
        <v>4303</v>
      </c>
      <c r="Q1598">
        <f t="shared" si="432"/>
        <v>1</v>
      </c>
      <c r="R1598">
        <f t="shared" si="433"/>
        <v>4</v>
      </c>
      <c r="S1598">
        <f t="shared" si="434"/>
        <v>5</v>
      </c>
      <c r="T1598">
        <f t="shared" si="435"/>
        <v>1</v>
      </c>
      <c r="U1598">
        <v>500</v>
      </c>
      <c r="V1598">
        <f t="shared" si="436"/>
        <v>1</v>
      </c>
      <c r="W1598">
        <f t="shared" si="437"/>
        <v>0</v>
      </c>
      <c r="X1598">
        <f t="shared" si="438"/>
        <v>0</v>
      </c>
      <c r="Y1598">
        <f t="shared" si="439"/>
        <v>0</v>
      </c>
      <c r="Z1598">
        <f t="shared" si="440"/>
        <v>1</v>
      </c>
      <c r="AA1598">
        <f t="shared" si="441"/>
        <v>0</v>
      </c>
      <c r="AB1598">
        <f t="shared" si="442"/>
        <v>1</v>
      </c>
      <c r="AC1598">
        <f t="shared" si="443"/>
        <v>1</v>
      </c>
      <c r="AD1598">
        <f t="shared" si="444"/>
        <v>0</v>
      </c>
      <c r="AE1598">
        <f t="shared" si="445"/>
        <v>0</v>
      </c>
      <c r="AF1598">
        <f t="shared" si="446"/>
        <v>1</v>
      </c>
      <c r="AG1598">
        <f t="shared" si="447"/>
        <v>1</v>
      </c>
      <c r="AH1598">
        <f t="shared" si="448"/>
        <v>0</v>
      </c>
      <c r="AI1598">
        <f t="shared" si="449"/>
        <v>0</v>
      </c>
    </row>
    <row r="1599" spans="1:35" x14ac:dyDescent="0.2">
      <c r="A1599">
        <v>474</v>
      </c>
      <c r="B1599" t="s">
        <v>1398</v>
      </c>
      <c r="C1599">
        <v>1</v>
      </c>
      <c r="D1599" t="s">
        <v>4304</v>
      </c>
      <c r="E1599" t="s">
        <v>21</v>
      </c>
      <c r="F1599" t="s">
        <v>19</v>
      </c>
      <c r="G1599" t="s">
        <v>39</v>
      </c>
      <c r="H1599" t="s">
        <v>21</v>
      </c>
      <c r="I1599">
        <v>4</v>
      </c>
      <c r="J1599">
        <v>5</v>
      </c>
      <c r="K1599" s="1">
        <v>50</v>
      </c>
      <c r="L1599" t="s">
        <v>514</v>
      </c>
      <c r="M1599" t="s">
        <v>115</v>
      </c>
      <c r="N1599" t="s">
        <v>84</v>
      </c>
      <c r="O1599" t="s">
        <v>3771</v>
      </c>
      <c r="P1599" t="s">
        <v>4305</v>
      </c>
      <c r="Q1599">
        <f t="shared" si="432"/>
        <v>1</v>
      </c>
      <c r="R1599">
        <f t="shared" si="433"/>
        <v>3</v>
      </c>
      <c r="S1599">
        <f t="shared" si="434"/>
        <v>5</v>
      </c>
      <c r="T1599">
        <f t="shared" si="435"/>
        <v>1</v>
      </c>
      <c r="U1599">
        <v>50</v>
      </c>
      <c r="V1599">
        <f t="shared" si="436"/>
        <v>1</v>
      </c>
      <c r="W1599">
        <f t="shared" si="437"/>
        <v>1</v>
      </c>
      <c r="X1599">
        <f t="shared" si="438"/>
        <v>0</v>
      </c>
      <c r="Y1599">
        <f t="shared" si="439"/>
        <v>0</v>
      </c>
      <c r="Z1599">
        <f t="shared" si="440"/>
        <v>1</v>
      </c>
      <c r="AA1599">
        <f t="shared" si="441"/>
        <v>0</v>
      </c>
      <c r="AB1599">
        <f t="shared" si="442"/>
        <v>0</v>
      </c>
      <c r="AC1599">
        <f t="shared" si="443"/>
        <v>1</v>
      </c>
      <c r="AD1599">
        <f t="shared" si="444"/>
        <v>0</v>
      </c>
      <c r="AE1599">
        <f t="shared" si="445"/>
        <v>0</v>
      </c>
      <c r="AF1599">
        <f t="shared" si="446"/>
        <v>0</v>
      </c>
      <c r="AG1599">
        <f t="shared" si="447"/>
        <v>1</v>
      </c>
      <c r="AH1599">
        <f t="shared" si="448"/>
        <v>0</v>
      </c>
      <c r="AI1599">
        <f t="shared" si="449"/>
        <v>0</v>
      </c>
    </row>
    <row r="1600" spans="1:35" x14ac:dyDescent="0.2">
      <c r="A1600">
        <v>475</v>
      </c>
      <c r="B1600" t="s">
        <v>1398</v>
      </c>
      <c r="C1600">
        <v>5</v>
      </c>
      <c r="D1600" t="s">
        <v>1199</v>
      </c>
      <c r="E1600" t="s">
        <v>19</v>
      </c>
      <c r="F1600" t="s">
        <v>19</v>
      </c>
      <c r="G1600" t="s">
        <v>19</v>
      </c>
      <c r="H1600" t="s">
        <v>19</v>
      </c>
      <c r="I1600">
        <v>6</v>
      </c>
      <c r="J1600">
        <v>5</v>
      </c>
      <c r="K1600">
        <v>0</v>
      </c>
      <c r="L1600" t="s">
        <v>79</v>
      </c>
      <c r="M1600" t="s">
        <v>23</v>
      </c>
      <c r="N1600" t="s">
        <v>215</v>
      </c>
      <c r="O1600" t="s">
        <v>1105</v>
      </c>
      <c r="P1600" t="s">
        <v>4306</v>
      </c>
      <c r="Q1600">
        <f t="shared" si="432"/>
        <v>3</v>
      </c>
      <c r="R1600">
        <f t="shared" si="433"/>
        <v>3</v>
      </c>
      <c r="S1600">
        <f t="shared" si="434"/>
        <v>3</v>
      </c>
      <c r="T1600">
        <f t="shared" si="435"/>
        <v>3</v>
      </c>
      <c r="U1600">
        <v>0</v>
      </c>
      <c r="V1600">
        <f t="shared" si="436"/>
        <v>0</v>
      </c>
      <c r="W1600">
        <f t="shared" si="437"/>
        <v>1</v>
      </c>
      <c r="X1600">
        <f t="shared" si="438"/>
        <v>0</v>
      </c>
      <c r="Y1600">
        <f t="shared" si="439"/>
        <v>0</v>
      </c>
      <c r="Z1600">
        <f t="shared" si="440"/>
        <v>1</v>
      </c>
      <c r="AA1600">
        <f t="shared" si="441"/>
        <v>1</v>
      </c>
      <c r="AB1600">
        <f t="shared" si="442"/>
        <v>0</v>
      </c>
      <c r="AC1600">
        <f t="shared" si="443"/>
        <v>0</v>
      </c>
      <c r="AD1600">
        <f t="shared" si="444"/>
        <v>0</v>
      </c>
      <c r="AE1600">
        <f t="shared" si="445"/>
        <v>0</v>
      </c>
      <c r="AF1600">
        <f t="shared" si="446"/>
        <v>1</v>
      </c>
      <c r="AG1600">
        <f t="shared" si="447"/>
        <v>0</v>
      </c>
      <c r="AH1600">
        <f t="shared" si="448"/>
        <v>0</v>
      </c>
      <c r="AI1600">
        <f t="shared" si="449"/>
        <v>0</v>
      </c>
    </row>
    <row r="1601" spans="1:35" x14ac:dyDescent="0.2">
      <c r="A1601">
        <v>476</v>
      </c>
      <c r="B1601" t="s">
        <v>1398</v>
      </c>
      <c r="C1601">
        <v>4</v>
      </c>
      <c r="D1601" t="s">
        <v>4307</v>
      </c>
      <c r="E1601" t="s">
        <v>39</v>
      </c>
      <c r="F1601" t="s">
        <v>39</v>
      </c>
      <c r="G1601" t="s">
        <v>39</v>
      </c>
      <c r="H1601" t="s">
        <v>21</v>
      </c>
      <c r="I1601">
        <v>6</v>
      </c>
      <c r="J1601">
        <v>3</v>
      </c>
      <c r="K1601" t="s">
        <v>3498</v>
      </c>
      <c r="L1601" t="s">
        <v>494</v>
      </c>
      <c r="M1601" t="s">
        <v>48</v>
      </c>
      <c r="N1601" t="s">
        <v>43</v>
      </c>
      <c r="O1601" t="s">
        <v>787</v>
      </c>
      <c r="P1601" t="s">
        <v>4308</v>
      </c>
      <c r="Q1601">
        <f t="shared" si="432"/>
        <v>5</v>
      </c>
      <c r="R1601">
        <f t="shared" si="433"/>
        <v>5</v>
      </c>
      <c r="S1601">
        <f t="shared" si="434"/>
        <v>5</v>
      </c>
      <c r="T1601">
        <f t="shared" si="435"/>
        <v>1</v>
      </c>
      <c r="U1601">
        <v>100000</v>
      </c>
      <c r="V1601">
        <f t="shared" si="436"/>
        <v>0</v>
      </c>
      <c r="W1601">
        <f t="shared" si="437"/>
        <v>1</v>
      </c>
      <c r="X1601">
        <f t="shared" si="438"/>
        <v>1</v>
      </c>
      <c r="Y1601">
        <f t="shared" si="439"/>
        <v>1</v>
      </c>
      <c r="Z1601">
        <f t="shared" si="440"/>
        <v>1</v>
      </c>
      <c r="AA1601">
        <f t="shared" si="441"/>
        <v>1</v>
      </c>
      <c r="AB1601">
        <f t="shared" si="442"/>
        <v>1</v>
      </c>
      <c r="AC1601">
        <f t="shared" si="443"/>
        <v>1</v>
      </c>
      <c r="AD1601">
        <f t="shared" si="444"/>
        <v>0</v>
      </c>
      <c r="AE1601">
        <f t="shared" si="445"/>
        <v>0</v>
      </c>
      <c r="AF1601">
        <f t="shared" si="446"/>
        <v>1</v>
      </c>
      <c r="AG1601">
        <f t="shared" si="447"/>
        <v>1</v>
      </c>
      <c r="AH1601">
        <f t="shared" si="448"/>
        <v>0</v>
      </c>
      <c r="AI1601">
        <f t="shared" si="449"/>
        <v>0</v>
      </c>
    </row>
    <row r="1602" spans="1:35" x14ac:dyDescent="0.2">
      <c r="A1602">
        <v>477</v>
      </c>
      <c r="B1602" t="s">
        <v>1398</v>
      </c>
      <c r="C1602">
        <v>10</v>
      </c>
      <c r="D1602" t="s">
        <v>4309</v>
      </c>
      <c r="E1602" t="s">
        <v>21</v>
      </c>
      <c r="F1602" t="s">
        <v>39</v>
      </c>
      <c r="G1602" t="s">
        <v>39</v>
      </c>
      <c r="H1602" t="s">
        <v>21</v>
      </c>
      <c r="I1602">
        <v>2</v>
      </c>
      <c r="J1602">
        <v>2</v>
      </c>
      <c r="K1602">
        <v>2000</v>
      </c>
      <c r="L1602" t="s">
        <v>79</v>
      </c>
      <c r="M1602" t="s">
        <v>154</v>
      </c>
      <c r="N1602" t="s">
        <v>43</v>
      </c>
      <c r="O1602" t="s">
        <v>4310</v>
      </c>
      <c r="P1602" t="s">
        <v>4311</v>
      </c>
      <c r="Q1602">
        <f t="shared" si="432"/>
        <v>1</v>
      </c>
      <c r="R1602">
        <f t="shared" si="433"/>
        <v>5</v>
      </c>
      <c r="S1602">
        <f t="shared" si="434"/>
        <v>5</v>
      </c>
      <c r="T1602">
        <f t="shared" si="435"/>
        <v>1</v>
      </c>
      <c r="U1602">
        <v>2000</v>
      </c>
      <c r="V1602">
        <f t="shared" si="436"/>
        <v>0</v>
      </c>
      <c r="W1602">
        <f t="shared" si="437"/>
        <v>1</v>
      </c>
      <c r="X1602">
        <f t="shared" si="438"/>
        <v>0</v>
      </c>
      <c r="Y1602">
        <f t="shared" si="439"/>
        <v>0</v>
      </c>
      <c r="Z1602">
        <f t="shared" si="440"/>
        <v>1</v>
      </c>
      <c r="AA1602">
        <f t="shared" si="441"/>
        <v>1</v>
      </c>
      <c r="AB1602">
        <f t="shared" si="442"/>
        <v>0</v>
      </c>
      <c r="AC1602">
        <f t="shared" si="443"/>
        <v>1</v>
      </c>
      <c r="AD1602">
        <f t="shared" si="444"/>
        <v>0</v>
      </c>
      <c r="AE1602">
        <f t="shared" si="445"/>
        <v>0</v>
      </c>
      <c r="AF1602">
        <f t="shared" si="446"/>
        <v>1</v>
      </c>
      <c r="AG1602">
        <f t="shared" si="447"/>
        <v>1</v>
      </c>
      <c r="AH1602">
        <f t="shared" si="448"/>
        <v>0</v>
      </c>
      <c r="AI1602">
        <f t="shared" si="449"/>
        <v>0</v>
      </c>
    </row>
    <row r="1603" spans="1:35" x14ac:dyDescent="0.2">
      <c r="A1603">
        <v>478</v>
      </c>
      <c r="B1603" t="s">
        <v>1398</v>
      </c>
      <c r="C1603">
        <v>8</v>
      </c>
      <c r="D1603" t="s">
        <v>4312</v>
      </c>
      <c r="E1603" t="s">
        <v>21</v>
      </c>
      <c r="F1603" t="s">
        <v>39</v>
      </c>
      <c r="G1603" t="s">
        <v>18</v>
      </c>
      <c r="H1603" t="s">
        <v>21</v>
      </c>
      <c r="I1603">
        <v>3</v>
      </c>
      <c r="J1603">
        <v>2</v>
      </c>
      <c r="K1603" s="1">
        <v>450</v>
      </c>
      <c r="L1603" t="s">
        <v>194</v>
      </c>
      <c r="M1603" t="s">
        <v>123</v>
      </c>
      <c r="N1603" t="s">
        <v>215</v>
      </c>
      <c r="O1603" t="s">
        <v>4313</v>
      </c>
      <c r="P1603" t="s">
        <v>4314</v>
      </c>
      <c r="Q1603">
        <f t="shared" ref="Q1603:Q1666" si="450">IF(E1603="", "", LEFT(E1603, 1) * 1)</f>
        <v>1</v>
      </c>
      <c r="R1603">
        <f t="shared" ref="R1603:R1666" si="451">IF(F1603="","",VALUE(LEFT(F1603,FIND(" ",F1603)-1)))</f>
        <v>5</v>
      </c>
      <c r="S1603">
        <f t="shared" ref="S1603:S1666" si="452">IF(G1603="","",VALUE(LEFT(G1603,FIND(" ",G1603)-1)))</f>
        <v>4</v>
      </c>
      <c r="T1603">
        <f t="shared" ref="T1603:T1666" si="453">IF(H1603="","",VALUE(LEFT(H1603,FIND(" ",H1603)-1)))</f>
        <v>1</v>
      </c>
      <c r="U1603">
        <v>450</v>
      </c>
      <c r="V1603">
        <f t="shared" ref="V1603:V1666" si="454">IF(L1603="",0,IF(ISNUMBER(SEARCH("Bathroom",L1603)),1,0))</f>
        <v>0</v>
      </c>
      <c r="W1603">
        <f t="shared" ref="W1603:W1666" si="455">IF(L1603="",0,IF(ISNUMBER(SEARCH("Dining room",L1603)),1,0))</f>
        <v>0</v>
      </c>
      <c r="X1603">
        <f t="shared" ref="X1603:X1666" si="456">IF(L1603="",0,IF(ISNUMBER(SEARCH("Office",L1603)),1,0))</f>
        <v>0</v>
      </c>
      <c r="Y1603">
        <f t="shared" ref="Y1603:Y1666" si="457">IF(L1603="",0,IF(ISNUMBER(SEARCH("Bedroom",L1603)),1,0))</f>
        <v>1</v>
      </c>
      <c r="Z1603">
        <f t="shared" ref="Z1603:Z1666" si="458">IF(L1603="",0,IF(ISNUMBER(SEARCH("Living room",L1603)),1,0))</f>
        <v>1</v>
      </c>
      <c r="AA1603">
        <f t="shared" ref="AA1603:AA1666" si="459">IF(M1603="",0, IF(ISNUMBER(SEARCH("By yourself",M1603)), 1, 0))</f>
        <v>0</v>
      </c>
      <c r="AB1603">
        <f t="shared" ref="AB1603:AB1666" si="460">IF(M1603="", 0, IF(ISNUMBER(SEARCH("Friends", M1603)), 1, 0))</f>
        <v>1</v>
      </c>
      <c r="AC1603">
        <f t="shared" ref="AC1603:AC1666" si="461">IF(M1603="",0,IF(ISNUMBER(SEARCH("Family members", M1603)), 1, 0))</f>
        <v>1</v>
      </c>
      <c r="AD1603">
        <f t="shared" ref="AD1603:AD1666" si="462">IF(M1603="", 0, IF(ISNUMBER(SEARCH("Coworkers/Classmates", M1603)), 1, 0))</f>
        <v>0</v>
      </c>
      <c r="AE1603">
        <f t="shared" ref="AE1603:AE1666" si="463">IF(M1603="", 0, IF(ISNUMBER(SEARCH("Strangers", M1603)), 1, 0))</f>
        <v>0</v>
      </c>
      <c r="AF1603">
        <f t="shared" ref="AF1603:AF1666" si="464">IF(N1603="", 0, IF(ISNUMBER(SEARCH("Spring", N1603)), 1, 0))</f>
        <v>1</v>
      </c>
      <c r="AG1603">
        <f t="shared" ref="AG1603:AG1666" si="465">IF(N1603="", 0, IF(ISNUMBER(SEARCH("Summer", N1603)), 1, 0))</f>
        <v>0</v>
      </c>
      <c r="AH1603">
        <f t="shared" ref="AH1603:AH1666" si="466">IF(N1603="", 0, IF(ISNUMBER(SEARCH("Fall", N1603)), 1, 0))</f>
        <v>0</v>
      </c>
      <c r="AI1603">
        <f t="shared" ref="AI1603:AI1666" si="467">IF(N1603="", 0, IF(ISNUMBER(SEARCH("Winter", N1603)), 1, 0))</f>
        <v>0</v>
      </c>
    </row>
    <row r="1604" spans="1:35" x14ac:dyDescent="0.2">
      <c r="A1604">
        <v>479</v>
      </c>
      <c r="B1604" t="s">
        <v>1398</v>
      </c>
      <c r="C1604">
        <v>5</v>
      </c>
      <c r="D1604" t="s">
        <v>4315</v>
      </c>
      <c r="E1604" t="s">
        <v>21</v>
      </c>
      <c r="F1604" t="s">
        <v>18</v>
      </c>
      <c r="G1604" t="s">
        <v>18</v>
      </c>
      <c r="H1604" t="s">
        <v>20</v>
      </c>
      <c r="I1604">
        <v>3</v>
      </c>
      <c r="J1604">
        <v>1</v>
      </c>
      <c r="K1604" t="s">
        <v>4316</v>
      </c>
      <c r="L1604" t="s">
        <v>41</v>
      </c>
      <c r="M1604" t="s">
        <v>23</v>
      </c>
      <c r="N1604" t="s">
        <v>215</v>
      </c>
      <c r="O1604" t="s">
        <v>4317</v>
      </c>
      <c r="P1604" t="s">
        <v>4318</v>
      </c>
      <c r="Q1604">
        <f t="shared" si="450"/>
        <v>1</v>
      </c>
      <c r="R1604">
        <f t="shared" si="451"/>
        <v>4</v>
      </c>
      <c r="S1604">
        <f t="shared" si="452"/>
        <v>4</v>
      </c>
      <c r="T1604">
        <f t="shared" si="453"/>
        <v>2</v>
      </c>
      <c r="U1604">
        <v>99</v>
      </c>
      <c r="V1604">
        <f t="shared" si="454"/>
        <v>0</v>
      </c>
      <c r="W1604">
        <f t="shared" si="455"/>
        <v>0</v>
      </c>
      <c r="X1604">
        <f t="shared" si="456"/>
        <v>0</v>
      </c>
      <c r="Y1604">
        <f t="shared" si="457"/>
        <v>0</v>
      </c>
      <c r="Z1604">
        <f t="shared" si="458"/>
        <v>1</v>
      </c>
      <c r="AA1604">
        <f t="shared" si="459"/>
        <v>1</v>
      </c>
      <c r="AB1604">
        <f t="shared" si="460"/>
        <v>0</v>
      </c>
      <c r="AC1604">
        <f t="shared" si="461"/>
        <v>0</v>
      </c>
      <c r="AD1604">
        <f t="shared" si="462"/>
        <v>0</v>
      </c>
      <c r="AE1604">
        <f t="shared" si="463"/>
        <v>0</v>
      </c>
      <c r="AF1604">
        <f t="shared" si="464"/>
        <v>1</v>
      </c>
      <c r="AG1604">
        <f t="shared" si="465"/>
        <v>0</v>
      </c>
      <c r="AH1604">
        <f t="shared" si="466"/>
        <v>0</v>
      </c>
      <c r="AI1604">
        <f t="shared" si="467"/>
        <v>0</v>
      </c>
    </row>
    <row r="1605" spans="1:35" x14ac:dyDescent="0.2">
      <c r="A1605">
        <v>480</v>
      </c>
      <c r="B1605" t="s">
        <v>1398</v>
      </c>
      <c r="C1605">
        <v>5</v>
      </c>
      <c r="D1605" t="s">
        <v>4319</v>
      </c>
      <c r="E1605" t="s">
        <v>20</v>
      </c>
      <c r="F1605" t="s">
        <v>18</v>
      </c>
      <c r="G1605" t="s">
        <v>18</v>
      </c>
      <c r="H1605" t="s">
        <v>20</v>
      </c>
      <c r="I1605">
        <v>1</v>
      </c>
      <c r="J1605">
        <v>2</v>
      </c>
      <c r="K1605">
        <v>0</v>
      </c>
      <c r="L1605" t="s">
        <v>98</v>
      </c>
      <c r="M1605" t="s">
        <v>154</v>
      </c>
      <c r="N1605" t="s">
        <v>215</v>
      </c>
      <c r="O1605" t="s">
        <v>409</v>
      </c>
      <c r="P1605" t="s">
        <v>4320</v>
      </c>
      <c r="Q1605">
        <f t="shared" si="450"/>
        <v>2</v>
      </c>
      <c r="R1605">
        <f t="shared" si="451"/>
        <v>4</v>
      </c>
      <c r="S1605">
        <f t="shared" si="452"/>
        <v>4</v>
      </c>
      <c r="T1605">
        <f t="shared" si="453"/>
        <v>2</v>
      </c>
      <c r="U1605">
        <v>0</v>
      </c>
      <c r="V1605">
        <f t="shared" si="454"/>
        <v>0</v>
      </c>
      <c r="W1605">
        <f t="shared" si="455"/>
        <v>1</v>
      </c>
      <c r="X1605">
        <f t="shared" si="456"/>
        <v>0</v>
      </c>
      <c r="Y1605">
        <f t="shared" si="457"/>
        <v>0</v>
      </c>
      <c r="Z1605">
        <f t="shared" si="458"/>
        <v>0</v>
      </c>
      <c r="AA1605">
        <f t="shared" si="459"/>
        <v>1</v>
      </c>
      <c r="AB1605">
        <f t="shared" si="460"/>
        <v>0</v>
      </c>
      <c r="AC1605">
        <f t="shared" si="461"/>
        <v>1</v>
      </c>
      <c r="AD1605">
        <f t="shared" si="462"/>
        <v>0</v>
      </c>
      <c r="AE1605">
        <f t="shared" si="463"/>
        <v>0</v>
      </c>
      <c r="AF1605">
        <f t="shared" si="464"/>
        <v>1</v>
      </c>
      <c r="AG1605">
        <f t="shared" si="465"/>
        <v>0</v>
      </c>
      <c r="AH1605">
        <f t="shared" si="466"/>
        <v>0</v>
      </c>
      <c r="AI1605">
        <f t="shared" si="467"/>
        <v>0</v>
      </c>
    </row>
    <row r="1606" spans="1:35" x14ac:dyDescent="0.2">
      <c r="A1606">
        <v>481</v>
      </c>
      <c r="B1606" t="s">
        <v>1398</v>
      </c>
      <c r="C1606">
        <v>9</v>
      </c>
      <c r="D1606" t="s">
        <v>4321</v>
      </c>
      <c r="E1606" t="s">
        <v>21</v>
      </c>
      <c r="F1606" t="s">
        <v>39</v>
      </c>
      <c r="G1606" t="s">
        <v>39</v>
      </c>
      <c r="H1606" t="s">
        <v>21</v>
      </c>
      <c r="I1606">
        <v>1</v>
      </c>
      <c r="J1606">
        <v>1</v>
      </c>
      <c r="K1606" s="1">
        <v>2000</v>
      </c>
      <c r="L1606" t="s">
        <v>70</v>
      </c>
      <c r="M1606" t="s">
        <v>48</v>
      </c>
      <c r="N1606" t="s">
        <v>215</v>
      </c>
      <c r="O1606" t="s">
        <v>4322</v>
      </c>
      <c r="P1606" t="s">
        <v>4323</v>
      </c>
      <c r="Q1606">
        <f t="shared" si="450"/>
        <v>1</v>
      </c>
      <c r="R1606">
        <f t="shared" si="451"/>
        <v>5</v>
      </c>
      <c r="S1606">
        <f t="shared" si="452"/>
        <v>5</v>
      </c>
      <c r="T1606">
        <f t="shared" si="453"/>
        <v>1</v>
      </c>
      <c r="U1606">
        <v>2000</v>
      </c>
      <c r="V1606">
        <f t="shared" si="454"/>
        <v>0</v>
      </c>
      <c r="W1606">
        <f t="shared" si="455"/>
        <v>0</v>
      </c>
      <c r="X1606">
        <f t="shared" si="456"/>
        <v>0</v>
      </c>
      <c r="Y1606">
        <f t="shared" si="457"/>
        <v>1</v>
      </c>
      <c r="Z1606">
        <f t="shared" si="458"/>
        <v>0</v>
      </c>
      <c r="AA1606">
        <f t="shared" si="459"/>
        <v>1</v>
      </c>
      <c r="AB1606">
        <f t="shared" si="460"/>
        <v>1</v>
      </c>
      <c r="AC1606">
        <f t="shared" si="461"/>
        <v>1</v>
      </c>
      <c r="AD1606">
        <f t="shared" si="462"/>
        <v>0</v>
      </c>
      <c r="AE1606">
        <f t="shared" si="463"/>
        <v>0</v>
      </c>
      <c r="AF1606">
        <f t="shared" si="464"/>
        <v>1</v>
      </c>
      <c r="AG1606">
        <f t="shared" si="465"/>
        <v>0</v>
      </c>
      <c r="AH1606">
        <f t="shared" si="466"/>
        <v>0</v>
      </c>
      <c r="AI1606">
        <f t="shared" si="467"/>
        <v>0</v>
      </c>
    </row>
    <row r="1607" spans="1:35" x14ac:dyDescent="0.2">
      <c r="A1607">
        <v>482</v>
      </c>
      <c r="B1607" t="s">
        <v>1398</v>
      </c>
      <c r="C1607">
        <v>5</v>
      </c>
      <c r="D1607" t="s">
        <v>4324</v>
      </c>
      <c r="E1607" t="s">
        <v>21</v>
      </c>
      <c r="F1607" t="s">
        <v>18</v>
      </c>
      <c r="G1607" t="s">
        <v>39</v>
      </c>
      <c r="H1607" t="s">
        <v>21</v>
      </c>
      <c r="I1607">
        <v>2</v>
      </c>
      <c r="J1607">
        <v>4</v>
      </c>
      <c r="K1607">
        <v>275</v>
      </c>
      <c r="L1607" t="s">
        <v>75</v>
      </c>
      <c r="M1607" t="s">
        <v>123</v>
      </c>
      <c r="N1607" t="s">
        <v>215</v>
      </c>
      <c r="O1607" t="s">
        <v>4325</v>
      </c>
      <c r="P1607" t="s">
        <v>4326</v>
      </c>
      <c r="Q1607">
        <f t="shared" si="450"/>
        <v>1</v>
      </c>
      <c r="R1607">
        <f t="shared" si="451"/>
        <v>4</v>
      </c>
      <c r="S1607">
        <f t="shared" si="452"/>
        <v>5</v>
      </c>
      <c r="T1607">
        <f t="shared" si="453"/>
        <v>1</v>
      </c>
      <c r="U1607">
        <v>275</v>
      </c>
      <c r="V1607">
        <f t="shared" si="454"/>
        <v>0</v>
      </c>
      <c r="W1607">
        <f t="shared" si="455"/>
        <v>0</v>
      </c>
      <c r="X1607">
        <f t="shared" si="456"/>
        <v>1</v>
      </c>
      <c r="Y1607">
        <f t="shared" si="457"/>
        <v>1</v>
      </c>
      <c r="Z1607">
        <f t="shared" si="458"/>
        <v>0</v>
      </c>
      <c r="AA1607">
        <f t="shared" si="459"/>
        <v>0</v>
      </c>
      <c r="AB1607">
        <f t="shared" si="460"/>
        <v>1</v>
      </c>
      <c r="AC1607">
        <f t="shared" si="461"/>
        <v>1</v>
      </c>
      <c r="AD1607">
        <f t="shared" si="462"/>
        <v>0</v>
      </c>
      <c r="AE1607">
        <f t="shared" si="463"/>
        <v>0</v>
      </c>
      <c r="AF1607">
        <f t="shared" si="464"/>
        <v>1</v>
      </c>
      <c r="AG1607">
        <f t="shared" si="465"/>
        <v>0</v>
      </c>
      <c r="AH1607">
        <f t="shared" si="466"/>
        <v>0</v>
      </c>
      <c r="AI1607">
        <f t="shared" si="467"/>
        <v>0</v>
      </c>
    </row>
    <row r="1608" spans="1:35" x14ac:dyDescent="0.2">
      <c r="A1608">
        <v>483</v>
      </c>
      <c r="B1608" t="s">
        <v>1398</v>
      </c>
      <c r="C1608">
        <v>8</v>
      </c>
      <c r="D1608" t="s">
        <v>1079</v>
      </c>
      <c r="E1608" t="s">
        <v>21</v>
      </c>
      <c r="F1608" t="s">
        <v>39</v>
      </c>
      <c r="G1608" t="s">
        <v>39</v>
      </c>
      <c r="H1608" t="s">
        <v>21</v>
      </c>
      <c r="I1608">
        <v>1</v>
      </c>
      <c r="J1608">
        <v>1</v>
      </c>
      <c r="K1608">
        <v>90</v>
      </c>
      <c r="L1608" t="s">
        <v>230</v>
      </c>
      <c r="M1608" t="s">
        <v>468</v>
      </c>
      <c r="N1608" t="s">
        <v>43</v>
      </c>
      <c r="O1608" t="s">
        <v>1419</v>
      </c>
      <c r="P1608" t="s">
        <v>4327</v>
      </c>
      <c r="Q1608">
        <f t="shared" si="450"/>
        <v>1</v>
      </c>
      <c r="R1608">
        <f t="shared" si="451"/>
        <v>5</v>
      </c>
      <c r="S1608">
        <f t="shared" si="452"/>
        <v>5</v>
      </c>
      <c r="T1608">
        <f t="shared" si="453"/>
        <v>1</v>
      </c>
      <c r="U1608">
        <v>90</v>
      </c>
      <c r="V1608">
        <f t="shared" si="454"/>
        <v>1</v>
      </c>
      <c r="W1608">
        <f t="shared" si="455"/>
        <v>1</v>
      </c>
      <c r="X1608">
        <f t="shared" si="456"/>
        <v>1</v>
      </c>
      <c r="Y1608">
        <f t="shared" si="457"/>
        <v>1</v>
      </c>
      <c r="Z1608">
        <f t="shared" si="458"/>
        <v>1</v>
      </c>
      <c r="AA1608">
        <f t="shared" si="459"/>
        <v>1</v>
      </c>
      <c r="AB1608">
        <f t="shared" si="460"/>
        <v>1</v>
      </c>
      <c r="AC1608">
        <f t="shared" si="461"/>
        <v>1</v>
      </c>
      <c r="AD1608">
        <f t="shared" si="462"/>
        <v>1</v>
      </c>
      <c r="AE1608">
        <f t="shared" si="463"/>
        <v>1</v>
      </c>
      <c r="AF1608">
        <f t="shared" si="464"/>
        <v>1</v>
      </c>
      <c r="AG1608">
        <f t="shared" si="465"/>
        <v>1</v>
      </c>
      <c r="AH1608">
        <f t="shared" si="466"/>
        <v>0</v>
      </c>
      <c r="AI1608">
        <f t="shared" si="467"/>
        <v>0</v>
      </c>
    </row>
    <row r="1609" spans="1:35" x14ac:dyDescent="0.2">
      <c r="A1609">
        <v>484</v>
      </c>
      <c r="B1609" t="s">
        <v>1398</v>
      </c>
      <c r="C1609">
        <v>4</v>
      </c>
      <c r="D1609" t="s">
        <v>1199</v>
      </c>
      <c r="E1609" t="s">
        <v>19</v>
      </c>
      <c r="F1609" t="s">
        <v>18</v>
      </c>
      <c r="G1609" t="s">
        <v>39</v>
      </c>
      <c r="H1609" t="s">
        <v>21</v>
      </c>
      <c r="I1609">
        <v>2</v>
      </c>
      <c r="J1609">
        <v>1</v>
      </c>
      <c r="K1609">
        <v>300</v>
      </c>
      <c r="L1609" t="s">
        <v>946</v>
      </c>
      <c r="M1609" t="s">
        <v>23</v>
      </c>
      <c r="N1609" t="s">
        <v>43</v>
      </c>
      <c r="O1609" t="s">
        <v>4328</v>
      </c>
      <c r="P1609" t="s">
        <v>4329</v>
      </c>
      <c r="Q1609">
        <f t="shared" si="450"/>
        <v>3</v>
      </c>
      <c r="R1609">
        <f t="shared" si="451"/>
        <v>4</v>
      </c>
      <c r="S1609">
        <f t="shared" si="452"/>
        <v>5</v>
      </c>
      <c r="T1609">
        <f t="shared" si="453"/>
        <v>1</v>
      </c>
      <c r="U1609">
        <v>300</v>
      </c>
      <c r="V1609">
        <f t="shared" si="454"/>
        <v>0</v>
      </c>
      <c r="W1609">
        <f t="shared" si="455"/>
        <v>1</v>
      </c>
      <c r="X1609">
        <f t="shared" si="456"/>
        <v>1</v>
      </c>
      <c r="Y1609">
        <f t="shared" si="457"/>
        <v>1</v>
      </c>
      <c r="Z1609">
        <f t="shared" si="458"/>
        <v>0</v>
      </c>
      <c r="AA1609">
        <f t="shared" si="459"/>
        <v>1</v>
      </c>
      <c r="AB1609">
        <f t="shared" si="460"/>
        <v>0</v>
      </c>
      <c r="AC1609">
        <f t="shared" si="461"/>
        <v>0</v>
      </c>
      <c r="AD1609">
        <f t="shared" si="462"/>
        <v>0</v>
      </c>
      <c r="AE1609">
        <f t="shared" si="463"/>
        <v>0</v>
      </c>
      <c r="AF1609">
        <f t="shared" si="464"/>
        <v>1</v>
      </c>
      <c r="AG1609">
        <f t="shared" si="465"/>
        <v>1</v>
      </c>
      <c r="AH1609">
        <f t="shared" si="466"/>
        <v>0</v>
      </c>
      <c r="AI1609">
        <f t="shared" si="467"/>
        <v>0</v>
      </c>
    </row>
    <row r="1610" spans="1:35" x14ac:dyDescent="0.2">
      <c r="A1610">
        <v>485</v>
      </c>
      <c r="B1610" t="s">
        <v>1398</v>
      </c>
      <c r="C1610">
        <v>8</v>
      </c>
      <c r="D1610" t="s">
        <v>4330</v>
      </c>
      <c r="E1610" t="s">
        <v>21</v>
      </c>
      <c r="F1610" t="s">
        <v>39</v>
      </c>
      <c r="G1610" t="s">
        <v>18</v>
      </c>
      <c r="H1610" t="s">
        <v>21</v>
      </c>
      <c r="I1610">
        <v>1</v>
      </c>
      <c r="J1610">
        <v>2</v>
      </c>
      <c r="K1610">
        <v>300</v>
      </c>
      <c r="L1610" t="s">
        <v>194</v>
      </c>
      <c r="M1610" t="s">
        <v>48</v>
      </c>
      <c r="N1610" t="s">
        <v>43</v>
      </c>
      <c r="O1610" t="s">
        <v>4331</v>
      </c>
      <c r="P1610" t="s">
        <v>4332</v>
      </c>
      <c r="Q1610">
        <f t="shared" si="450"/>
        <v>1</v>
      </c>
      <c r="R1610">
        <f t="shared" si="451"/>
        <v>5</v>
      </c>
      <c r="S1610">
        <f t="shared" si="452"/>
        <v>4</v>
      </c>
      <c r="T1610">
        <f t="shared" si="453"/>
        <v>1</v>
      </c>
      <c r="U1610">
        <v>300</v>
      </c>
      <c r="V1610">
        <f t="shared" si="454"/>
        <v>0</v>
      </c>
      <c r="W1610">
        <f t="shared" si="455"/>
        <v>0</v>
      </c>
      <c r="X1610">
        <f t="shared" si="456"/>
        <v>0</v>
      </c>
      <c r="Y1610">
        <f t="shared" si="457"/>
        <v>1</v>
      </c>
      <c r="Z1610">
        <f t="shared" si="458"/>
        <v>1</v>
      </c>
      <c r="AA1610">
        <f t="shared" si="459"/>
        <v>1</v>
      </c>
      <c r="AB1610">
        <f t="shared" si="460"/>
        <v>1</v>
      </c>
      <c r="AC1610">
        <f t="shared" si="461"/>
        <v>1</v>
      </c>
      <c r="AD1610">
        <f t="shared" si="462"/>
        <v>0</v>
      </c>
      <c r="AE1610">
        <f t="shared" si="463"/>
        <v>0</v>
      </c>
      <c r="AF1610">
        <f t="shared" si="464"/>
        <v>1</v>
      </c>
      <c r="AG1610">
        <f t="shared" si="465"/>
        <v>1</v>
      </c>
      <c r="AH1610">
        <f t="shared" si="466"/>
        <v>0</v>
      </c>
      <c r="AI1610">
        <f t="shared" si="467"/>
        <v>0</v>
      </c>
    </row>
    <row r="1611" spans="1:35" x14ac:dyDescent="0.2">
      <c r="A1611">
        <v>486</v>
      </c>
      <c r="B1611" t="s">
        <v>1398</v>
      </c>
      <c r="C1611">
        <v>2</v>
      </c>
      <c r="D1611" t="s">
        <v>4333</v>
      </c>
      <c r="E1611" t="s">
        <v>21</v>
      </c>
      <c r="F1611" t="s">
        <v>19</v>
      </c>
      <c r="G1611" t="s">
        <v>18</v>
      </c>
      <c r="H1611" t="s">
        <v>20</v>
      </c>
      <c r="I1611">
        <v>2</v>
      </c>
      <c r="J1611">
        <v>2</v>
      </c>
      <c r="K1611">
        <v>200</v>
      </c>
      <c r="L1611" t="s">
        <v>75</v>
      </c>
      <c r="M1611" t="s">
        <v>23</v>
      </c>
      <c r="N1611" t="s">
        <v>43</v>
      </c>
      <c r="O1611" t="s">
        <v>4334</v>
      </c>
      <c r="P1611" t="s">
        <v>4335</v>
      </c>
      <c r="Q1611">
        <f t="shared" si="450"/>
        <v>1</v>
      </c>
      <c r="R1611">
        <f t="shared" si="451"/>
        <v>3</v>
      </c>
      <c r="S1611">
        <f t="shared" si="452"/>
        <v>4</v>
      </c>
      <c r="T1611">
        <f t="shared" si="453"/>
        <v>2</v>
      </c>
      <c r="U1611">
        <v>200</v>
      </c>
      <c r="V1611">
        <f t="shared" si="454"/>
        <v>0</v>
      </c>
      <c r="W1611">
        <f t="shared" si="455"/>
        <v>0</v>
      </c>
      <c r="X1611">
        <f t="shared" si="456"/>
        <v>1</v>
      </c>
      <c r="Y1611">
        <f t="shared" si="457"/>
        <v>1</v>
      </c>
      <c r="Z1611">
        <f t="shared" si="458"/>
        <v>0</v>
      </c>
      <c r="AA1611">
        <f t="shared" si="459"/>
        <v>1</v>
      </c>
      <c r="AB1611">
        <f t="shared" si="460"/>
        <v>0</v>
      </c>
      <c r="AC1611">
        <f t="shared" si="461"/>
        <v>0</v>
      </c>
      <c r="AD1611">
        <f t="shared" si="462"/>
        <v>0</v>
      </c>
      <c r="AE1611">
        <f t="shared" si="463"/>
        <v>0</v>
      </c>
      <c r="AF1611">
        <f t="shared" si="464"/>
        <v>1</v>
      </c>
      <c r="AG1611">
        <f t="shared" si="465"/>
        <v>1</v>
      </c>
      <c r="AH1611">
        <f t="shared" si="466"/>
        <v>0</v>
      </c>
      <c r="AI1611">
        <f t="shared" si="467"/>
        <v>0</v>
      </c>
    </row>
    <row r="1612" spans="1:35" x14ac:dyDescent="0.2">
      <c r="A1612">
        <v>487</v>
      </c>
      <c r="B1612" t="s">
        <v>1398</v>
      </c>
      <c r="C1612">
        <v>8</v>
      </c>
      <c r="D1612" t="s">
        <v>4336</v>
      </c>
      <c r="E1612" t="s">
        <v>21</v>
      </c>
      <c r="F1612" t="s">
        <v>39</v>
      </c>
      <c r="G1612" t="s">
        <v>39</v>
      </c>
      <c r="H1612" t="s">
        <v>21</v>
      </c>
      <c r="I1612">
        <v>5</v>
      </c>
      <c r="J1612">
        <v>4</v>
      </c>
      <c r="K1612" s="1">
        <v>1000</v>
      </c>
      <c r="L1612" t="s">
        <v>22</v>
      </c>
      <c r="M1612" t="s">
        <v>42</v>
      </c>
      <c r="N1612" t="s">
        <v>215</v>
      </c>
      <c r="O1612" t="s">
        <v>4337</v>
      </c>
      <c r="P1612" t="s">
        <v>4338</v>
      </c>
      <c r="Q1612">
        <f t="shared" si="450"/>
        <v>1</v>
      </c>
      <c r="R1612">
        <f t="shared" si="451"/>
        <v>5</v>
      </c>
      <c r="S1612">
        <f t="shared" si="452"/>
        <v>5</v>
      </c>
      <c r="T1612">
        <f t="shared" si="453"/>
        <v>1</v>
      </c>
      <c r="U1612">
        <v>1000</v>
      </c>
      <c r="V1612">
        <f t="shared" si="454"/>
        <v>1</v>
      </c>
      <c r="W1612">
        <f t="shared" si="455"/>
        <v>0</v>
      </c>
      <c r="X1612">
        <f t="shared" si="456"/>
        <v>0</v>
      </c>
      <c r="Y1612">
        <f t="shared" si="457"/>
        <v>0</v>
      </c>
      <c r="Z1612">
        <f t="shared" si="458"/>
        <v>0</v>
      </c>
      <c r="AA1612">
        <f t="shared" si="459"/>
        <v>0</v>
      </c>
      <c r="AB1612">
        <f t="shared" si="460"/>
        <v>1</v>
      </c>
      <c r="AC1612">
        <f t="shared" si="461"/>
        <v>0</v>
      </c>
      <c r="AD1612">
        <f t="shared" si="462"/>
        <v>0</v>
      </c>
      <c r="AE1612">
        <f t="shared" si="463"/>
        <v>0</v>
      </c>
      <c r="AF1612">
        <f t="shared" si="464"/>
        <v>1</v>
      </c>
      <c r="AG1612">
        <f t="shared" si="465"/>
        <v>0</v>
      </c>
      <c r="AH1612">
        <f t="shared" si="466"/>
        <v>0</v>
      </c>
      <c r="AI1612">
        <f t="shared" si="467"/>
        <v>0</v>
      </c>
    </row>
    <row r="1613" spans="1:35" x14ac:dyDescent="0.2">
      <c r="A1613">
        <v>488</v>
      </c>
      <c r="B1613" t="s">
        <v>1398</v>
      </c>
      <c r="C1613">
        <v>9</v>
      </c>
      <c r="D1613" t="s">
        <v>4339</v>
      </c>
      <c r="E1613" t="s">
        <v>21</v>
      </c>
      <c r="F1613" t="s">
        <v>39</v>
      </c>
      <c r="G1613" t="s">
        <v>39</v>
      </c>
      <c r="H1613" t="s">
        <v>21</v>
      </c>
      <c r="I1613">
        <v>4</v>
      </c>
      <c r="J1613">
        <v>3</v>
      </c>
      <c r="K1613">
        <v>500</v>
      </c>
      <c r="L1613" t="s">
        <v>714</v>
      </c>
      <c r="M1613" t="s">
        <v>48</v>
      </c>
      <c r="N1613" t="s">
        <v>43</v>
      </c>
      <c r="O1613" t="s">
        <v>4340</v>
      </c>
      <c r="P1613" t="s">
        <v>4341</v>
      </c>
      <c r="Q1613">
        <f t="shared" si="450"/>
        <v>1</v>
      </c>
      <c r="R1613">
        <f t="shared" si="451"/>
        <v>5</v>
      </c>
      <c r="S1613">
        <f t="shared" si="452"/>
        <v>5</v>
      </c>
      <c r="T1613">
        <f t="shared" si="453"/>
        <v>1</v>
      </c>
      <c r="U1613">
        <v>500</v>
      </c>
      <c r="V1613">
        <f t="shared" si="454"/>
        <v>0</v>
      </c>
      <c r="W1613">
        <f t="shared" si="455"/>
        <v>0</v>
      </c>
      <c r="X1613">
        <f t="shared" si="456"/>
        <v>1</v>
      </c>
      <c r="Y1613">
        <f t="shared" si="457"/>
        <v>1</v>
      </c>
      <c r="Z1613">
        <f t="shared" si="458"/>
        <v>1</v>
      </c>
      <c r="AA1613">
        <f t="shared" si="459"/>
        <v>1</v>
      </c>
      <c r="AB1613">
        <f t="shared" si="460"/>
        <v>1</v>
      </c>
      <c r="AC1613">
        <f t="shared" si="461"/>
        <v>1</v>
      </c>
      <c r="AD1613">
        <f t="shared" si="462"/>
        <v>0</v>
      </c>
      <c r="AE1613">
        <f t="shared" si="463"/>
        <v>0</v>
      </c>
      <c r="AF1613">
        <f t="shared" si="464"/>
        <v>1</v>
      </c>
      <c r="AG1613">
        <f t="shared" si="465"/>
        <v>1</v>
      </c>
      <c r="AH1613">
        <f t="shared" si="466"/>
        <v>0</v>
      </c>
      <c r="AI1613">
        <f t="shared" si="467"/>
        <v>0</v>
      </c>
    </row>
    <row r="1614" spans="1:35" x14ac:dyDescent="0.2">
      <c r="A1614">
        <v>489</v>
      </c>
      <c r="B1614" t="s">
        <v>1398</v>
      </c>
      <c r="C1614">
        <v>3</v>
      </c>
      <c r="D1614" t="s">
        <v>4342</v>
      </c>
      <c r="E1614" t="s">
        <v>21</v>
      </c>
      <c r="F1614" t="s">
        <v>39</v>
      </c>
      <c r="G1614" t="s">
        <v>39</v>
      </c>
      <c r="H1614" t="s">
        <v>21</v>
      </c>
      <c r="I1614">
        <v>4</v>
      </c>
      <c r="J1614">
        <v>3</v>
      </c>
      <c r="K1614">
        <v>15</v>
      </c>
      <c r="L1614" t="s">
        <v>494</v>
      </c>
      <c r="M1614" t="s">
        <v>123</v>
      </c>
      <c r="N1614" t="s">
        <v>43</v>
      </c>
      <c r="O1614" t="s">
        <v>4343</v>
      </c>
      <c r="P1614" t="s">
        <v>4344</v>
      </c>
      <c r="Q1614">
        <f t="shared" si="450"/>
        <v>1</v>
      </c>
      <c r="R1614">
        <f t="shared" si="451"/>
        <v>5</v>
      </c>
      <c r="S1614">
        <f t="shared" si="452"/>
        <v>5</v>
      </c>
      <c r="T1614">
        <f t="shared" si="453"/>
        <v>1</v>
      </c>
      <c r="U1614">
        <v>15</v>
      </c>
      <c r="V1614">
        <f t="shared" si="454"/>
        <v>0</v>
      </c>
      <c r="W1614">
        <f t="shared" si="455"/>
        <v>1</v>
      </c>
      <c r="X1614">
        <f t="shared" si="456"/>
        <v>1</v>
      </c>
      <c r="Y1614">
        <f t="shared" si="457"/>
        <v>1</v>
      </c>
      <c r="Z1614">
        <f t="shared" si="458"/>
        <v>1</v>
      </c>
      <c r="AA1614">
        <f t="shared" si="459"/>
        <v>0</v>
      </c>
      <c r="AB1614">
        <f t="shared" si="460"/>
        <v>1</v>
      </c>
      <c r="AC1614">
        <f t="shared" si="461"/>
        <v>1</v>
      </c>
      <c r="AD1614">
        <f t="shared" si="462"/>
        <v>0</v>
      </c>
      <c r="AE1614">
        <f t="shared" si="463"/>
        <v>0</v>
      </c>
      <c r="AF1614">
        <f t="shared" si="464"/>
        <v>1</v>
      </c>
      <c r="AG1614">
        <f t="shared" si="465"/>
        <v>1</v>
      </c>
      <c r="AH1614">
        <f t="shared" si="466"/>
        <v>0</v>
      </c>
      <c r="AI1614">
        <f t="shared" si="467"/>
        <v>0</v>
      </c>
    </row>
    <row r="1615" spans="1:35" x14ac:dyDescent="0.2">
      <c r="A1615">
        <v>490</v>
      </c>
      <c r="B1615" t="s">
        <v>1398</v>
      </c>
      <c r="C1615">
        <v>6</v>
      </c>
      <c r="D1615" t="s">
        <v>4345</v>
      </c>
      <c r="E1615" t="s">
        <v>21</v>
      </c>
      <c r="F1615" t="s">
        <v>18</v>
      </c>
      <c r="G1615" t="s">
        <v>18</v>
      </c>
      <c r="H1615" t="s">
        <v>21</v>
      </c>
      <c r="I1615">
        <v>10</v>
      </c>
      <c r="J1615">
        <v>2</v>
      </c>
      <c r="K1615" t="s">
        <v>4346</v>
      </c>
      <c r="L1615" t="s">
        <v>443</v>
      </c>
      <c r="M1615" t="s">
        <v>123</v>
      </c>
      <c r="N1615" t="s">
        <v>43</v>
      </c>
      <c r="O1615" t="s">
        <v>4347</v>
      </c>
      <c r="P1615" t="s">
        <v>4348</v>
      </c>
      <c r="Q1615">
        <f t="shared" si="450"/>
        <v>1</v>
      </c>
      <c r="R1615">
        <f t="shared" si="451"/>
        <v>4</v>
      </c>
      <c r="S1615">
        <f t="shared" si="452"/>
        <v>4</v>
      </c>
      <c r="T1615">
        <f t="shared" si="453"/>
        <v>1</v>
      </c>
      <c r="U1615">
        <v>100</v>
      </c>
      <c r="V1615">
        <f t="shared" si="454"/>
        <v>1</v>
      </c>
      <c r="W1615">
        <f t="shared" si="455"/>
        <v>0</v>
      </c>
      <c r="X1615">
        <f t="shared" si="456"/>
        <v>0</v>
      </c>
      <c r="Y1615">
        <f t="shared" si="457"/>
        <v>1</v>
      </c>
      <c r="Z1615">
        <f t="shared" si="458"/>
        <v>1</v>
      </c>
      <c r="AA1615">
        <f t="shared" si="459"/>
        <v>0</v>
      </c>
      <c r="AB1615">
        <f t="shared" si="460"/>
        <v>1</v>
      </c>
      <c r="AC1615">
        <f t="shared" si="461"/>
        <v>1</v>
      </c>
      <c r="AD1615">
        <f t="shared" si="462"/>
        <v>0</v>
      </c>
      <c r="AE1615">
        <f t="shared" si="463"/>
        <v>0</v>
      </c>
      <c r="AF1615">
        <f t="shared" si="464"/>
        <v>1</v>
      </c>
      <c r="AG1615">
        <f t="shared" si="465"/>
        <v>1</v>
      </c>
      <c r="AH1615">
        <f t="shared" si="466"/>
        <v>0</v>
      </c>
      <c r="AI1615">
        <f t="shared" si="467"/>
        <v>0</v>
      </c>
    </row>
    <row r="1616" spans="1:35" x14ac:dyDescent="0.2">
      <c r="A1616">
        <v>491</v>
      </c>
      <c r="B1616" t="s">
        <v>1398</v>
      </c>
      <c r="C1616">
        <v>5</v>
      </c>
      <c r="D1616" t="s">
        <v>4349</v>
      </c>
      <c r="E1616" t="s">
        <v>20</v>
      </c>
      <c r="F1616" t="s">
        <v>39</v>
      </c>
      <c r="G1616" t="s">
        <v>39</v>
      </c>
      <c r="H1616" t="s">
        <v>21</v>
      </c>
      <c r="I1616">
        <v>4</v>
      </c>
      <c r="J1616">
        <v>4</v>
      </c>
      <c r="K1616" t="s">
        <v>4350</v>
      </c>
      <c r="L1616" t="s">
        <v>714</v>
      </c>
      <c r="M1616" t="s">
        <v>48</v>
      </c>
      <c r="N1616" t="s">
        <v>43</v>
      </c>
      <c r="O1616" t="s">
        <v>4351</v>
      </c>
      <c r="P1616" t="s">
        <v>4352</v>
      </c>
      <c r="Q1616">
        <f t="shared" si="450"/>
        <v>2</v>
      </c>
      <c r="R1616">
        <f t="shared" si="451"/>
        <v>5</v>
      </c>
      <c r="S1616">
        <f t="shared" si="452"/>
        <v>5</v>
      </c>
      <c r="T1616">
        <f t="shared" si="453"/>
        <v>1</v>
      </c>
      <c r="U1616">
        <v>20</v>
      </c>
      <c r="V1616">
        <f t="shared" si="454"/>
        <v>0</v>
      </c>
      <c r="W1616">
        <f t="shared" si="455"/>
        <v>0</v>
      </c>
      <c r="X1616">
        <f t="shared" si="456"/>
        <v>1</v>
      </c>
      <c r="Y1616">
        <f t="shared" si="457"/>
        <v>1</v>
      </c>
      <c r="Z1616">
        <f t="shared" si="458"/>
        <v>1</v>
      </c>
      <c r="AA1616">
        <f t="shared" si="459"/>
        <v>1</v>
      </c>
      <c r="AB1616">
        <f t="shared" si="460"/>
        <v>1</v>
      </c>
      <c r="AC1616">
        <f t="shared" si="461"/>
        <v>1</v>
      </c>
      <c r="AD1616">
        <f t="shared" si="462"/>
        <v>0</v>
      </c>
      <c r="AE1616">
        <f t="shared" si="463"/>
        <v>0</v>
      </c>
      <c r="AF1616">
        <f t="shared" si="464"/>
        <v>1</v>
      </c>
      <c r="AG1616">
        <f t="shared" si="465"/>
        <v>1</v>
      </c>
      <c r="AH1616">
        <f t="shared" si="466"/>
        <v>0</v>
      </c>
      <c r="AI1616">
        <f t="shared" si="467"/>
        <v>0</v>
      </c>
    </row>
    <row r="1617" spans="1:35" x14ac:dyDescent="0.2">
      <c r="A1617">
        <v>492</v>
      </c>
      <c r="B1617" t="s">
        <v>1398</v>
      </c>
      <c r="C1617">
        <v>9</v>
      </c>
      <c r="D1617" t="s">
        <v>4353</v>
      </c>
      <c r="E1617" t="s">
        <v>21</v>
      </c>
      <c r="F1617" t="s">
        <v>39</v>
      </c>
      <c r="G1617" t="s">
        <v>39</v>
      </c>
      <c r="H1617" t="s">
        <v>20</v>
      </c>
      <c r="I1617">
        <v>2</v>
      </c>
      <c r="J1617">
        <v>1</v>
      </c>
      <c r="K1617" t="s">
        <v>4354</v>
      </c>
      <c r="L1617" t="s">
        <v>2449</v>
      </c>
      <c r="M1617" t="s">
        <v>123</v>
      </c>
      <c r="N1617" t="s">
        <v>43</v>
      </c>
      <c r="O1617" t="s">
        <v>4355</v>
      </c>
      <c r="P1617" t="s">
        <v>4356</v>
      </c>
      <c r="Q1617">
        <f t="shared" si="450"/>
        <v>1</v>
      </c>
      <c r="R1617">
        <f t="shared" si="451"/>
        <v>5</v>
      </c>
      <c r="S1617">
        <f t="shared" si="452"/>
        <v>5</v>
      </c>
      <c r="T1617">
        <f t="shared" si="453"/>
        <v>2</v>
      </c>
      <c r="U1617">
        <v>2000000</v>
      </c>
      <c r="V1617">
        <f t="shared" si="454"/>
        <v>1</v>
      </c>
      <c r="W1617">
        <f t="shared" si="455"/>
        <v>1</v>
      </c>
      <c r="X1617">
        <f t="shared" si="456"/>
        <v>1</v>
      </c>
      <c r="Y1617">
        <f t="shared" si="457"/>
        <v>0</v>
      </c>
      <c r="Z1617">
        <f t="shared" si="458"/>
        <v>0</v>
      </c>
      <c r="AA1617">
        <f t="shared" si="459"/>
        <v>0</v>
      </c>
      <c r="AB1617">
        <f t="shared" si="460"/>
        <v>1</v>
      </c>
      <c r="AC1617">
        <f t="shared" si="461"/>
        <v>1</v>
      </c>
      <c r="AD1617">
        <f t="shared" si="462"/>
        <v>0</v>
      </c>
      <c r="AE1617">
        <f t="shared" si="463"/>
        <v>0</v>
      </c>
      <c r="AF1617">
        <f t="shared" si="464"/>
        <v>1</v>
      </c>
      <c r="AG1617">
        <f t="shared" si="465"/>
        <v>1</v>
      </c>
      <c r="AH1617">
        <f t="shared" si="466"/>
        <v>0</v>
      </c>
      <c r="AI1617">
        <f t="shared" si="467"/>
        <v>0</v>
      </c>
    </row>
    <row r="1618" spans="1:35" x14ac:dyDescent="0.2">
      <c r="A1618">
        <v>493</v>
      </c>
      <c r="B1618" t="s">
        <v>1398</v>
      </c>
      <c r="C1618">
        <v>2</v>
      </c>
      <c r="D1618" t="s">
        <v>3094</v>
      </c>
      <c r="E1618" t="s">
        <v>20</v>
      </c>
      <c r="F1618" t="s">
        <v>19</v>
      </c>
      <c r="G1618" t="s">
        <v>20</v>
      </c>
      <c r="H1618" t="s">
        <v>19</v>
      </c>
      <c r="I1618">
        <v>1</v>
      </c>
      <c r="J1618">
        <v>1</v>
      </c>
      <c r="K1618">
        <v>0</v>
      </c>
      <c r="L1618" t="s">
        <v>47</v>
      </c>
      <c r="M1618" t="s">
        <v>1982</v>
      </c>
      <c r="N1618" t="s">
        <v>43</v>
      </c>
      <c r="O1618" t="s">
        <v>4134</v>
      </c>
      <c r="P1618" t="s">
        <v>4357</v>
      </c>
      <c r="Q1618">
        <f t="shared" si="450"/>
        <v>2</v>
      </c>
      <c r="R1618">
        <f t="shared" si="451"/>
        <v>3</v>
      </c>
      <c r="S1618">
        <f t="shared" si="452"/>
        <v>2</v>
      </c>
      <c r="T1618">
        <f t="shared" si="453"/>
        <v>3</v>
      </c>
      <c r="U1618">
        <v>0</v>
      </c>
      <c r="V1618">
        <f t="shared" si="454"/>
        <v>0</v>
      </c>
      <c r="W1618">
        <f t="shared" si="455"/>
        <v>0</v>
      </c>
      <c r="X1618">
        <f t="shared" si="456"/>
        <v>1</v>
      </c>
      <c r="Y1618">
        <f t="shared" si="457"/>
        <v>0</v>
      </c>
      <c r="Z1618">
        <f t="shared" si="458"/>
        <v>1</v>
      </c>
      <c r="AA1618">
        <f t="shared" si="459"/>
        <v>1</v>
      </c>
      <c r="AB1618">
        <f t="shared" si="460"/>
        <v>1</v>
      </c>
      <c r="AC1618">
        <f t="shared" si="461"/>
        <v>0</v>
      </c>
      <c r="AD1618">
        <f t="shared" si="462"/>
        <v>1</v>
      </c>
      <c r="AE1618">
        <f t="shared" si="463"/>
        <v>1</v>
      </c>
      <c r="AF1618">
        <f t="shared" si="464"/>
        <v>1</v>
      </c>
      <c r="AG1618">
        <f t="shared" si="465"/>
        <v>1</v>
      </c>
      <c r="AH1618">
        <f t="shared" si="466"/>
        <v>0</v>
      </c>
      <c r="AI1618">
        <f t="shared" si="467"/>
        <v>0</v>
      </c>
    </row>
    <row r="1619" spans="1:35" x14ac:dyDescent="0.2">
      <c r="A1619">
        <v>494</v>
      </c>
      <c r="B1619" t="s">
        <v>1398</v>
      </c>
      <c r="C1619">
        <v>5</v>
      </c>
      <c r="D1619" t="s">
        <v>4358</v>
      </c>
      <c r="E1619" t="s">
        <v>21</v>
      </c>
      <c r="F1619" t="s">
        <v>39</v>
      </c>
      <c r="G1619" t="s">
        <v>39</v>
      </c>
      <c r="H1619" t="s">
        <v>21</v>
      </c>
      <c r="I1619">
        <v>3</v>
      </c>
      <c r="J1619">
        <v>3</v>
      </c>
      <c r="K1619" t="s">
        <v>4359</v>
      </c>
      <c r="L1619" t="s">
        <v>194</v>
      </c>
      <c r="M1619" t="s">
        <v>48</v>
      </c>
      <c r="N1619" t="s">
        <v>215</v>
      </c>
      <c r="O1619" t="s">
        <v>4360</v>
      </c>
      <c r="P1619" t="s">
        <v>4361</v>
      </c>
      <c r="Q1619">
        <f t="shared" si="450"/>
        <v>1</v>
      </c>
      <c r="R1619">
        <f t="shared" si="451"/>
        <v>5</v>
      </c>
      <c r="S1619">
        <f t="shared" si="452"/>
        <v>5</v>
      </c>
      <c r="T1619">
        <f t="shared" si="453"/>
        <v>1</v>
      </c>
      <c r="U1619">
        <v>100000000</v>
      </c>
      <c r="V1619">
        <f t="shared" si="454"/>
        <v>0</v>
      </c>
      <c r="W1619">
        <f t="shared" si="455"/>
        <v>0</v>
      </c>
      <c r="X1619">
        <f t="shared" si="456"/>
        <v>0</v>
      </c>
      <c r="Y1619">
        <f t="shared" si="457"/>
        <v>1</v>
      </c>
      <c r="Z1619">
        <f t="shared" si="458"/>
        <v>1</v>
      </c>
      <c r="AA1619">
        <f t="shared" si="459"/>
        <v>1</v>
      </c>
      <c r="AB1619">
        <f t="shared" si="460"/>
        <v>1</v>
      </c>
      <c r="AC1619">
        <f t="shared" si="461"/>
        <v>1</v>
      </c>
      <c r="AD1619">
        <f t="shared" si="462"/>
        <v>0</v>
      </c>
      <c r="AE1619">
        <f t="shared" si="463"/>
        <v>0</v>
      </c>
      <c r="AF1619">
        <f t="shared" si="464"/>
        <v>1</v>
      </c>
      <c r="AG1619">
        <f t="shared" si="465"/>
        <v>0</v>
      </c>
      <c r="AH1619">
        <f t="shared" si="466"/>
        <v>0</v>
      </c>
      <c r="AI1619">
        <f t="shared" si="467"/>
        <v>0</v>
      </c>
    </row>
    <row r="1620" spans="1:35" x14ac:dyDescent="0.2">
      <c r="A1620">
        <v>495</v>
      </c>
      <c r="B1620" t="s">
        <v>1398</v>
      </c>
      <c r="C1620">
        <v>4</v>
      </c>
      <c r="D1620" t="s">
        <v>4362</v>
      </c>
      <c r="E1620" t="s">
        <v>20</v>
      </c>
      <c r="F1620" t="s">
        <v>18</v>
      </c>
      <c r="G1620" t="s">
        <v>39</v>
      </c>
      <c r="H1620" t="s">
        <v>20</v>
      </c>
      <c r="I1620">
        <v>2</v>
      </c>
      <c r="J1620">
        <v>3</v>
      </c>
      <c r="K1620">
        <v>3000</v>
      </c>
      <c r="L1620" t="s">
        <v>41</v>
      </c>
      <c r="M1620" t="s">
        <v>115</v>
      </c>
      <c r="N1620" t="s">
        <v>215</v>
      </c>
      <c r="O1620" t="s">
        <v>4363</v>
      </c>
      <c r="P1620" t="s">
        <v>4364</v>
      </c>
      <c r="Q1620">
        <f t="shared" si="450"/>
        <v>2</v>
      </c>
      <c r="R1620">
        <f t="shared" si="451"/>
        <v>4</v>
      </c>
      <c r="S1620">
        <f t="shared" si="452"/>
        <v>5</v>
      </c>
      <c r="T1620">
        <f t="shared" si="453"/>
        <v>2</v>
      </c>
      <c r="U1620">
        <v>3000</v>
      </c>
      <c r="V1620">
        <f t="shared" si="454"/>
        <v>0</v>
      </c>
      <c r="W1620">
        <f t="shared" si="455"/>
        <v>0</v>
      </c>
      <c r="X1620">
        <f t="shared" si="456"/>
        <v>0</v>
      </c>
      <c r="Y1620">
        <f t="shared" si="457"/>
        <v>0</v>
      </c>
      <c r="Z1620">
        <f t="shared" si="458"/>
        <v>1</v>
      </c>
      <c r="AA1620">
        <f t="shared" si="459"/>
        <v>0</v>
      </c>
      <c r="AB1620">
        <f t="shared" si="460"/>
        <v>0</v>
      </c>
      <c r="AC1620">
        <f t="shared" si="461"/>
        <v>1</v>
      </c>
      <c r="AD1620">
        <f t="shared" si="462"/>
        <v>0</v>
      </c>
      <c r="AE1620">
        <f t="shared" si="463"/>
        <v>0</v>
      </c>
      <c r="AF1620">
        <f t="shared" si="464"/>
        <v>1</v>
      </c>
      <c r="AG1620">
        <f t="shared" si="465"/>
        <v>0</v>
      </c>
      <c r="AH1620">
        <f t="shared" si="466"/>
        <v>0</v>
      </c>
      <c r="AI1620">
        <f t="shared" si="467"/>
        <v>0</v>
      </c>
    </row>
    <row r="1621" spans="1:35" x14ac:dyDescent="0.2">
      <c r="A1621">
        <v>496</v>
      </c>
      <c r="B1621" t="s">
        <v>1398</v>
      </c>
      <c r="C1621">
        <v>7</v>
      </c>
      <c r="D1621" t="s">
        <v>4365</v>
      </c>
      <c r="E1621" t="s">
        <v>20</v>
      </c>
      <c r="F1621" t="s">
        <v>18</v>
      </c>
      <c r="G1621" t="s">
        <v>18</v>
      </c>
      <c r="H1621" t="s">
        <v>20</v>
      </c>
      <c r="I1621">
        <v>1</v>
      </c>
      <c r="J1621">
        <v>1</v>
      </c>
      <c r="K1621">
        <v>30</v>
      </c>
      <c r="L1621" t="s">
        <v>98</v>
      </c>
      <c r="M1621" t="s">
        <v>115</v>
      </c>
      <c r="N1621" t="s">
        <v>215</v>
      </c>
      <c r="O1621" t="s">
        <v>909</v>
      </c>
      <c r="P1621" t="s">
        <v>4366</v>
      </c>
      <c r="Q1621">
        <f t="shared" si="450"/>
        <v>2</v>
      </c>
      <c r="R1621">
        <f t="shared" si="451"/>
        <v>4</v>
      </c>
      <c r="S1621">
        <f t="shared" si="452"/>
        <v>4</v>
      </c>
      <c r="T1621">
        <f t="shared" si="453"/>
        <v>2</v>
      </c>
      <c r="U1621">
        <v>30</v>
      </c>
      <c r="V1621">
        <f t="shared" si="454"/>
        <v>0</v>
      </c>
      <c r="W1621">
        <f t="shared" si="455"/>
        <v>1</v>
      </c>
      <c r="X1621">
        <f t="shared" si="456"/>
        <v>0</v>
      </c>
      <c r="Y1621">
        <f t="shared" si="457"/>
        <v>0</v>
      </c>
      <c r="Z1621">
        <f t="shared" si="458"/>
        <v>0</v>
      </c>
      <c r="AA1621">
        <f t="shared" si="459"/>
        <v>0</v>
      </c>
      <c r="AB1621">
        <f t="shared" si="460"/>
        <v>0</v>
      </c>
      <c r="AC1621">
        <f t="shared" si="461"/>
        <v>1</v>
      </c>
      <c r="AD1621">
        <f t="shared" si="462"/>
        <v>0</v>
      </c>
      <c r="AE1621">
        <f t="shared" si="463"/>
        <v>0</v>
      </c>
      <c r="AF1621">
        <f t="shared" si="464"/>
        <v>1</v>
      </c>
      <c r="AG1621">
        <f t="shared" si="465"/>
        <v>0</v>
      </c>
      <c r="AH1621">
        <f t="shared" si="466"/>
        <v>0</v>
      </c>
      <c r="AI1621">
        <f t="shared" si="467"/>
        <v>0</v>
      </c>
    </row>
    <row r="1622" spans="1:35" x14ac:dyDescent="0.2">
      <c r="A1622">
        <v>497</v>
      </c>
      <c r="B1622" t="s">
        <v>1398</v>
      </c>
      <c r="C1622">
        <v>9</v>
      </c>
      <c r="D1622" t="s">
        <v>4367</v>
      </c>
      <c r="E1622" t="s">
        <v>21</v>
      </c>
      <c r="F1622" t="s">
        <v>39</v>
      </c>
      <c r="G1622" t="s">
        <v>39</v>
      </c>
      <c r="H1622" t="s">
        <v>21</v>
      </c>
      <c r="I1622">
        <v>5</v>
      </c>
      <c r="J1622">
        <v>4</v>
      </c>
      <c r="K1622">
        <v>10000000</v>
      </c>
      <c r="L1622" t="s">
        <v>494</v>
      </c>
      <c r="M1622" t="s">
        <v>154</v>
      </c>
      <c r="N1622" t="s">
        <v>215</v>
      </c>
      <c r="O1622" t="s">
        <v>4368</v>
      </c>
      <c r="P1622" t="s">
        <v>4369</v>
      </c>
      <c r="Q1622">
        <f t="shared" si="450"/>
        <v>1</v>
      </c>
      <c r="R1622">
        <f t="shared" si="451"/>
        <v>5</v>
      </c>
      <c r="S1622">
        <f t="shared" si="452"/>
        <v>5</v>
      </c>
      <c r="T1622">
        <f t="shared" si="453"/>
        <v>1</v>
      </c>
      <c r="U1622">
        <v>10000000</v>
      </c>
      <c r="V1622">
        <f t="shared" si="454"/>
        <v>0</v>
      </c>
      <c r="W1622">
        <f t="shared" si="455"/>
        <v>1</v>
      </c>
      <c r="X1622">
        <f t="shared" si="456"/>
        <v>1</v>
      </c>
      <c r="Y1622">
        <f t="shared" si="457"/>
        <v>1</v>
      </c>
      <c r="Z1622">
        <f t="shared" si="458"/>
        <v>1</v>
      </c>
      <c r="AA1622">
        <f t="shared" si="459"/>
        <v>1</v>
      </c>
      <c r="AB1622">
        <f t="shared" si="460"/>
        <v>0</v>
      </c>
      <c r="AC1622">
        <f t="shared" si="461"/>
        <v>1</v>
      </c>
      <c r="AD1622">
        <f t="shared" si="462"/>
        <v>0</v>
      </c>
      <c r="AE1622">
        <f t="shared" si="463"/>
        <v>0</v>
      </c>
      <c r="AF1622">
        <f t="shared" si="464"/>
        <v>1</v>
      </c>
      <c r="AG1622">
        <f t="shared" si="465"/>
        <v>0</v>
      </c>
      <c r="AH1622">
        <f t="shared" si="466"/>
        <v>0</v>
      </c>
      <c r="AI1622">
        <f t="shared" si="467"/>
        <v>0</v>
      </c>
    </row>
    <row r="1623" spans="1:35" x14ac:dyDescent="0.2">
      <c r="A1623">
        <v>498</v>
      </c>
      <c r="B1623" t="s">
        <v>1398</v>
      </c>
      <c r="C1623">
        <v>7</v>
      </c>
      <c r="D1623" t="s">
        <v>4370</v>
      </c>
      <c r="E1623" t="s">
        <v>20</v>
      </c>
      <c r="F1623" t="s">
        <v>19</v>
      </c>
      <c r="G1623" t="s">
        <v>20</v>
      </c>
      <c r="H1623" t="s">
        <v>19</v>
      </c>
      <c r="I1623">
        <v>1</v>
      </c>
      <c r="J1623">
        <v>2</v>
      </c>
      <c r="K1623">
        <v>30</v>
      </c>
      <c r="L1623" t="s">
        <v>47</v>
      </c>
      <c r="M1623" t="s">
        <v>123</v>
      </c>
      <c r="N1623" t="s">
        <v>43</v>
      </c>
      <c r="O1623" t="s">
        <v>909</v>
      </c>
      <c r="P1623" t="s">
        <v>4371</v>
      </c>
      <c r="Q1623">
        <f t="shared" si="450"/>
        <v>2</v>
      </c>
      <c r="R1623">
        <f t="shared" si="451"/>
        <v>3</v>
      </c>
      <c r="S1623">
        <f t="shared" si="452"/>
        <v>2</v>
      </c>
      <c r="T1623">
        <f t="shared" si="453"/>
        <v>3</v>
      </c>
      <c r="U1623">
        <v>30</v>
      </c>
      <c r="V1623">
        <f t="shared" si="454"/>
        <v>0</v>
      </c>
      <c r="W1623">
        <f t="shared" si="455"/>
        <v>0</v>
      </c>
      <c r="X1623">
        <f t="shared" si="456"/>
        <v>1</v>
      </c>
      <c r="Y1623">
        <f t="shared" si="457"/>
        <v>0</v>
      </c>
      <c r="Z1623">
        <f t="shared" si="458"/>
        <v>1</v>
      </c>
      <c r="AA1623">
        <f t="shared" si="459"/>
        <v>0</v>
      </c>
      <c r="AB1623">
        <f t="shared" si="460"/>
        <v>1</v>
      </c>
      <c r="AC1623">
        <f t="shared" si="461"/>
        <v>1</v>
      </c>
      <c r="AD1623">
        <f t="shared" si="462"/>
        <v>0</v>
      </c>
      <c r="AE1623">
        <f t="shared" si="463"/>
        <v>0</v>
      </c>
      <c r="AF1623">
        <f t="shared" si="464"/>
        <v>1</v>
      </c>
      <c r="AG1623">
        <f t="shared" si="465"/>
        <v>1</v>
      </c>
      <c r="AH1623">
        <f t="shared" si="466"/>
        <v>0</v>
      </c>
      <c r="AI1623">
        <f t="shared" si="467"/>
        <v>0</v>
      </c>
    </row>
    <row r="1624" spans="1:35" x14ac:dyDescent="0.2">
      <c r="A1624">
        <v>499</v>
      </c>
      <c r="B1624" t="s">
        <v>1398</v>
      </c>
      <c r="C1624">
        <v>4</v>
      </c>
      <c r="D1624" t="s">
        <v>1130</v>
      </c>
      <c r="E1624" t="s">
        <v>19</v>
      </c>
      <c r="F1624" t="s">
        <v>18</v>
      </c>
      <c r="G1624" t="s">
        <v>39</v>
      </c>
      <c r="H1624" t="s">
        <v>20</v>
      </c>
      <c r="I1624">
        <v>15</v>
      </c>
      <c r="J1624">
        <v>1</v>
      </c>
      <c r="K1624" t="s">
        <v>4372</v>
      </c>
      <c r="L1624" t="s">
        <v>230</v>
      </c>
      <c r="M1624" t="s">
        <v>468</v>
      </c>
      <c r="N1624" t="s">
        <v>763</v>
      </c>
      <c r="O1624" t="s">
        <v>2729</v>
      </c>
      <c r="P1624" t="s">
        <v>4373</v>
      </c>
      <c r="Q1624">
        <f t="shared" si="450"/>
        <v>3</v>
      </c>
      <c r="R1624">
        <f t="shared" si="451"/>
        <v>4</v>
      </c>
      <c r="S1624">
        <f t="shared" si="452"/>
        <v>5</v>
      </c>
      <c r="T1624">
        <f t="shared" si="453"/>
        <v>2</v>
      </c>
      <c r="U1624">
        <v>1</v>
      </c>
      <c r="V1624">
        <f t="shared" si="454"/>
        <v>1</v>
      </c>
      <c r="W1624">
        <f t="shared" si="455"/>
        <v>1</v>
      </c>
      <c r="X1624">
        <f t="shared" si="456"/>
        <v>1</v>
      </c>
      <c r="Y1624">
        <f t="shared" si="457"/>
        <v>1</v>
      </c>
      <c r="Z1624">
        <f t="shared" si="458"/>
        <v>1</v>
      </c>
      <c r="AA1624">
        <f t="shared" si="459"/>
        <v>1</v>
      </c>
      <c r="AB1624">
        <f t="shared" si="460"/>
        <v>1</v>
      </c>
      <c r="AC1624">
        <f t="shared" si="461"/>
        <v>1</v>
      </c>
      <c r="AD1624">
        <f t="shared" si="462"/>
        <v>1</v>
      </c>
      <c r="AE1624">
        <f t="shared" si="463"/>
        <v>1</v>
      </c>
      <c r="AF1624">
        <f t="shared" si="464"/>
        <v>1</v>
      </c>
      <c r="AG1624">
        <f t="shared" si="465"/>
        <v>1</v>
      </c>
      <c r="AH1624">
        <f t="shared" si="466"/>
        <v>1</v>
      </c>
      <c r="AI1624">
        <f t="shared" si="467"/>
        <v>1</v>
      </c>
    </row>
    <row r="1625" spans="1:35" x14ac:dyDescent="0.2">
      <c r="A1625">
        <v>500</v>
      </c>
      <c r="B1625" t="s">
        <v>1398</v>
      </c>
      <c r="C1625">
        <v>4</v>
      </c>
      <c r="D1625" t="s">
        <v>4374</v>
      </c>
      <c r="E1625" t="s">
        <v>19</v>
      </c>
      <c r="F1625" t="s">
        <v>20</v>
      </c>
      <c r="G1625" t="s">
        <v>18</v>
      </c>
      <c r="H1625" t="s">
        <v>20</v>
      </c>
      <c r="I1625">
        <v>3</v>
      </c>
      <c r="J1625">
        <v>7</v>
      </c>
      <c r="K1625" t="s">
        <v>4375</v>
      </c>
      <c r="L1625" t="s">
        <v>53</v>
      </c>
      <c r="M1625" t="s">
        <v>35</v>
      </c>
      <c r="N1625" t="s">
        <v>24</v>
      </c>
      <c r="O1625" t="s">
        <v>1558</v>
      </c>
      <c r="P1625" t="s">
        <v>4376</v>
      </c>
      <c r="Q1625">
        <f t="shared" si="450"/>
        <v>3</v>
      </c>
      <c r="R1625">
        <f t="shared" si="451"/>
        <v>2</v>
      </c>
      <c r="S1625">
        <f t="shared" si="452"/>
        <v>4</v>
      </c>
      <c r="T1625">
        <f t="shared" si="453"/>
        <v>2</v>
      </c>
      <c r="U1625">
        <v>1</v>
      </c>
      <c r="V1625">
        <f t="shared" si="454"/>
        <v>0</v>
      </c>
      <c r="W1625">
        <f t="shared" si="455"/>
        <v>0</v>
      </c>
      <c r="X1625">
        <f t="shared" si="456"/>
        <v>1</v>
      </c>
      <c r="Y1625">
        <f t="shared" si="457"/>
        <v>0</v>
      </c>
      <c r="Z1625">
        <f t="shared" si="458"/>
        <v>0</v>
      </c>
      <c r="AA1625">
        <f t="shared" si="459"/>
        <v>0</v>
      </c>
      <c r="AB1625">
        <f t="shared" si="460"/>
        <v>0</v>
      </c>
      <c r="AC1625">
        <f t="shared" si="461"/>
        <v>0</v>
      </c>
      <c r="AD1625">
        <f t="shared" si="462"/>
        <v>1</v>
      </c>
      <c r="AE1625">
        <f t="shared" si="463"/>
        <v>0</v>
      </c>
      <c r="AF1625">
        <f t="shared" si="464"/>
        <v>0</v>
      </c>
      <c r="AG1625">
        <f t="shared" si="465"/>
        <v>0</v>
      </c>
      <c r="AH1625">
        <f t="shared" si="466"/>
        <v>1</v>
      </c>
      <c r="AI1625">
        <f t="shared" si="467"/>
        <v>0</v>
      </c>
    </row>
    <row r="1626" spans="1:35" x14ac:dyDescent="0.2">
      <c r="A1626">
        <v>501</v>
      </c>
      <c r="B1626" t="s">
        <v>1398</v>
      </c>
      <c r="C1626">
        <v>6</v>
      </c>
      <c r="D1626" t="s">
        <v>4377</v>
      </c>
      <c r="E1626" t="s">
        <v>20</v>
      </c>
      <c r="F1626" t="s">
        <v>39</v>
      </c>
      <c r="G1626" t="s">
        <v>39</v>
      </c>
      <c r="H1626" t="s">
        <v>20</v>
      </c>
      <c r="I1626">
        <v>1</v>
      </c>
      <c r="J1626">
        <v>1</v>
      </c>
      <c r="K1626" s="2">
        <v>1000000</v>
      </c>
      <c r="L1626" t="s">
        <v>70</v>
      </c>
      <c r="M1626" t="s">
        <v>23</v>
      </c>
      <c r="N1626" t="s">
        <v>84</v>
      </c>
      <c r="O1626" t="s">
        <v>4378</v>
      </c>
      <c r="P1626" t="s">
        <v>4379</v>
      </c>
      <c r="Q1626">
        <f t="shared" si="450"/>
        <v>2</v>
      </c>
      <c r="R1626">
        <f t="shared" si="451"/>
        <v>5</v>
      </c>
      <c r="S1626">
        <f t="shared" si="452"/>
        <v>5</v>
      </c>
      <c r="T1626">
        <f t="shared" si="453"/>
        <v>2</v>
      </c>
      <c r="U1626">
        <v>1000000</v>
      </c>
      <c r="V1626">
        <f t="shared" si="454"/>
        <v>0</v>
      </c>
      <c r="W1626">
        <f t="shared" si="455"/>
        <v>0</v>
      </c>
      <c r="X1626">
        <f t="shared" si="456"/>
        <v>0</v>
      </c>
      <c r="Y1626">
        <f t="shared" si="457"/>
        <v>1</v>
      </c>
      <c r="Z1626">
        <f t="shared" si="458"/>
        <v>0</v>
      </c>
      <c r="AA1626">
        <f t="shared" si="459"/>
        <v>1</v>
      </c>
      <c r="AB1626">
        <f t="shared" si="460"/>
        <v>0</v>
      </c>
      <c r="AC1626">
        <f t="shared" si="461"/>
        <v>0</v>
      </c>
      <c r="AD1626">
        <f t="shared" si="462"/>
        <v>0</v>
      </c>
      <c r="AE1626">
        <f t="shared" si="463"/>
        <v>0</v>
      </c>
      <c r="AF1626">
        <f t="shared" si="464"/>
        <v>0</v>
      </c>
      <c r="AG1626">
        <f t="shared" si="465"/>
        <v>1</v>
      </c>
      <c r="AH1626">
        <f t="shared" si="466"/>
        <v>0</v>
      </c>
      <c r="AI1626">
        <f t="shared" si="467"/>
        <v>0</v>
      </c>
    </row>
    <row r="1627" spans="1:35" x14ac:dyDescent="0.2">
      <c r="A1627">
        <v>502</v>
      </c>
      <c r="B1627" t="s">
        <v>1398</v>
      </c>
      <c r="C1627">
        <v>5</v>
      </c>
      <c r="D1627" t="s">
        <v>4380</v>
      </c>
      <c r="E1627" t="s">
        <v>18</v>
      </c>
      <c r="F1627" t="s">
        <v>20</v>
      </c>
      <c r="G1627" t="s">
        <v>20</v>
      </c>
      <c r="H1627" t="s">
        <v>18</v>
      </c>
      <c r="I1627">
        <v>3</v>
      </c>
      <c r="J1627">
        <v>4</v>
      </c>
      <c r="K1627" t="s">
        <v>4381</v>
      </c>
      <c r="L1627" t="s">
        <v>194</v>
      </c>
      <c r="M1627" t="s">
        <v>161</v>
      </c>
      <c r="N1627" t="s">
        <v>215</v>
      </c>
      <c r="O1627" t="s">
        <v>4382</v>
      </c>
      <c r="P1627" t="s">
        <v>4383</v>
      </c>
      <c r="Q1627">
        <f t="shared" si="450"/>
        <v>4</v>
      </c>
      <c r="R1627">
        <f t="shared" si="451"/>
        <v>2</v>
      </c>
      <c r="S1627">
        <f t="shared" si="452"/>
        <v>2</v>
      </c>
      <c r="T1627">
        <f t="shared" si="453"/>
        <v>4</v>
      </c>
      <c r="U1627">
        <v>70</v>
      </c>
      <c r="V1627">
        <f t="shared" si="454"/>
        <v>0</v>
      </c>
      <c r="W1627">
        <f t="shared" si="455"/>
        <v>0</v>
      </c>
      <c r="X1627">
        <f t="shared" si="456"/>
        <v>0</v>
      </c>
      <c r="Y1627">
        <f t="shared" si="457"/>
        <v>1</v>
      </c>
      <c r="Z1627">
        <f t="shared" si="458"/>
        <v>1</v>
      </c>
      <c r="AA1627">
        <f t="shared" si="459"/>
        <v>1</v>
      </c>
      <c r="AB1627">
        <f t="shared" si="460"/>
        <v>1</v>
      </c>
      <c r="AC1627">
        <f t="shared" si="461"/>
        <v>1</v>
      </c>
      <c r="AD1627">
        <f t="shared" si="462"/>
        <v>1</v>
      </c>
      <c r="AE1627">
        <f t="shared" si="463"/>
        <v>0</v>
      </c>
      <c r="AF1627">
        <f t="shared" si="464"/>
        <v>1</v>
      </c>
      <c r="AG1627">
        <f t="shared" si="465"/>
        <v>0</v>
      </c>
      <c r="AH1627">
        <f t="shared" si="466"/>
        <v>0</v>
      </c>
      <c r="AI1627">
        <f t="shared" si="467"/>
        <v>0</v>
      </c>
    </row>
    <row r="1628" spans="1:35" x14ac:dyDescent="0.2">
      <c r="A1628">
        <v>503</v>
      </c>
      <c r="B1628" t="s">
        <v>1398</v>
      </c>
      <c r="C1628">
        <v>7</v>
      </c>
      <c r="D1628" t="s">
        <v>4384</v>
      </c>
      <c r="E1628" t="s">
        <v>19</v>
      </c>
      <c r="F1628" t="s">
        <v>19</v>
      </c>
      <c r="G1628" t="s">
        <v>19</v>
      </c>
      <c r="H1628" t="s">
        <v>18</v>
      </c>
      <c r="I1628">
        <v>3</v>
      </c>
      <c r="J1628">
        <v>6</v>
      </c>
      <c r="K1628" t="s">
        <v>4385</v>
      </c>
      <c r="L1628" t="s">
        <v>53</v>
      </c>
      <c r="M1628" t="s">
        <v>23</v>
      </c>
      <c r="N1628" t="s">
        <v>43</v>
      </c>
      <c r="O1628" t="s">
        <v>1419</v>
      </c>
      <c r="P1628" t="s">
        <v>4386</v>
      </c>
      <c r="Q1628">
        <f t="shared" si="450"/>
        <v>3</v>
      </c>
      <c r="R1628">
        <f t="shared" si="451"/>
        <v>3</v>
      </c>
      <c r="S1628">
        <f t="shared" si="452"/>
        <v>3</v>
      </c>
      <c r="T1628">
        <f t="shared" si="453"/>
        <v>4</v>
      </c>
      <c r="U1628">
        <v>20</v>
      </c>
      <c r="V1628">
        <f t="shared" si="454"/>
        <v>0</v>
      </c>
      <c r="W1628">
        <f t="shared" si="455"/>
        <v>0</v>
      </c>
      <c r="X1628">
        <f t="shared" si="456"/>
        <v>1</v>
      </c>
      <c r="Y1628">
        <f t="shared" si="457"/>
        <v>0</v>
      </c>
      <c r="Z1628">
        <f t="shared" si="458"/>
        <v>0</v>
      </c>
      <c r="AA1628">
        <f t="shared" si="459"/>
        <v>1</v>
      </c>
      <c r="AB1628">
        <f t="shared" si="460"/>
        <v>0</v>
      </c>
      <c r="AC1628">
        <f t="shared" si="461"/>
        <v>0</v>
      </c>
      <c r="AD1628">
        <f t="shared" si="462"/>
        <v>0</v>
      </c>
      <c r="AE1628">
        <f t="shared" si="463"/>
        <v>0</v>
      </c>
      <c r="AF1628">
        <f t="shared" si="464"/>
        <v>1</v>
      </c>
      <c r="AG1628">
        <f t="shared" si="465"/>
        <v>1</v>
      </c>
      <c r="AH1628">
        <f t="shared" si="466"/>
        <v>0</v>
      </c>
      <c r="AI1628">
        <f t="shared" si="467"/>
        <v>0</v>
      </c>
    </row>
    <row r="1629" spans="1:35" x14ac:dyDescent="0.2">
      <c r="A1629">
        <v>504</v>
      </c>
      <c r="B1629" t="s">
        <v>1398</v>
      </c>
      <c r="C1629">
        <v>2</v>
      </c>
      <c r="D1629" t="s">
        <v>3895</v>
      </c>
      <c r="E1629" t="s">
        <v>21</v>
      </c>
      <c r="F1629" t="s">
        <v>21</v>
      </c>
      <c r="G1629" t="s">
        <v>21</v>
      </c>
      <c r="H1629" t="s">
        <v>21</v>
      </c>
      <c r="I1629">
        <v>2</v>
      </c>
      <c r="J1629">
        <v>1</v>
      </c>
      <c r="K1629">
        <v>5</v>
      </c>
      <c r="L1629" t="s">
        <v>98</v>
      </c>
      <c r="M1629" t="s">
        <v>23</v>
      </c>
      <c r="N1629" t="s">
        <v>215</v>
      </c>
      <c r="O1629" t="s">
        <v>2512</v>
      </c>
      <c r="P1629" t="s">
        <v>4257</v>
      </c>
      <c r="Q1629">
        <f t="shared" si="450"/>
        <v>1</v>
      </c>
      <c r="R1629">
        <f t="shared" si="451"/>
        <v>1</v>
      </c>
      <c r="S1629">
        <f t="shared" si="452"/>
        <v>1</v>
      </c>
      <c r="T1629">
        <f t="shared" si="453"/>
        <v>1</v>
      </c>
      <c r="U1629">
        <v>5</v>
      </c>
      <c r="V1629">
        <f t="shared" si="454"/>
        <v>0</v>
      </c>
      <c r="W1629">
        <f t="shared" si="455"/>
        <v>1</v>
      </c>
      <c r="X1629">
        <f t="shared" si="456"/>
        <v>0</v>
      </c>
      <c r="Y1629">
        <f t="shared" si="457"/>
        <v>0</v>
      </c>
      <c r="Z1629">
        <f t="shared" si="458"/>
        <v>0</v>
      </c>
      <c r="AA1629">
        <f t="shared" si="459"/>
        <v>1</v>
      </c>
      <c r="AB1629">
        <f t="shared" si="460"/>
        <v>0</v>
      </c>
      <c r="AC1629">
        <f t="shared" si="461"/>
        <v>0</v>
      </c>
      <c r="AD1629">
        <f t="shared" si="462"/>
        <v>0</v>
      </c>
      <c r="AE1629">
        <f t="shared" si="463"/>
        <v>0</v>
      </c>
      <c r="AF1629">
        <f t="shared" si="464"/>
        <v>1</v>
      </c>
      <c r="AG1629">
        <f t="shared" si="465"/>
        <v>0</v>
      </c>
      <c r="AH1629">
        <f t="shared" si="466"/>
        <v>0</v>
      </c>
      <c r="AI1629">
        <f t="shared" si="467"/>
        <v>0</v>
      </c>
    </row>
    <row r="1630" spans="1:35" x14ac:dyDescent="0.2">
      <c r="A1630">
        <v>505</v>
      </c>
      <c r="B1630" t="s">
        <v>1398</v>
      </c>
      <c r="C1630">
        <v>7</v>
      </c>
      <c r="D1630" t="s">
        <v>4387</v>
      </c>
      <c r="E1630" t="s">
        <v>21</v>
      </c>
      <c r="F1630" t="s">
        <v>39</v>
      </c>
      <c r="G1630" t="s">
        <v>39</v>
      </c>
      <c r="H1630" t="s">
        <v>21</v>
      </c>
      <c r="I1630">
        <v>1</v>
      </c>
      <c r="J1630">
        <v>1</v>
      </c>
      <c r="K1630">
        <v>100</v>
      </c>
      <c r="L1630" t="s">
        <v>79</v>
      </c>
      <c r="M1630" t="s">
        <v>115</v>
      </c>
      <c r="N1630" t="s">
        <v>215</v>
      </c>
      <c r="O1630" t="s">
        <v>1419</v>
      </c>
      <c r="P1630" t="s">
        <v>4388</v>
      </c>
      <c r="Q1630">
        <f t="shared" si="450"/>
        <v>1</v>
      </c>
      <c r="R1630">
        <f t="shared" si="451"/>
        <v>5</v>
      </c>
      <c r="S1630">
        <f t="shared" si="452"/>
        <v>5</v>
      </c>
      <c r="T1630">
        <f t="shared" si="453"/>
        <v>1</v>
      </c>
      <c r="U1630">
        <v>100</v>
      </c>
      <c r="V1630">
        <f t="shared" si="454"/>
        <v>0</v>
      </c>
      <c r="W1630">
        <f t="shared" si="455"/>
        <v>1</v>
      </c>
      <c r="X1630">
        <f t="shared" si="456"/>
        <v>0</v>
      </c>
      <c r="Y1630">
        <f t="shared" si="457"/>
        <v>0</v>
      </c>
      <c r="Z1630">
        <f t="shared" si="458"/>
        <v>1</v>
      </c>
      <c r="AA1630">
        <f t="shared" si="459"/>
        <v>0</v>
      </c>
      <c r="AB1630">
        <f t="shared" si="460"/>
        <v>0</v>
      </c>
      <c r="AC1630">
        <f t="shared" si="461"/>
        <v>1</v>
      </c>
      <c r="AD1630">
        <f t="shared" si="462"/>
        <v>0</v>
      </c>
      <c r="AE1630">
        <f t="shared" si="463"/>
        <v>0</v>
      </c>
      <c r="AF1630">
        <f t="shared" si="464"/>
        <v>1</v>
      </c>
      <c r="AG1630">
        <f t="shared" si="465"/>
        <v>0</v>
      </c>
      <c r="AH1630">
        <f t="shared" si="466"/>
        <v>0</v>
      </c>
      <c r="AI1630">
        <f t="shared" si="467"/>
        <v>0</v>
      </c>
    </row>
    <row r="1631" spans="1:35" x14ac:dyDescent="0.2">
      <c r="A1631">
        <v>506</v>
      </c>
      <c r="B1631" t="s">
        <v>1398</v>
      </c>
      <c r="C1631">
        <v>5</v>
      </c>
      <c r="D1631" t="s">
        <v>4389</v>
      </c>
      <c r="E1631" t="s">
        <v>20</v>
      </c>
      <c r="F1631" t="s">
        <v>18</v>
      </c>
      <c r="G1631" t="s">
        <v>18</v>
      </c>
      <c r="H1631" t="s">
        <v>20</v>
      </c>
      <c r="I1631">
        <v>2</v>
      </c>
      <c r="J1631">
        <v>1</v>
      </c>
      <c r="K1631">
        <v>100</v>
      </c>
      <c r="L1631" t="s">
        <v>443</v>
      </c>
      <c r="M1631" t="s">
        <v>280</v>
      </c>
      <c r="N1631" t="s">
        <v>215</v>
      </c>
      <c r="O1631" t="s">
        <v>4390</v>
      </c>
      <c r="P1631" t="s">
        <v>4391</v>
      </c>
      <c r="Q1631">
        <f t="shared" si="450"/>
        <v>2</v>
      </c>
      <c r="R1631">
        <f t="shared" si="451"/>
        <v>4</v>
      </c>
      <c r="S1631">
        <f t="shared" si="452"/>
        <v>4</v>
      </c>
      <c r="T1631">
        <f t="shared" si="453"/>
        <v>2</v>
      </c>
      <c r="U1631">
        <v>100</v>
      </c>
      <c r="V1631">
        <f t="shared" si="454"/>
        <v>1</v>
      </c>
      <c r="W1631">
        <f t="shared" si="455"/>
        <v>0</v>
      </c>
      <c r="X1631">
        <f t="shared" si="456"/>
        <v>0</v>
      </c>
      <c r="Y1631">
        <f t="shared" si="457"/>
        <v>1</v>
      </c>
      <c r="Z1631">
        <f t="shared" si="458"/>
        <v>1</v>
      </c>
      <c r="AA1631">
        <f t="shared" si="459"/>
        <v>0</v>
      </c>
      <c r="AB1631">
        <f t="shared" si="460"/>
        <v>1</v>
      </c>
      <c r="AC1631">
        <f t="shared" si="461"/>
        <v>1</v>
      </c>
      <c r="AD1631">
        <f t="shared" si="462"/>
        <v>1</v>
      </c>
      <c r="AE1631">
        <f t="shared" si="463"/>
        <v>0</v>
      </c>
      <c r="AF1631">
        <f t="shared" si="464"/>
        <v>1</v>
      </c>
      <c r="AG1631">
        <f t="shared" si="465"/>
        <v>0</v>
      </c>
      <c r="AH1631">
        <f t="shared" si="466"/>
        <v>0</v>
      </c>
      <c r="AI1631">
        <f t="shared" si="467"/>
        <v>0</v>
      </c>
    </row>
    <row r="1632" spans="1:35" x14ac:dyDescent="0.2">
      <c r="A1632">
        <v>507</v>
      </c>
      <c r="B1632" t="s">
        <v>1398</v>
      </c>
      <c r="C1632">
        <v>4</v>
      </c>
      <c r="D1632" t="s">
        <v>4392</v>
      </c>
      <c r="E1632" t="s">
        <v>21</v>
      </c>
      <c r="F1632" t="s">
        <v>39</v>
      </c>
      <c r="G1632" t="s">
        <v>39</v>
      </c>
      <c r="H1632" t="s">
        <v>21</v>
      </c>
      <c r="I1632">
        <v>5</v>
      </c>
      <c r="J1632">
        <v>3</v>
      </c>
      <c r="K1632" t="s">
        <v>4393</v>
      </c>
      <c r="L1632" t="s">
        <v>714</v>
      </c>
      <c r="M1632" t="s">
        <v>154</v>
      </c>
      <c r="N1632" t="s">
        <v>43</v>
      </c>
      <c r="O1632" t="s">
        <v>4394</v>
      </c>
      <c r="P1632" t="s">
        <v>4395</v>
      </c>
      <c r="Q1632">
        <f t="shared" si="450"/>
        <v>1</v>
      </c>
      <c r="R1632">
        <f t="shared" si="451"/>
        <v>5</v>
      </c>
      <c r="S1632">
        <f t="shared" si="452"/>
        <v>5</v>
      </c>
      <c r="T1632">
        <f t="shared" si="453"/>
        <v>1</v>
      </c>
      <c r="U1632">
        <v>367</v>
      </c>
      <c r="V1632">
        <f t="shared" si="454"/>
        <v>0</v>
      </c>
      <c r="W1632">
        <f t="shared" si="455"/>
        <v>0</v>
      </c>
      <c r="X1632">
        <f t="shared" si="456"/>
        <v>1</v>
      </c>
      <c r="Y1632">
        <f t="shared" si="457"/>
        <v>1</v>
      </c>
      <c r="Z1632">
        <f t="shared" si="458"/>
        <v>1</v>
      </c>
      <c r="AA1632">
        <f t="shared" si="459"/>
        <v>1</v>
      </c>
      <c r="AB1632">
        <f t="shared" si="460"/>
        <v>0</v>
      </c>
      <c r="AC1632">
        <f t="shared" si="461"/>
        <v>1</v>
      </c>
      <c r="AD1632">
        <f t="shared" si="462"/>
        <v>0</v>
      </c>
      <c r="AE1632">
        <f t="shared" si="463"/>
        <v>0</v>
      </c>
      <c r="AF1632">
        <f t="shared" si="464"/>
        <v>1</v>
      </c>
      <c r="AG1632">
        <f t="shared" si="465"/>
        <v>1</v>
      </c>
      <c r="AH1632">
        <f t="shared" si="466"/>
        <v>0</v>
      </c>
      <c r="AI1632">
        <f t="shared" si="467"/>
        <v>0</v>
      </c>
    </row>
    <row r="1633" spans="1:35" x14ac:dyDescent="0.2">
      <c r="A1633">
        <v>508</v>
      </c>
      <c r="B1633" t="s">
        <v>1398</v>
      </c>
      <c r="C1633">
        <v>8</v>
      </c>
      <c r="D1633" t="s">
        <v>4396</v>
      </c>
      <c r="E1633" t="s">
        <v>21</v>
      </c>
      <c r="F1633" t="s">
        <v>39</v>
      </c>
      <c r="G1633" t="s">
        <v>39</v>
      </c>
      <c r="H1633" t="s">
        <v>21</v>
      </c>
      <c r="I1633">
        <v>7</v>
      </c>
      <c r="J1633">
        <v>3</v>
      </c>
      <c r="K1633">
        <v>400</v>
      </c>
      <c r="L1633" t="s">
        <v>1609</v>
      </c>
      <c r="M1633" t="s">
        <v>48</v>
      </c>
      <c r="N1633" t="s">
        <v>84</v>
      </c>
      <c r="O1633" t="s">
        <v>4397</v>
      </c>
      <c r="P1633" t="s">
        <v>4398</v>
      </c>
      <c r="Q1633">
        <f t="shared" si="450"/>
        <v>1</v>
      </c>
      <c r="R1633">
        <f t="shared" si="451"/>
        <v>5</v>
      </c>
      <c r="S1633">
        <f t="shared" si="452"/>
        <v>5</v>
      </c>
      <c r="T1633">
        <f t="shared" si="453"/>
        <v>1</v>
      </c>
      <c r="U1633">
        <v>400</v>
      </c>
      <c r="V1633">
        <f t="shared" si="454"/>
        <v>1</v>
      </c>
      <c r="W1633">
        <f t="shared" si="455"/>
        <v>1</v>
      </c>
      <c r="X1633">
        <f t="shared" si="456"/>
        <v>0</v>
      </c>
      <c r="Y1633">
        <f t="shared" si="457"/>
        <v>1</v>
      </c>
      <c r="Z1633">
        <f t="shared" si="458"/>
        <v>0</v>
      </c>
      <c r="AA1633">
        <f t="shared" si="459"/>
        <v>1</v>
      </c>
      <c r="AB1633">
        <f t="shared" si="460"/>
        <v>1</v>
      </c>
      <c r="AC1633">
        <f t="shared" si="461"/>
        <v>1</v>
      </c>
      <c r="AD1633">
        <f t="shared" si="462"/>
        <v>0</v>
      </c>
      <c r="AE1633">
        <f t="shared" si="463"/>
        <v>0</v>
      </c>
      <c r="AF1633">
        <f t="shared" si="464"/>
        <v>0</v>
      </c>
      <c r="AG1633">
        <f t="shared" si="465"/>
        <v>1</v>
      </c>
      <c r="AH1633">
        <f t="shared" si="466"/>
        <v>0</v>
      </c>
      <c r="AI1633">
        <f t="shared" si="467"/>
        <v>0</v>
      </c>
    </row>
    <row r="1634" spans="1:35" x14ac:dyDescent="0.2">
      <c r="A1634">
        <v>509</v>
      </c>
      <c r="B1634" t="s">
        <v>1398</v>
      </c>
      <c r="C1634">
        <v>8</v>
      </c>
      <c r="D1634" t="s">
        <v>4399</v>
      </c>
      <c r="E1634" t="s">
        <v>39</v>
      </c>
      <c r="F1634" t="s">
        <v>18</v>
      </c>
      <c r="G1634" t="s">
        <v>39</v>
      </c>
      <c r="H1634" t="s">
        <v>21</v>
      </c>
      <c r="I1634">
        <v>3</v>
      </c>
      <c r="J1634">
        <v>6</v>
      </c>
      <c r="K1634">
        <v>50</v>
      </c>
      <c r="L1634" t="s">
        <v>276</v>
      </c>
      <c r="M1634" t="s">
        <v>1354</v>
      </c>
      <c r="N1634" t="s">
        <v>43</v>
      </c>
      <c r="O1634" t="s">
        <v>4400</v>
      </c>
      <c r="P1634" t="s">
        <v>4401</v>
      </c>
      <c r="Q1634">
        <f t="shared" si="450"/>
        <v>5</v>
      </c>
      <c r="R1634">
        <f t="shared" si="451"/>
        <v>4</v>
      </c>
      <c r="S1634">
        <f t="shared" si="452"/>
        <v>5</v>
      </c>
      <c r="T1634">
        <f t="shared" si="453"/>
        <v>1</v>
      </c>
      <c r="U1634">
        <v>50</v>
      </c>
      <c r="V1634">
        <f t="shared" si="454"/>
        <v>1</v>
      </c>
      <c r="W1634">
        <f t="shared" si="455"/>
        <v>1</v>
      </c>
      <c r="X1634">
        <f t="shared" si="456"/>
        <v>0</v>
      </c>
      <c r="Y1634">
        <f t="shared" si="457"/>
        <v>1</v>
      </c>
      <c r="Z1634">
        <f t="shared" si="458"/>
        <v>1</v>
      </c>
      <c r="AA1634">
        <f t="shared" si="459"/>
        <v>0</v>
      </c>
      <c r="AB1634">
        <f t="shared" si="460"/>
        <v>1</v>
      </c>
      <c r="AC1634">
        <f t="shared" si="461"/>
        <v>1</v>
      </c>
      <c r="AD1634">
        <f t="shared" si="462"/>
        <v>0</v>
      </c>
      <c r="AE1634">
        <f t="shared" si="463"/>
        <v>1</v>
      </c>
      <c r="AF1634">
        <f t="shared" si="464"/>
        <v>1</v>
      </c>
      <c r="AG1634">
        <f t="shared" si="465"/>
        <v>1</v>
      </c>
      <c r="AH1634">
        <f t="shared" si="466"/>
        <v>0</v>
      </c>
      <c r="AI1634">
        <f t="shared" si="467"/>
        <v>0</v>
      </c>
    </row>
    <row r="1635" spans="1:35" x14ac:dyDescent="0.2">
      <c r="A1635">
        <v>510</v>
      </c>
      <c r="B1635" t="s">
        <v>1398</v>
      </c>
      <c r="C1635">
        <v>9</v>
      </c>
      <c r="D1635" t="s">
        <v>1418</v>
      </c>
      <c r="E1635" t="s">
        <v>21</v>
      </c>
      <c r="F1635" t="s">
        <v>39</v>
      </c>
      <c r="G1635" t="s">
        <v>39</v>
      </c>
      <c r="H1635" t="s">
        <v>21</v>
      </c>
      <c r="I1635">
        <v>5</v>
      </c>
      <c r="J1635">
        <v>4</v>
      </c>
      <c r="K1635">
        <v>150</v>
      </c>
      <c r="L1635" t="s">
        <v>601</v>
      </c>
      <c r="M1635" t="s">
        <v>468</v>
      </c>
      <c r="N1635" t="s">
        <v>43</v>
      </c>
      <c r="O1635" t="s">
        <v>4402</v>
      </c>
      <c r="P1635" t="s">
        <v>4403</v>
      </c>
      <c r="Q1635">
        <f t="shared" si="450"/>
        <v>1</v>
      </c>
      <c r="R1635">
        <f t="shared" si="451"/>
        <v>5</v>
      </c>
      <c r="S1635">
        <f t="shared" si="452"/>
        <v>5</v>
      </c>
      <c r="T1635">
        <f t="shared" si="453"/>
        <v>1</v>
      </c>
      <c r="U1635">
        <v>150</v>
      </c>
      <c r="V1635">
        <f t="shared" si="454"/>
        <v>0</v>
      </c>
      <c r="W1635">
        <f t="shared" si="455"/>
        <v>1</v>
      </c>
      <c r="X1635">
        <f t="shared" si="456"/>
        <v>0</v>
      </c>
      <c r="Y1635">
        <f t="shared" si="457"/>
        <v>1</v>
      </c>
      <c r="Z1635">
        <f t="shared" si="458"/>
        <v>1</v>
      </c>
      <c r="AA1635">
        <f t="shared" si="459"/>
        <v>1</v>
      </c>
      <c r="AB1635">
        <f t="shared" si="460"/>
        <v>1</v>
      </c>
      <c r="AC1635">
        <f t="shared" si="461"/>
        <v>1</v>
      </c>
      <c r="AD1635">
        <f t="shared" si="462"/>
        <v>1</v>
      </c>
      <c r="AE1635">
        <f t="shared" si="463"/>
        <v>1</v>
      </c>
      <c r="AF1635">
        <f t="shared" si="464"/>
        <v>1</v>
      </c>
      <c r="AG1635">
        <f t="shared" si="465"/>
        <v>1</v>
      </c>
      <c r="AH1635">
        <f t="shared" si="466"/>
        <v>0</v>
      </c>
      <c r="AI1635">
        <f t="shared" si="467"/>
        <v>0</v>
      </c>
    </row>
    <row r="1636" spans="1:35" x14ac:dyDescent="0.2">
      <c r="A1636">
        <v>511</v>
      </c>
      <c r="B1636" t="s">
        <v>1398</v>
      </c>
      <c r="C1636">
        <v>6</v>
      </c>
      <c r="D1636" t="s">
        <v>4404</v>
      </c>
      <c r="E1636" t="s">
        <v>20</v>
      </c>
      <c r="F1636" t="s">
        <v>18</v>
      </c>
      <c r="G1636" t="s">
        <v>18</v>
      </c>
      <c r="H1636" t="s">
        <v>20</v>
      </c>
      <c r="I1636">
        <v>2</v>
      </c>
      <c r="J1636">
        <v>2</v>
      </c>
      <c r="K1636" t="s">
        <v>4405</v>
      </c>
      <c r="L1636" t="s">
        <v>70</v>
      </c>
      <c r="M1636" t="s">
        <v>115</v>
      </c>
      <c r="N1636" t="s">
        <v>215</v>
      </c>
      <c r="O1636" t="s">
        <v>3771</v>
      </c>
      <c r="P1636" t="s">
        <v>4406</v>
      </c>
      <c r="Q1636">
        <f t="shared" si="450"/>
        <v>2</v>
      </c>
      <c r="R1636">
        <f t="shared" si="451"/>
        <v>4</v>
      </c>
      <c r="S1636">
        <f t="shared" si="452"/>
        <v>4</v>
      </c>
      <c r="T1636">
        <f t="shared" si="453"/>
        <v>2</v>
      </c>
      <c r="U1636">
        <v>350000000</v>
      </c>
      <c r="V1636">
        <f t="shared" si="454"/>
        <v>0</v>
      </c>
      <c r="W1636">
        <f t="shared" si="455"/>
        <v>0</v>
      </c>
      <c r="X1636">
        <f t="shared" si="456"/>
        <v>0</v>
      </c>
      <c r="Y1636">
        <f t="shared" si="457"/>
        <v>1</v>
      </c>
      <c r="Z1636">
        <f t="shared" si="458"/>
        <v>0</v>
      </c>
      <c r="AA1636">
        <f t="shared" si="459"/>
        <v>0</v>
      </c>
      <c r="AB1636">
        <f t="shared" si="460"/>
        <v>0</v>
      </c>
      <c r="AC1636">
        <f t="shared" si="461"/>
        <v>1</v>
      </c>
      <c r="AD1636">
        <f t="shared" si="462"/>
        <v>0</v>
      </c>
      <c r="AE1636">
        <f t="shared" si="463"/>
        <v>0</v>
      </c>
      <c r="AF1636">
        <f t="shared" si="464"/>
        <v>1</v>
      </c>
      <c r="AG1636">
        <f t="shared" si="465"/>
        <v>0</v>
      </c>
      <c r="AH1636">
        <f t="shared" si="466"/>
        <v>0</v>
      </c>
      <c r="AI1636">
        <f t="shared" si="467"/>
        <v>0</v>
      </c>
    </row>
    <row r="1637" spans="1:35" x14ac:dyDescent="0.2">
      <c r="A1637">
        <v>512</v>
      </c>
      <c r="B1637" t="s">
        <v>1398</v>
      </c>
      <c r="C1637">
        <v>6</v>
      </c>
      <c r="D1637" t="s">
        <v>4407</v>
      </c>
      <c r="E1637" t="s">
        <v>21</v>
      </c>
      <c r="F1637" t="s">
        <v>18</v>
      </c>
      <c r="G1637" t="s">
        <v>39</v>
      </c>
      <c r="H1637" t="s">
        <v>21</v>
      </c>
      <c r="I1637">
        <v>2</v>
      </c>
      <c r="J1637">
        <v>2</v>
      </c>
      <c r="K1637">
        <v>50</v>
      </c>
      <c r="L1637" t="s">
        <v>41</v>
      </c>
      <c r="M1637" t="s">
        <v>23</v>
      </c>
      <c r="N1637" t="s">
        <v>84</v>
      </c>
      <c r="O1637" t="s">
        <v>4408</v>
      </c>
      <c r="P1637" t="s">
        <v>4409</v>
      </c>
      <c r="Q1637">
        <f t="shared" si="450"/>
        <v>1</v>
      </c>
      <c r="R1637">
        <f t="shared" si="451"/>
        <v>4</v>
      </c>
      <c r="S1637">
        <f t="shared" si="452"/>
        <v>5</v>
      </c>
      <c r="T1637">
        <f t="shared" si="453"/>
        <v>1</v>
      </c>
      <c r="U1637">
        <v>50</v>
      </c>
      <c r="V1637">
        <f t="shared" si="454"/>
        <v>0</v>
      </c>
      <c r="W1637">
        <f t="shared" si="455"/>
        <v>0</v>
      </c>
      <c r="X1637">
        <f t="shared" si="456"/>
        <v>0</v>
      </c>
      <c r="Y1637">
        <f t="shared" si="457"/>
        <v>0</v>
      </c>
      <c r="Z1637">
        <f t="shared" si="458"/>
        <v>1</v>
      </c>
      <c r="AA1637">
        <f t="shared" si="459"/>
        <v>1</v>
      </c>
      <c r="AB1637">
        <f t="shared" si="460"/>
        <v>0</v>
      </c>
      <c r="AC1637">
        <f t="shared" si="461"/>
        <v>0</v>
      </c>
      <c r="AD1637">
        <f t="shared" si="462"/>
        <v>0</v>
      </c>
      <c r="AE1637">
        <f t="shared" si="463"/>
        <v>0</v>
      </c>
      <c r="AF1637">
        <f t="shared" si="464"/>
        <v>0</v>
      </c>
      <c r="AG1637">
        <f t="shared" si="465"/>
        <v>1</v>
      </c>
      <c r="AH1637">
        <f t="shared" si="466"/>
        <v>0</v>
      </c>
      <c r="AI1637">
        <f t="shared" si="467"/>
        <v>0</v>
      </c>
    </row>
    <row r="1638" spans="1:35" ht="68" x14ac:dyDescent="0.2">
      <c r="A1638">
        <v>513</v>
      </c>
      <c r="B1638" t="s">
        <v>1398</v>
      </c>
      <c r="C1638">
        <v>4</v>
      </c>
      <c r="D1638" t="s">
        <v>4410</v>
      </c>
      <c r="E1638" t="s">
        <v>20</v>
      </c>
      <c r="F1638" t="s">
        <v>19</v>
      </c>
      <c r="G1638" t="s">
        <v>18</v>
      </c>
      <c r="H1638" t="s">
        <v>21</v>
      </c>
      <c r="I1638">
        <v>1</v>
      </c>
      <c r="J1638">
        <v>2</v>
      </c>
      <c r="K1638" t="s">
        <v>2772</v>
      </c>
      <c r="L1638" t="s">
        <v>70</v>
      </c>
      <c r="M1638" t="s">
        <v>23</v>
      </c>
      <c r="N1638" t="s">
        <v>84</v>
      </c>
      <c r="O1638" s="3" t="s">
        <v>4411</v>
      </c>
      <c r="P1638" t="s">
        <v>4412</v>
      </c>
      <c r="Q1638">
        <f t="shared" si="450"/>
        <v>2</v>
      </c>
      <c r="R1638">
        <f t="shared" si="451"/>
        <v>3</v>
      </c>
      <c r="S1638">
        <f t="shared" si="452"/>
        <v>4</v>
      </c>
      <c r="T1638">
        <f t="shared" si="453"/>
        <v>1</v>
      </c>
      <c r="U1638">
        <v>100</v>
      </c>
      <c r="V1638">
        <f t="shared" si="454"/>
        <v>0</v>
      </c>
      <c r="W1638">
        <f t="shared" si="455"/>
        <v>0</v>
      </c>
      <c r="X1638">
        <f t="shared" si="456"/>
        <v>0</v>
      </c>
      <c r="Y1638">
        <f t="shared" si="457"/>
        <v>1</v>
      </c>
      <c r="Z1638">
        <f t="shared" si="458"/>
        <v>0</v>
      </c>
      <c r="AA1638">
        <f t="shared" si="459"/>
        <v>1</v>
      </c>
      <c r="AB1638">
        <f t="shared" si="460"/>
        <v>0</v>
      </c>
      <c r="AC1638">
        <f t="shared" si="461"/>
        <v>0</v>
      </c>
      <c r="AD1638">
        <f t="shared" si="462"/>
        <v>0</v>
      </c>
      <c r="AE1638">
        <f t="shared" si="463"/>
        <v>0</v>
      </c>
      <c r="AF1638">
        <f t="shared" si="464"/>
        <v>0</v>
      </c>
      <c r="AG1638">
        <f t="shared" si="465"/>
        <v>1</v>
      </c>
      <c r="AH1638">
        <f t="shared" si="466"/>
        <v>0</v>
      </c>
      <c r="AI1638">
        <f t="shared" si="467"/>
        <v>0</v>
      </c>
    </row>
    <row r="1639" spans="1:35" x14ac:dyDescent="0.2">
      <c r="A1639">
        <v>514</v>
      </c>
      <c r="B1639" t="s">
        <v>1398</v>
      </c>
      <c r="C1639">
        <v>2</v>
      </c>
      <c r="D1639" t="s">
        <v>4413</v>
      </c>
      <c r="E1639" t="s">
        <v>18</v>
      </c>
      <c r="F1639" t="s">
        <v>18</v>
      </c>
      <c r="G1639" t="s">
        <v>21</v>
      </c>
      <c r="H1639" t="s">
        <v>18</v>
      </c>
      <c r="I1639">
        <v>1</v>
      </c>
      <c r="J1639">
        <v>2</v>
      </c>
      <c r="K1639">
        <v>30</v>
      </c>
      <c r="L1639" t="s">
        <v>98</v>
      </c>
      <c r="M1639" t="s">
        <v>219</v>
      </c>
      <c r="N1639" t="s">
        <v>84</v>
      </c>
      <c r="O1639" t="s">
        <v>4414</v>
      </c>
      <c r="P1639" t="s">
        <v>4415</v>
      </c>
      <c r="Q1639">
        <f t="shared" si="450"/>
        <v>4</v>
      </c>
      <c r="R1639">
        <f t="shared" si="451"/>
        <v>4</v>
      </c>
      <c r="S1639">
        <f t="shared" si="452"/>
        <v>1</v>
      </c>
      <c r="T1639">
        <f t="shared" si="453"/>
        <v>4</v>
      </c>
      <c r="U1639">
        <v>30</v>
      </c>
      <c r="V1639">
        <f t="shared" si="454"/>
        <v>0</v>
      </c>
      <c r="W1639">
        <f t="shared" si="455"/>
        <v>1</v>
      </c>
      <c r="X1639">
        <f t="shared" si="456"/>
        <v>0</v>
      </c>
      <c r="Y1639">
        <f t="shared" si="457"/>
        <v>0</v>
      </c>
      <c r="Z1639">
        <f t="shared" si="458"/>
        <v>0</v>
      </c>
      <c r="AA1639">
        <f t="shared" si="459"/>
        <v>0</v>
      </c>
      <c r="AB1639">
        <f t="shared" si="460"/>
        <v>0</v>
      </c>
      <c r="AC1639">
        <f t="shared" si="461"/>
        <v>0</v>
      </c>
      <c r="AD1639">
        <f t="shared" si="462"/>
        <v>0</v>
      </c>
      <c r="AE1639">
        <f t="shared" si="463"/>
        <v>1</v>
      </c>
      <c r="AF1639">
        <f t="shared" si="464"/>
        <v>0</v>
      </c>
      <c r="AG1639">
        <f t="shared" si="465"/>
        <v>1</v>
      </c>
      <c r="AH1639">
        <f t="shared" si="466"/>
        <v>0</v>
      </c>
      <c r="AI1639">
        <f t="shared" si="467"/>
        <v>0</v>
      </c>
    </row>
    <row r="1640" spans="1:35" x14ac:dyDescent="0.2">
      <c r="A1640">
        <v>515</v>
      </c>
      <c r="B1640" t="s">
        <v>1398</v>
      </c>
      <c r="C1640">
        <v>8</v>
      </c>
      <c r="D1640" t="s">
        <v>4416</v>
      </c>
      <c r="E1640" t="s">
        <v>21</v>
      </c>
      <c r="F1640" t="s">
        <v>39</v>
      </c>
      <c r="G1640" t="s">
        <v>39</v>
      </c>
      <c r="H1640" t="s">
        <v>21</v>
      </c>
      <c r="I1640">
        <v>4</v>
      </c>
      <c r="J1640">
        <v>1</v>
      </c>
      <c r="K1640" s="1">
        <v>300</v>
      </c>
      <c r="L1640" t="s">
        <v>70</v>
      </c>
      <c r="M1640" t="s">
        <v>48</v>
      </c>
      <c r="N1640" t="s">
        <v>84</v>
      </c>
      <c r="O1640" t="s">
        <v>4417</v>
      </c>
      <c r="P1640" t="s">
        <v>4418</v>
      </c>
      <c r="Q1640">
        <f t="shared" si="450"/>
        <v>1</v>
      </c>
      <c r="R1640">
        <f t="shared" si="451"/>
        <v>5</v>
      </c>
      <c r="S1640">
        <f t="shared" si="452"/>
        <v>5</v>
      </c>
      <c r="T1640">
        <f t="shared" si="453"/>
        <v>1</v>
      </c>
      <c r="U1640">
        <v>300</v>
      </c>
      <c r="V1640">
        <f t="shared" si="454"/>
        <v>0</v>
      </c>
      <c r="W1640">
        <f t="shared" si="455"/>
        <v>0</v>
      </c>
      <c r="X1640">
        <f t="shared" si="456"/>
        <v>0</v>
      </c>
      <c r="Y1640">
        <f t="shared" si="457"/>
        <v>1</v>
      </c>
      <c r="Z1640">
        <f t="shared" si="458"/>
        <v>0</v>
      </c>
      <c r="AA1640">
        <f t="shared" si="459"/>
        <v>1</v>
      </c>
      <c r="AB1640">
        <f t="shared" si="460"/>
        <v>1</v>
      </c>
      <c r="AC1640">
        <f t="shared" si="461"/>
        <v>1</v>
      </c>
      <c r="AD1640">
        <f t="shared" si="462"/>
        <v>0</v>
      </c>
      <c r="AE1640">
        <f t="shared" si="463"/>
        <v>0</v>
      </c>
      <c r="AF1640">
        <f t="shared" si="464"/>
        <v>0</v>
      </c>
      <c r="AG1640">
        <f t="shared" si="465"/>
        <v>1</v>
      </c>
      <c r="AH1640">
        <f t="shared" si="466"/>
        <v>0</v>
      </c>
      <c r="AI1640">
        <f t="shared" si="467"/>
        <v>0</v>
      </c>
    </row>
    <row r="1641" spans="1:35" x14ac:dyDescent="0.2">
      <c r="A1641">
        <v>516</v>
      </c>
      <c r="B1641" t="s">
        <v>1398</v>
      </c>
      <c r="C1641">
        <v>8</v>
      </c>
      <c r="D1641" t="s">
        <v>4419</v>
      </c>
      <c r="E1641" t="s">
        <v>21</v>
      </c>
      <c r="F1641" t="s">
        <v>39</v>
      </c>
      <c r="G1641" t="s">
        <v>39</v>
      </c>
      <c r="H1641" t="s">
        <v>21</v>
      </c>
      <c r="I1641">
        <v>5</v>
      </c>
      <c r="J1641">
        <v>10</v>
      </c>
      <c r="K1641" s="1">
        <v>50</v>
      </c>
      <c r="L1641" t="s">
        <v>601</v>
      </c>
      <c r="M1641" t="s">
        <v>48</v>
      </c>
      <c r="N1641" t="s">
        <v>215</v>
      </c>
      <c r="O1641" t="s">
        <v>4420</v>
      </c>
      <c r="P1641" t="s">
        <v>4421</v>
      </c>
      <c r="Q1641">
        <f t="shared" si="450"/>
        <v>1</v>
      </c>
      <c r="R1641">
        <f t="shared" si="451"/>
        <v>5</v>
      </c>
      <c r="S1641">
        <f t="shared" si="452"/>
        <v>5</v>
      </c>
      <c r="T1641">
        <f t="shared" si="453"/>
        <v>1</v>
      </c>
      <c r="U1641">
        <v>50</v>
      </c>
      <c r="V1641">
        <f t="shared" si="454"/>
        <v>0</v>
      </c>
      <c r="W1641">
        <f t="shared" si="455"/>
        <v>1</v>
      </c>
      <c r="X1641">
        <f t="shared" si="456"/>
        <v>0</v>
      </c>
      <c r="Y1641">
        <f t="shared" si="457"/>
        <v>1</v>
      </c>
      <c r="Z1641">
        <f t="shared" si="458"/>
        <v>1</v>
      </c>
      <c r="AA1641">
        <f t="shared" si="459"/>
        <v>1</v>
      </c>
      <c r="AB1641">
        <f t="shared" si="460"/>
        <v>1</v>
      </c>
      <c r="AC1641">
        <f t="shared" si="461"/>
        <v>1</v>
      </c>
      <c r="AD1641">
        <f t="shared" si="462"/>
        <v>0</v>
      </c>
      <c r="AE1641">
        <f t="shared" si="463"/>
        <v>0</v>
      </c>
      <c r="AF1641">
        <f t="shared" si="464"/>
        <v>1</v>
      </c>
      <c r="AG1641">
        <f t="shared" si="465"/>
        <v>0</v>
      </c>
      <c r="AH1641">
        <f t="shared" si="466"/>
        <v>0</v>
      </c>
      <c r="AI1641">
        <f t="shared" si="467"/>
        <v>0</v>
      </c>
    </row>
    <row r="1642" spans="1:35" x14ac:dyDescent="0.2">
      <c r="A1642">
        <v>517</v>
      </c>
      <c r="B1642" t="s">
        <v>1398</v>
      </c>
      <c r="C1642">
        <v>2</v>
      </c>
      <c r="D1642" t="s">
        <v>4422</v>
      </c>
      <c r="E1642" t="s">
        <v>18</v>
      </c>
      <c r="F1642" t="s">
        <v>18</v>
      </c>
      <c r="G1642" t="s">
        <v>39</v>
      </c>
      <c r="H1642" t="s">
        <v>21</v>
      </c>
      <c r="I1642">
        <v>2</v>
      </c>
      <c r="J1642">
        <v>1</v>
      </c>
      <c r="K1642">
        <v>5</v>
      </c>
      <c r="L1642" t="s">
        <v>79</v>
      </c>
      <c r="M1642" t="s">
        <v>23</v>
      </c>
      <c r="N1642" t="s">
        <v>84</v>
      </c>
      <c r="O1642" t="s">
        <v>909</v>
      </c>
      <c r="P1642" t="s">
        <v>4423</v>
      </c>
      <c r="Q1642">
        <f t="shared" si="450"/>
        <v>4</v>
      </c>
      <c r="R1642">
        <f t="shared" si="451"/>
        <v>4</v>
      </c>
      <c r="S1642">
        <f t="shared" si="452"/>
        <v>5</v>
      </c>
      <c r="T1642">
        <f t="shared" si="453"/>
        <v>1</v>
      </c>
      <c r="U1642">
        <v>5</v>
      </c>
      <c r="V1642">
        <f t="shared" si="454"/>
        <v>0</v>
      </c>
      <c r="W1642">
        <f t="shared" si="455"/>
        <v>1</v>
      </c>
      <c r="X1642">
        <f t="shared" si="456"/>
        <v>0</v>
      </c>
      <c r="Y1642">
        <f t="shared" si="457"/>
        <v>0</v>
      </c>
      <c r="Z1642">
        <f t="shared" si="458"/>
        <v>1</v>
      </c>
      <c r="AA1642">
        <f t="shared" si="459"/>
        <v>1</v>
      </c>
      <c r="AB1642">
        <f t="shared" si="460"/>
        <v>0</v>
      </c>
      <c r="AC1642">
        <f t="shared" si="461"/>
        <v>0</v>
      </c>
      <c r="AD1642">
        <f t="shared" si="462"/>
        <v>0</v>
      </c>
      <c r="AE1642">
        <f t="shared" si="463"/>
        <v>0</v>
      </c>
      <c r="AF1642">
        <f t="shared" si="464"/>
        <v>0</v>
      </c>
      <c r="AG1642">
        <f t="shared" si="465"/>
        <v>1</v>
      </c>
      <c r="AH1642">
        <f t="shared" si="466"/>
        <v>0</v>
      </c>
      <c r="AI1642">
        <f t="shared" si="467"/>
        <v>0</v>
      </c>
    </row>
    <row r="1643" spans="1:35" x14ac:dyDescent="0.2">
      <c r="A1643">
        <v>518</v>
      </c>
      <c r="B1643" t="s">
        <v>1398</v>
      </c>
      <c r="C1643">
        <v>7</v>
      </c>
      <c r="D1643" t="s">
        <v>4424</v>
      </c>
      <c r="E1643" t="s">
        <v>21</v>
      </c>
      <c r="F1643" t="s">
        <v>18</v>
      </c>
      <c r="G1643" t="s">
        <v>39</v>
      </c>
      <c r="H1643" t="s">
        <v>20</v>
      </c>
      <c r="I1643">
        <v>4</v>
      </c>
      <c r="J1643">
        <v>6</v>
      </c>
      <c r="K1643" s="5">
        <v>40</v>
      </c>
      <c r="L1643" t="s">
        <v>22</v>
      </c>
      <c r="M1643" t="s">
        <v>219</v>
      </c>
      <c r="N1643" t="s">
        <v>84</v>
      </c>
      <c r="O1643" t="s">
        <v>4425</v>
      </c>
      <c r="P1643" t="s">
        <v>4426</v>
      </c>
      <c r="Q1643">
        <f t="shared" si="450"/>
        <v>1</v>
      </c>
      <c r="R1643">
        <f t="shared" si="451"/>
        <v>4</v>
      </c>
      <c r="S1643">
        <f t="shared" si="452"/>
        <v>5</v>
      </c>
      <c r="T1643">
        <f t="shared" si="453"/>
        <v>2</v>
      </c>
      <c r="U1643">
        <v>40</v>
      </c>
      <c r="V1643">
        <f t="shared" si="454"/>
        <v>1</v>
      </c>
      <c r="W1643">
        <f t="shared" si="455"/>
        <v>0</v>
      </c>
      <c r="X1643">
        <f t="shared" si="456"/>
        <v>0</v>
      </c>
      <c r="Y1643">
        <f t="shared" si="457"/>
        <v>0</v>
      </c>
      <c r="Z1643">
        <f t="shared" si="458"/>
        <v>0</v>
      </c>
      <c r="AA1643">
        <f t="shared" si="459"/>
        <v>0</v>
      </c>
      <c r="AB1643">
        <f t="shared" si="460"/>
        <v>0</v>
      </c>
      <c r="AC1643">
        <f t="shared" si="461"/>
        <v>0</v>
      </c>
      <c r="AD1643">
        <f t="shared" si="462"/>
        <v>0</v>
      </c>
      <c r="AE1643">
        <f t="shared" si="463"/>
        <v>1</v>
      </c>
      <c r="AF1643">
        <f t="shared" si="464"/>
        <v>0</v>
      </c>
      <c r="AG1643">
        <f t="shared" si="465"/>
        <v>1</v>
      </c>
      <c r="AH1643">
        <f t="shared" si="466"/>
        <v>0</v>
      </c>
      <c r="AI1643">
        <f t="shared" si="467"/>
        <v>0</v>
      </c>
    </row>
    <row r="1644" spans="1:35" x14ac:dyDescent="0.2">
      <c r="A1644">
        <v>519</v>
      </c>
      <c r="B1644" t="s">
        <v>1398</v>
      </c>
      <c r="C1644">
        <v>5</v>
      </c>
      <c r="D1644" t="s">
        <v>4427</v>
      </c>
      <c r="E1644" t="s">
        <v>19</v>
      </c>
      <c r="F1644" t="s">
        <v>18</v>
      </c>
      <c r="G1644" t="s">
        <v>18</v>
      </c>
      <c r="H1644" t="s">
        <v>21</v>
      </c>
      <c r="I1644">
        <v>4</v>
      </c>
      <c r="J1644">
        <v>1</v>
      </c>
      <c r="K1644" t="s">
        <v>1441</v>
      </c>
      <c r="L1644" t="s">
        <v>98</v>
      </c>
      <c r="M1644" t="s">
        <v>48</v>
      </c>
      <c r="N1644" t="s">
        <v>43</v>
      </c>
      <c r="O1644" t="s">
        <v>4428</v>
      </c>
      <c r="P1644" t="s">
        <v>4429</v>
      </c>
      <c r="Q1644">
        <f t="shared" si="450"/>
        <v>3</v>
      </c>
      <c r="R1644">
        <f t="shared" si="451"/>
        <v>4</v>
      </c>
      <c r="S1644">
        <f t="shared" si="452"/>
        <v>4</v>
      </c>
      <c r="T1644">
        <f t="shared" si="453"/>
        <v>1</v>
      </c>
      <c r="U1644">
        <v>500</v>
      </c>
      <c r="V1644">
        <f t="shared" si="454"/>
        <v>0</v>
      </c>
      <c r="W1644">
        <f t="shared" si="455"/>
        <v>1</v>
      </c>
      <c r="X1644">
        <f t="shared" si="456"/>
        <v>0</v>
      </c>
      <c r="Y1644">
        <f t="shared" si="457"/>
        <v>0</v>
      </c>
      <c r="Z1644">
        <f t="shared" si="458"/>
        <v>0</v>
      </c>
      <c r="AA1644">
        <f t="shared" si="459"/>
        <v>1</v>
      </c>
      <c r="AB1644">
        <f t="shared" si="460"/>
        <v>1</v>
      </c>
      <c r="AC1644">
        <f t="shared" si="461"/>
        <v>1</v>
      </c>
      <c r="AD1644">
        <f t="shared" si="462"/>
        <v>0</v>
      </c>
      <c r="AE1644">
        <f t="shared" si="463"/>
        <v>0</v>
      </c>
      <c r="AF1644">
        <f t="shared" si="464"/>
        <v>1</v>
      </c>
      <c r="AG1644">
        <f t="shared" si="465"/>
        <v>1</v>
      </c>
      <c r="AH1644">
        <f t="shared" si="466"/>
        <v>0</v>
      </c>
      <c r="AI1644">
        <f t="shared" si="467"/>
        <v>0</v>
      </c>
    </row>
    <row r="1645" spans="1:35" x14ac:dyDescent="0.2">
      <c r="A1645">
        <v>520</v>
      </c>
      <c r="B1645" t="s">
        <v>1398</v>
      </c>
      <c r="C1645">
        <v>9</v>
      </c>
      <c r="D1645" t="s">
        <v>4430</v>
      </c>
      <c r="E1645" t="s">
        <v>19</v>
      </c>
      <c r="F1645" t="s">
        <v>39</v>
      </c>
      <c r="G1645" t="s">
        <v>39</v>
      </c>
      <c r="H1645" t="s">
        <v>19</v>
      </c>
      <c r="I1645">
        <v>3</v>
      </c>
      <c r="J1645">
        <v>1</v>
      </c>
      <c r="K1645" s="2">
        <v>10000</v>
      </c>
      <c r="L1645" t="s">
        <v>70</v>
      </c>
      <c r="M1645" t="s">
        <v>23</v>
      </c>
      <c r="N1645" t="s">
        <v>84</v>
      </c>
      <c r="O1645" t="s">
        <v>4431</v>
      </c>
      <c r="P1645" t="s">
        <v>4432</v>
      </c>
      <c r="Q1645">
        <f t="shared" si="450"/>
        <v>3</v>
      </c>
      <c r="R1645">
        <f t="shared" si="451"/>
        <v>5</v>
      </c>
      <c r="S1645">
        <f t="shared" si="452"/>
        <v>5</v>
      </c>
      <c r="T1645">
        <f t="shared" si="453"/>
        <v>3</v>
      </c>
      <c r="U1645">
        <v>10000</v>
      </c>
      <c r="V1645">
        <f t="shared" si="454"/>
        <v>0</v>
      </c>
      <c r="W1645">
        <f t="shared" si="455"/>
        <v>0</v>
      </c>
      <c r="X1645">
        <f t="shared" si="456"/>
        <v>0</v>
      </c>
      <c r="Y1645">
        <f t="shared" si="457"/>
        <v>1</v>
      </c>
      <c r="Z1645">
        <f t="shared" si="458"/>
        <v>0</v>
      </c>
      <c r="AA1645">
        <f t="shared" si="459"/>
        <v>1</v>
      </c>
      <c r="AB1645">
        <f t="shared" si="460"/>
        <v>0</v>
      </c>
      <c r="AC1645">
        <f t="shared" si="461"/>
        <v>0</v>
      </c>
      <c r="AD1645">
        <f t="shared" si="462"/>
        <v>0</v>
      </c>
      <c r="AE1645">
        <f t="shared" si="463"/>
        <v>0</v>
      </c>
      <c r="AF1645">
        <f t="shared" si="464"/>
        <v>0</v>
      </c>
      <c r="AG1645">
        <f t="shared" si="465"/>
        <v>1</v>
      </c>
      <c r="AH1645">
        <f t="shared" si="466"/>
        <v>0</v>
      </c>
      <c r="AI1645">
        <f t="shared" si="467"/>
        <v>0</v>
      </c>
    </row>
    <row r="1646" spans="1:35" x14ac:dyDescent="0.2">
      <c r="A1646">
        <v>521</v>
      </c>
      <c r="B1646" t="s">
        <v>1398</v>
      </c>
      <c r="C1646">
        <v>9</v>
      </c>
      <c r="D1646" t="s">
        <v>4433</v>
      </c>
      <c r="E1646" t="s">
        <v>21</v>
      </c>
      <c r="F1646" t="s">
        <v>39</v>
      </c>
      <c r="G1646" t="s">
        <v>39</v>
      </c>
      <c r="H1646" t="s">
        <v>20</v>
      </c>
      <c r="I1646">
        <v>6</v>
      </c>
      <c r="J1646">
        <v>3</v>
      </c>
      <c r="K1646">
        <v>25</v>
      </c>
      <c r="L1646" t="s">
        <v>601</v>
      </c>
      <c r="M1646" t="s">
        <v>123</v>
      </c>
      <c r="N1646" t="s">
        <v>215</v>
      </c>
      <c r="O1646" t="s">
        <v>959</v>
      </c>
      <c r="P1646" t="s">
        <v>4434</v>
      </c>
      <c r="Q1646">
        <f t="shared" si="450"/>
        <v>1</v>
      </c>
      <c r="R1646">
        <f t="shared" si="451"/>
        <v>5</v>
      </c>
      <c r="S1646">
        <f t="shared" si="452"/>
        <v>5</v>
      </c>
      <c r="T1646">
        <f t="shared" si="453"/>
        <v>2</v>
      </c>
      <c r="U1646">
        <v>25</v>
      </c>
      <c r="V1646">
        <f t="shared" si="454"/>
        <v>0</v>
      </c>
      <c r="W1646">
        <f t="shared" si="455"/>
        <v>1</v>
      </c>
      <c r="X1646">
        <f t="shared" si="456"/>
        <v>0</v>
      </c>
      <c r="Y1646">
        <f t="shared" si="457"/>
        <v>1</v>
      </c>
      <c r="Z1646">
        <f t="shared" si="458"/>
        <v>1</v>
      </c>
      <c r="AA1646">
        <f t="shared" si="459"/>
        <v>0</v>
      </c>
      <c r="AB1646">
        <f t="shared" si="460"/>
        <v>1</v>
      </c>
      <c r="AC1646">
        <f t="shared" si="461"/>
        <v>1</v>
      </c>
      <c r="AD1646">
        <f t="shared" si="462"/>
        <v>0</v>
      </c>
      <c r="AE1646">
        <f t="shared" si="463"/>
        <v>0</v>
      </c>
      <c r="AF1646">
        <f t="shared" si="464"/>
        <v>1</v>
      </c>
      <c r="AG1646">
        <f t="shared" si="465"/>
        <v>0</v>
      </c>
      <c r="AH1646">
        <f t="shared" si="466"/>
        <v>0</v>
      </c>
      <c r="AI1646">
        <f t="shared" si="467"/>
        <v>0</v>
      </c>
    </row>
    <row r="1647" spans="1:35" ht="221" x14ac:dyDescent="0.2">
      <c r="A1647">
        <v>522</v>
      </c>
      <c r="B1647" t="s">
        <v>1398</v>
      </c>
      <c r="C1647">
        <v>5</v>
      </c>
      <c r="D1647" t="s">
        <v>4435</v>
      </c>
      <c r="E1647" t="s">
        <v>21</v>
      </c>
      <c r="F1647" t="s">
        <v>19</v>
      </c>
      <c r="G1647" t="s">
        <v>18</v>
      </c>
      <c r="H1647" t="s">
        <v>21</v>
      </c>
      <c r="I1647">
        <v>2</v>
      </c>
      <c r="J1647">
        <v>3</v>
      </c>
      <c r="K1647" s="1">
        <v>250</v>
      </c>
      <c r="L1647" t="s">
        <v>122</v>
      </c>
      <c r="M1647" t="s">
        <v>48</v>
      </c>
      <c r="N1647" t="s">
        <v>43</v>
      </c>
      <c r="O1647" t="s">
        <v>4436</v>
      </c>
      <c r="P1647" s="3" t="s">
        <v>4437</v>
      </c>
      <c r="Q1647">
        <f t="shared" si="450"/>
        <v>1</v>
      </c>
      <c r="R1647">
        <f t="shared" si="451"/>
        <v>3</v>
      </c>
      <c r="S1647">
        <f t="shared" si="452"/>
        <v>4</v>
      </c>
      <c r="T1647">
        <f t="shared" si="453"/>
        <v>1</v>
      </c>
      <c r="U1647">
        <v>250</v>
      </c>
      <c r="V1647">
        <f t="shared" si="454"/>
        <v>1</v>
      </c>
      <c r="W1647">
        <f t="shared" si="455"/>
        <v>0</v>
      </c>
      <c r="X1647">
        <f t="shared" si="456"/>
        <v>1</v>
      </c>
      <c r="Y1647">
        <f t="shared" si="457"/>
        <v>0</v>
      </c>
      <c r="Z1647">
        <f t="shared" si="458"/>
        <v>1</v>
      </c>
      <c r="AA1647">
        <f t="shared" si="459"/>
        <v>1</v>
      </c>
      <c r="AB1647">
        <f t="shared" si="460"/>
        <v>1</v>
      </c>
      <c r="AC1647">
        <f t="shared" si="461"/>
        <v>1</v>
      </c>
      <c r="AD1647">
        <f t="shared" si="462"/>
        <v>0</v>
      </c>
      <c r="AE1647">
        <f t="shared" si="463"/>
        <v>0</v>
      </c>
      <c r="AF1647">
        <f t="shared" si="464"/>
        <v>1</v>
      </c>
      <c r="AG1647">
        <f t="shared" si="465"/>
        <v>1</v>
      </c>
      <c r="AH1647">
        <f t="shared" si="466"/>
        <v>0</v>
      </c>
      <c r="AI1647">
        <f t="shared" si="467"/>
        <v>0</v>
      </c>
    </row>
    <row r="1648" spans="1:35" x14ac:dyDescent="0.2">
      <c r="A1648">
        <v>523</v>
      </c>
      <c r="B1648" t="s">
        <v>1398</v>
      </c>
      <c r="C1648">
        <v>4</v>
      </c>
      <c r="D1648" t="s">
        <v>4438</v>
      </c>
      <c r="E1648" t="s">
        <v>19</v>
      </c>
      <c r="F1648" t="s">
        <v>18</v>
      </c>
      <c r="G1648" t="s">
        <v>18</v>
      </c>
      <c r="H1648" t="s">
        <v>21</v>
      </c>
      <c r="I1648">
        <v>1</v>
      </c>
      <c r="J1648">
        <v>2</v>
      </c>
      <c r="K1648" s="1">
        <v>5</v>
      </c>
      <c r="L1648" t="s">
        <v>98</v>
      </c>
      <c r="M1648" t="s">
        <v>99</v>
      </c>
      <c r="N1648" t="s">
        <v>84</v>
      </c>
      <c r="O1648" t="s">
        <v>4439</v>
      </c>
      <c r="P1648" t="s">
        <v>4440</v>
      </c>
      <c r="Q1648">
        <f t="shared" si="450"/>
        <v>3</v>
      </c>
      <c r="R1648">
        <f t="shared" si="451"/>
        <v>4</v>
      </c>
      <c r="S1648">
        <f t="shared" si="452"/>
        <v>4</v>
      </c>
      <c r="T1648">
        <f t="shared" si="453"/>
        <v>1</v>
      </c>
      <c r="U1648">
        <v>5</v>
      </c>
      <c r="V1648">
        <f t="shared" si="454"/>
        <v>0</v>
      </c>
      <c r="W1648">
        <f t="shared" si="455"/>
        <v>1</v>
      </c>
      <c r="X1648">
        <f t="shared" si="456"/>
        <v>0</v>
      </c>
      <c r="Y1648">
        <f t="shared" si="457"/>
        <v>0</v>
      </c>
      <c r="Z1648">
        <f t="shared" si="458"/>
        <v>0</v>
      </c>
      <c r="AA1648">
        <f t="shared" si="459"/>
        <v>1</v>
      </c>
      <c r="AB1648">
        <f t="shared" si="460"/>
        <v>0</v>
      </c>
      <c r="AC1648">
        <f t="shared" si="461"/>
        <v>0</v>
      </c>
      <c r="AD1648">
        <f t="shared" si="462"/>
        <v>0</v>
      </c>
      <c r="AE1648">
        <f t="shared" si="463"/>
        <v>1</v>
      </c>
      <c r="AF1648">
        <f t="shared" si="464"/>
        <v>0</v>
      </c>
      <c r="AG1648">
        <f t="shared" si="465"/>
        <v>1</v>
      </c>
      <c r="AH1648">
        <f t="shared" si="466"/>
        <v>0</v>
      </c>
      <c r="AI1648">
        <f t="shared" si="467"/>
        <v>0</v>
      </c>
    </row>
    <row r="1649" spans="1:35" x14ac:dyDescent="0.2">
      <c r="A1649">
        <v>524</v>
      </c>
      <c r="B1649" t="s">
        <v>1398</v>
      </c>
      <c r="C1649">
        <v>5</v>
      </c>
      <c r="D1649" t="s">
        <v>4441</v>
      </c>
      <c r="E1649" t="s">
        <v>21</v>
      </c>
      <c r="F1649" t="s">
        <v>39</v>
      </c>
      <c r="G1649" t="s">
        <v>39</v>
      </c>
      <c r="H1649" t="s">
        <v>21</v>
      </c>
      <c r="I1649">
        <v>1</v>
      </c>
      <c r="J1649">
        <v>1</v>
      </c>
      <c r="K1649">
        <v>100</v>
      </c>
      <c r="L1649" t="s">
        <v>562</v>
      </c>
      <c r="M1649" t="s">
        <v>1098</v>
      </c>
      <c r="N1649" t="s">
        <v>43</v>
      </c>
      <c r="O1649" t="s">
        <v>4442</v>
      </c>
      <c r="P1649" t="s">
        <v>4443</v>
      </c>
      <c r="Q1649">
        <f t="shared" si="450"/>
        <v>1</v>
      </c>
      <c r="R1649">
        <f t="shared" si="451"/>
        <v>5</v>
      </c>
      <c r="S1649">
        <f t="shared" si="452"/>
        <v>5</v>
      </c>
      <c r="T1649">
        <f t="shared" si="453"/>
        <v>1</v>
      </c>
      <c r="U1649">
        <v>100</v>
      </c>
      <c r="V1649">
        <f t="shared" si="454"/>
        <v>0</v>
      </c>
      <c r="W1649">
        <f t="shared" si="455"/>
        <v>1</v>
      </c>
      <c r="X1649">
        <f t="shared" si="456"/>
        <v>1</v>
      </c>
      <c r="Y1649">
        <f t="shared" si="457"/>
        <v>0</v>
      </c>
      <c r="Z1649">
        <f t="shared" si="458"/>
        <v>1</v>
      </c>
      <c r="AA1649">
        <f t="shared" si="459"/>
        <v>1</v>
      </c>
      <c r="AB1649">
        <f t="shared" si="460"/>
        <v>1</v>
      </c>
      <c r="AC1649">
        <f t="shared" si="461"/>
        <v>1</v>
      </c>
      <c r="AD1649">
        <f t="shared" si="462"/>
        <v>0</v>
      </c>
      <c r="AE1649">
        <f t="shared" si="463"/>
        <v>1</v>
      </c>
      <c r="AF1649">
        <f t="shared" si="464"/>
        <v>1</v>
      </c>
      <c r="AG1649">
        <f t="shared" si="465"/>
        <v>1</v>
      </c>
      <c r="AH1649">
        <f t="shared" si="466"/>
        <v>0</v>
      </c>
      <c r="AI1649">
        <f t="shared" si="467"/>
        <v>0</v>
      </c>
    </row>
    <row r="1650" spans="1:35" x14ac:dyDescent="0.2">
      <c r="A1650">
        <v>525</v>
      </c>
      <c r="B1650" t="s">
        <v>1398</v>
      </c>
      <c r="C1650">
        <v>10</v>
      </c>
      <c r="D1650" t="s">
        <v>4444</v>
      </c>
      <c r="E1650" t="s">
        <v>18</v>
      </c>
      <c r="F1650" t="s">
        <v>18</v>
      </c>
      <c r="G1650" t="s">
        <v>39</v>
      </c>
      <c r="H1650" t="s">
        <v>21</v>
      </c>
      <c r="I1650">
        <v>3</v>
      </c>
      <c r="J1650">
        <v>1</v>
      </c>
      <c r="K1650">
        <v>200</v>
      </c>
      <c r="L1650" t="s">
        <v>435</v>
      </c>
      <c r="M1650" t="s">
        <v>468</v>
      </c>
      <c r="N1650" t="s">
        <v>43</v>
      </c>
      <c r="O1650" t="s">
        <v>67</v>
      </c>
      <c r="P1650" t="s">
        <v>4445</v>
      </c>
      <c r="Q1650">
        <f t="shared" si="450"/>
        <v>4</v>
      </c>
      <c r="R1650">
        <f t="shared" si="451"/>
        <v>4</v>
      </c>
      <c r="S1650">
        <f t="shared" si="452"/>
        <v>5</v>
      </c>
      <c r="T1650">
        <f t="shared" si="453"/>
        <v>1</v>
      </c>
      <c r="U1650">
        <v>200</v>
      </c>
      <c r="V1650">
        <f t="shared" si="454"/>
        <v>1</v>
      </c>
      <c r="W1650">
        <f t="shared" si="455"/>
        <v>0</v>
      </c>
      <c r="X1650">
        <f t="shared" si="456"/>
        <v>0</v>
      </c>
      <c r="Y1650">
        <f t="shared" si="457"/>
        <v>0</v>
      </c>
      <c r="Z1650">
        <f t="shared" si="458"/>
        <v>1</v>
      </c>
      <c r="AA1650">
        <f t="shared" si="459"/>
        <v>1</v>
      </c>
      <c r="AB1650">
        <f t="shared" si="460"/>
        <v>1</v>
      </c>
      <c r="AC1650">
        <f t="shared" si="461"/>
        <v>1</v>
      </c>
      <c r="AD1650">
        <f t="shared" si="462"/>
        <v>1</v>
      </c>
      <c r="AE1650">
        <f t="shared" si="463"/>
        <v>1</v>
      </c>
      <c r="AF1650">
        <f t="shared" si="464"/>
        <v>1</v>
      </c>
      <c r="AG1650">
        <f t="shared" si="465"/>
        <v>1</v>
      </c>
      <c r="AH1650">
        <f t="shared" si="466"/>
        <v>0</v>
      </c>
      <c r="AI1650">
        <f t="shared" si="467"/>
        <v>0</v>
      </c>
    </row>
    <row r="1651" spans="1:35" x14ac:dyDescent="0.2">
      <c r="A1651">
        <v>526</v>
      </c>
      <c r="B1651" t="s">
        <v>1398</v>
      </c>
      <c r="C1651">
        <v>7</v>
      </c>
      <c r="D1651" t="s">
        <v>4446</v>
      </c>
      <c r="E1651" t="s">
        <v>20</v>
      </c>
      <c r="F1651" t="s">
        <v>18</v>
      </c>
      <c r="G1651" t="s">
        <v>18</v>
      </c>
      <c r="H1651" t="s">
        <v>20</v>
      </c>
      <c r="I1651">
        <v>4</v>
      </c>
      <c r="J1651">
        <v>3</v>
      </c>
      <c r="K1651">
        <v>100</v>
      </c>
      <c r="L1651" t="s">
        <v>47</v>
      </c>
      <c r="M1651" t="s">
        <v>115</v>
      </c>
      <c r="N1651" t="s">
        <v>215</v>
      </c>
      <c r="O1651" t="s">
        <v>4447</v>
      </c>
      <c r="P1651" t="s">
        <v>4448</v>
      </c>
      <c r="Q1651">
        <f t="shared" si="450"/>
        <v>2</v>
      </c>
      <c r="R1651">
        <f t="shared" si="451"/>
        <v>4</v>
      </c>
      <c r="S1651">
        <f t="shared" si="452"/>
        <v>4</v>
      </c>
      <c r="T1651">
        <f t="shared" si="453"/>
        <v>2</v>
      </c>
      <c r="U1651">
        <v>100</v>
      </c>
      <c r="V1651">
        <f t="shared" si="454"/>
        <v>0</v>
      </c>
      <c r="W1651">
        <f t="shared" si="455"/>
        <v>0</v>
      </c>
      <c r="X1651">
        <f t="shared" si="456"/>
        <v>1</v>
      </c>
      <c r="Y1651">
        <f t="shared" si="457"/>
        <v>0</v>
      </c>
      <c r="Z1651">
        <f t="shared" si="458"/>
        <v>1</v>
      </c>
      <c r="AA1651">
        <f t="shared" si="459"/>
        <v>0</v>
      </c>
      <c r="AB1651">
        <f t="shared" si="460"/>
        <v>0</v>
      </c>
      <c r="AC1651">
        <f t="shared" si="461"/>
        <v>1</v>
      </c>
      <c r="AD1651">
        <f t="shared" si="462"/>
        <v>0</v>
      </c>
      <c r="AE1651">
        <f t="shared" si="463"/>
        <v>0</v>
      </c>
      <c r="AF1651">
        <f t="shared" si="464"/>
        <v>1</v>
      </c>
      <c r="AG1651">
        <f t="shared" si="465"/>
        <v>0</v>
      </c>
      <c r="AH1651">
        <f t="shared" si="466"/>
        <v>0</v>
      </c>
      <c r="AI1651">
        <f t="shared" si="467"/>
        <v>0</v>
      </c>
    </row>
    <row r="1652" spans="1:35" x14ac:dyDescent="0.2">
      <c r="A1652">
        <v>527</v>
      </c>
      <c r="B1652" t="s">
        <v>1398</v>
      </c>
      <c r="C1652">
        <v>7</v>
      </c>
      <c r="D1652" t="s">
        <v>4449</v>
      </c>
      <c r="E1652" t="s">
        <v>21</v>
      </c>
      <c r="F1652" t="s">
        <v>39</v>
      </c>
      <c r="G1652" t="s">
        <v>20</v>
      </c>
      <c r="H1652" t="s">
        <v>21</v>
      </c>
      <c r="I1652">
        <v>3</v>
      </c>
      <c r="J1652">
        <v>1</v>
      </c>
      <c r="K1652">
        <v>150</v>
      </c>
      <c r="L1652" t="s">
        <v>79</v>
      </c>
      <c r="M1652" t="s">
        <v>123</v>
      </c>
      <c r="N1652" t="s">
        <v>43</v>
      </c>
      <c r="O1652" t="s">
        <v>4450</v>
      </c>
      <c r="P1652" t="s">
        <v>4451</v>
      </c>
      <c r="Q1652">
        <f t="shared" si="450"/>
        <v>1</v>
      </c>
      <c r="R1652">
        <f t="shared" si="451"/>
        <v>5</v>
      </c>
      <c r="S1652">
        <f t="shared" si="452"/>
        <v>2</v>
      </c>
      <c r="T1652">
        <f t="shared" si="453"/>
        <v>1</v>
      </c>
      <c r="U1652">
        <v>150</v>
      </c>
      <c r="V1652">
        <f t="shared" si="454"/>
        <v>0</v>
      </c>
      <c r="W1652">
        <f t="shared" si="455"/>
        <v>1</v>
      </c>
      <c r="X1652">
        <f t="shared" si="456"/>
        <v>0</v>
      </c>
      <c r="Y1652">
        <f t="shared" si="457"/>
        <v>0</v>
      </c>
      <c r="Z1652">
        <f t="shared" si="458"/>
        <v>1</v>
      </c>
      <c r="AA1652">
        <f t="shared" si="459"/>
        <v>0</v>
      </c>
      <c r="AB1652">
        <f t="shared" si="460"/>
        <v>1</v>
      </c>
      <c r="AC1652">
        <f t="shared" si="461"/>
        <v>1</v>
      </c>
      <c r="AD1652">
        <f t="shared" si="462"/>
        <v>0</v>
      </c>
      <c r="AE1652">
        <f t="shared" si="463"/>
        <v>0</v>
      </c>
      <c r="AF1652">
        <f t="shared" si="464"/>
        <v>1</v>
      </c>
      <c r="AG1652">
        <f t="shared" si="465"/>
        <v>1</v>
      </c>
      <c r="AH1652">
        <f t="shared" si="466"/>
        <v>0</v>
      </c>
      <c r="AI1652">
        <f t="shared" si="467"/>
        <v>0</v>
      </c>
    </row>
    <row r="1653" spans="1:35" x14ac:dyDescent="0.2">
      <c r="A1653">
        <v>528</v>
      </c>
      <c r="B1653" t="s">
        <v>1398</v>
      </c>
      <c r="C1653">
        <v>8</v>
      </c>
      <c r="D1653" t="s">
        <v>4291</v>
      </c>
      <c r="E1653" t="s">
        <v>21</v>
      </c>
      <c r="F1653" t="s">
        <v>39</v>
      </c>
      <c r="G1653" t="s">
        <v>18</v>
      </c>
      <c r="H1653" t="s">
        <v>21</v>
      </c>
      <c r="I1653">
        <v>1</v>
      </c>
      <c r="J1653">
        <v>1</v>
      </c>
      <c r="K1653" s="1">
        <v>2000</v>
      </c>
      <c r="L1653" t="s">
        <v>41</v>
      </c>
      <c r="M1653" t="s">
        <v>42</v>
      </c>
      <c r="N1653" t="s">
        <v>215</v>
      </c>
      <c r="O1653" t="s">
        <v>4452</v>
      </c>
      <c r="P1653" t="s">
        <v>4453</v>
      </c>
      <c r="Q1653">
        <f t="shared" si="450"/>
        <v>1</v>
      </c>
      <c r="R1653">
        <f t="shared" si="451"/>
        <v>5</v>
      </c>
      <c r="S1653">
        <f t="shared" si="452"/>
        <v>4</v>
      </c>
      <c r="T1653">
        <f t="shared" si="453"/>
        <v>1</v>
      </c>
      <c r="U1653">
        <v>2000</v>
      </c>
      <c r="V1653">
        <f t="shared" si="454"/>
        <v>0</v>
      </c>
      <c r="W1653">
        <f t="shared" si="455"/>
        <v>0</v>
      </c>
      <c r="X1653">
        <f t="shared" si="456"/>
        <v>0</v>
      </c>
      <c r="Y1653">
        <f t="shared" si="457"/>
        <v>0</v>
      </c>
      <c r="Z1653">
        <f t="shared" si="458"/>
        <v>1</v>
      </c>
      <c r="AA1653">
        <f t="shared" si="459"/>
        <v>0</v>
      </c>
      <c r="AB1653">
        <f t="shared" si="460"/>
        <v>1</v>
      </c>
      <c r="AC1653">
        <f t="shared" si="461"/>
        <v>0</v>
      </c>
      <c r="AD1653">
        <f t="shared" si="462"/>
        <v>0</v>
      </c>
      <c r="AE1653">
        <f t="shared" si="463"/>
        <v>0</v>
      </c>
      <c r="AF1653">
        <f t="shared" si="464"/>
        <v>1</v>
      </c>
      <c r="AG1653">
        <f t="shared" si="465"/>
        <v>0</v>
      </c>
      <c r="AH1653">
        <f t="shared" si="466"/>
        <v>0</v>
      </c>
      <c r="AI1653">
        <f t="shared" si="467"/>
        <v>0</v>
      </c>
    </row>
    <row r="1654" spans="1:35" x14ac:dyDescent="0.2">
      <c r="A1654">
        <v>529</v>
      </c>
      <c r="B1654" t="s">
        <v>1398</v>
      </c>
      <c r="C1654">
        <v>8</v>
      </c>
      <c r="D1654" t="s">
        <v>4454</v>
      </c>
      <c r="E1654" t="s">
        <v>21</v>
      </c>
      <c r="F1654" t="s">
        <v>39</v>
      </c>
      <c r="G1654" t="s">
        <v>39</v>
      </c>
      <c r="H1654" t="s">
        <v>21</v>
      </c>
      <c r="I1654">
        <v>3</v>
      </c>
      <c r="J1654">
        <v>3</v>
      </c>
      <c r="K1654">
        <v>90</v>
      </c>
      <c r="L1654" t="s">
        <v>276</v>
      </c>
      <c r="M1654" t="s">
        <v>161</v>
      </c>
      <c r="N1654" t="s">
        <v>215</v>
      </c>
      <c r="O1654" t="s">
        <v>4455</v>
      </c>
      <c r="P1654" t="s">
        <v>4456</v>
      </c>
      <c r="Q1654">
        <f t="shared" si="450"/>
        <v>1</v>
      </c>
      <c r="R1654">
        <f t="shared" si="451"/>
        <v>5</v>
      </c>
      <c r="S1654">
        <f t="shared" si="452"/>
        <v>5</v>
      </c>
      <c r="T1654">
        <f t="shared" si="453"/>
        <v>1</v>
      </c>
      <c r="U1654">
        <v>90</v>
      </c>
      <c r="V1654">
        <f t="shared" si="454"/>
        <v>1</v>
      </c>
      <c r="W1654">
        <f t="shared" si="455"/>
        <v>1</v>
      </c>
      <c r="X1654">
        <f t="shared" si="456"/>
        <v>0</v>
      </c>
      <c r="Y1654">
        <f t="shared" si="457"/>
        <v>1</v>
      </c>
      <c r="Z1654">
        <f t="shared" si="458"/>
        <v>1</v>
      </c>
      <c r="AA1654">
        <f t="shared" si="459"/>
        <v>1</v>
      </c>
      <c r="AB1654">
        <f t="shared" si="460"/>
        <v>1</v>
      </c>
      <c r="AC1654">
        <f t="shared" si="461"/>
        <v>1</v>
      </c>
      <c r="AD1654">
        <f t="shared" si="462"/>
        <v>1</v>
      </c>
      <c r="AE1654">
        <f t="shared" si="463"/>
        <v>0</v>
      </c>
      <c r="AF1654">
        <f t="shared" si="464"/>
        <v>1</v>
      </c>
      <c r="AG1654">
        <f t="shared" si="465"/>
        <v>0</v>
      </c>
      <c r="AH1654">
        <f t="shared" si="466"/>
        <v>0</v>
      </c>
      <c r="AI1654">
        <f t="shared" si="467"/>
        <v>0</v>
      </c>
    </row>
    <row r="1655" spans="1:35" x14ac:dyDescent="0.2">
      <c r="A1655">
        <v>530</v>
      </c>
      <c r="B1655" t="s">
        <v>1398</v>
      </c>
      <c r="C1655">
        <v>6</v>
      </c>
      <c r="D1655" t="s">
        <v>4457</v>
      </c>
      <c r="E1655" t="s">
        <v>21</v>
      </c>
      <c r="F1655" t="s">
        <v>39</v>
      </c>
      <c r="G1655" t="s">
        <v>18</v>
      </c>
      <c r="H1655" t="s">
        <v>21</v>
      </c>
      <c r="I1655">
        <v>3</v>
      </c>
      <c r="J1655">
        <v>3</v>
      </c>
      <c r="K1655">
        <v>400</v>
      </c>
      <c r="L1655" t="s">
        <v>79</v>
      </c>
      <c r="M1655" t="s">
        <v>123</v>
      </c>
      <c r="N1655" t="s">
        <v>822</v>
      </c>
      <c r="O1655" t="s">
        <v>4458</v>
      </c>
      <c r="P1655" t="s">
        <v>4459</v>
      </c>
      <c r="Q1655">
        <f t="shared" si="450"/>
        <v>1</v>
      </c>
      <c r="R1655">
        <f t="shared" si="451"/>
        <v>5</v>
      </c>
      <c r="S1655">
        <f t="shared" si="452"/>
        <v>4</v>
      </c>
      <c r="T1655">
        <f t="shared" si="453"/>
        <v>1</v>
      </c>
      <c r="U1655">
        <v>400</v>
      </c>
      <c r="V1655">
        <f t="shared" si="454"/>
        <v>0</v>
      </c>
      <c r="W1655">
        <f t="shared" si="455"/>
        <v>1</v>
      </c>
      <c r="X1655">
        <f t="shared" si="456"/>
        <v>0</v>
      </c>
      <c r="Y1655">
        <f t="shared" si="457"/>
        <v>0</v>
      </c>
      <c r="Z1655">
        <f t="shared" si="458"/>
        <v>1</v>
      </c>
      <c r="AA1655">
        <f t="shared" si="459"/>
        <v>0</v>
      </c>
      <c r="AB1655">
        <f t="shared" si="460"/>
        <v>1</v>
      </c>
      <c r="AC1655">
        <f t="shared" si="461"/>
        <v>1</v>
      </c>
      <c r="AD1655">
        <f t="shared" si="462"/>
        <v>0</v>
      </c>
      <c r="AE1655">
        <f t="shared" si="463"/>
        <v>0</v>
      </c>
      <c r="AF1655">
        <f t="shared" si="464"/>
        <v>1</v>
      </c>
      <c r="AG1655">
        <f t="shared" si="465"/>
        <v>1</v>
      </c>
      <c r="AH1655">
        <f t="shared" si="466"/>
        <v>1</v>
      </c>
      <c r="AI1655">
        <f t="shared" si="467"/>
        <v>0</v>
      </c>
    </row>
    <row r="1656" spans="1:35" x14ac:dyDescent="0.2">
      <c r="A1656">
        <v>531</v>
      </c>
      <c r="B1656" t="s">
        <v>1398</v>
      </c>
      <c r="C1656">
        <v>10</v>
      </c>
      <c r="D1656" t="s">
        <v>4460</v>
      </c>
      <c r="E1656" t="s">
        <v>21</v>
      </c>
      <c r="F1656" t="s">
        <v>39</v>
      </c>
      <c r="G1656" t="s">
        <v>39</v>
      </c>
      <c r="H1656" t="s">
        <v>21</v>
      </c>
      <c r="I1656">
        <v>7</v>
      </c>
      <c r="J1656">
        <v>6</v>
      </c>
      <c r="K1656">
        <v>100</v>
      </c>
      <c r="L1656" t="s">
        <v>276</v>
      </c>
      <c r="M1656" t="s">
        <v>1982</v>
      </c>
      <c r="N1656" t="s">
        <v>43</v>
      </c>
      <c r="O1656" t="s">
        <v>4461</v>
      </c>
      <c r="P1656" t="s">
        <v>4462</v>
      </c>
      <c r="Q1656">
        <f t="shared" si="450"/>
        <v>1</v>
      </c>
      <c r="R1656">
        <f t="shared" si="451"/>
        <v>5</v>
      </c>
      <c r="S1656">
        <f t="shared" si="452"/>
        <v>5</v>
      </c>
      <c r="T1656">
        <f t="shared" si="453"/>
        <v>1</v>
      </c>
      <c r="U1656">
        <v>100</v>
      </c>
      <c r="V1656">
        <f t="shared" si="454"/>
        <v>1</v>
      </c>
      <c r="W1656">
        <f t="shared" si="455"/>
        <v>1</v>
      </c>
      <c r="X1656">
        <f t="shared" si="456"/>
        <v>0</v>
      </c>
      <c r="Y1656">
        <f t="shared" si="457"/>
        <v>1</v>
      </c>
      <c r="Z1656">
        <f t="shared" si="458"/>
        <v>1</v>
      </c>
      <c r="AA1656">
        <f t="shared" si="459"/>
        <v>1</v>
      </c>
      <c r="AB1656">
        <f t="shared" si="460"/>
        <v>1</v>
      </c>
      <c r="AC1656">
        <f t="shared" si="461"/>
        <v>0</v>
      </c>
      <c r="AD1656">
        <f t="shared" si="462"/>
        <v>1</v>
      </c>
      <c r="AE1656">
        <f t="shared" si="463"/>
        <v>1</v>
      </c>
      <c r="AF1656">
        <f t="shared" si="464"/>
        <v>1</v>
      </c>
      <c r="AG1656">
        <f t="shared" si="465"/>
        <v>1</v>
      </c>
      <c r="AH1656">
        <f t="shared" si="466"/>
        <v>0</v>
      </c>
      <c r="AI1656">
        <f t="shared" si="467"/>
        <v>0</v>
      </c>
    </row>
    <row r="1657" spans="1:35" x14ac:dyDescent="0.2">
      <c r="A1657">
        <v>532</v>
      </c>
      <c r="B1657" t="s">
        <v>1398</v>
      </c>
      <c r="C1657">
        <v>7</v>
      </c>
      <c r="D1657" t="s">
        <v>4463</v>
      </c>
      <c r="E1657" t="s">
        <v>21</v>
      </c>
      <c r="F1657" t="s">
        <v>18</v>
      </c>
      <c r="G1657" t="s">
        <v>18</v>
      </c>
      <c r="H1657" t="s">
        <v>20</v>
      </c>
      <c r="I1657">
        <v>3</v>
      </c>
      <c r="J1657">
        <v>1</v>
      </c>
      <c r="K1657">
        <v>500</v>
      </c>
      <c r="L1657" t="s">
        <v>41</v>
      </c>
      <c r="M1657" t="s">
        <v>48</v>
      </c>
      <c r="N1657" t="s">
        <v>43</v>
      </c>
      <c r="O1657" t="s">
        <v>4464</v>
      </c>
      <c r="P1657" t="s">
        <v>4465</v>
      </c>
      <c r="Q1657">
        <f t="shared" si="450"/>
        <v>1</v>
      </c>
      <c r="R1657">
        <f t="shared" si="451"/>
        <v>4</v>
      </c>
      <c r="S1657">
        <f t="shared" si="452"/>
        <v>4</v>
      </c>
      <c r="T1657">
        <f t="shared" si="453"/>
        <v>2</v>
      </c>
      <c r="U1657">
        <v>500</v>
      </c>
      <c r="V1657">
        <f t="shared" si="454"/>
        <v>0</v>
      </c>
      <c r="W1657">
        <f t="shared" si="455"/>
        <v>0</v>
      </c>
      <c r="X1657">
        <f t="shared" si="456"/>
        <v>0</v>
      </c>
      <c r="Y1657">
        <f t="shared" si="457"/>
        <v>0</v>
      </c>
      <c r="Z1657">
        <f t="shared" si="458"/>
        <v>1</v>
      </c>
      <c r="AA1657">
        <f t="shared" si="459"/>
        <v>1</v>
      </c>
      <c r="AB1657">
        <f t="shared" si="460"/>
        <v>1</v>
      </c>
      <c r="AC1657">
        <f t="shared" si="461"/>
        <v>1</v>
      </c>
      <c r="AD1657">
        <f t="shared" si="462"/>
        <v>0</v>
      </c>
      <c r="AE1657">
        <f t="shared" si="463"/>
        <v>0</v>
      </c>
      <c r="AF1657">
        <f t="shared" si="464"/>
        <v>1</v>
      </c>
      <c r="AG1657">
        <f t="shared" si="465"/>
        <v>1</v>
      </c>
      <c r="AH1657">
        <f t="shared" si="466"/>
        <v>0</v>
      </c>
      <c r="AI1657">
        <f t="shared" si="467"/>
        <v>0</v>
      </c>
    </row>
    <row r="1658" spans="1:35" x14ac:dyDescent="0.2">
      <c r="A1658">
        <v>533</v>
      </c>
      <c r="B1658" t="s">
        <v>1398</v>
      </c>
      <c r="C1658">
        <v>4</v>
      </c>
      <c r="D1658" t="s">
        <v>4466</v>
      </c>
      <c r="E1658" t="s">
        <v>21</v>
      </c>
      <c r="F1658" t="s">
        <v>18</v>
      </c>
      <c r="G1658" t="s">
        <v>39</v>
      </c>
      <c r="H1658" t="s">
        <v>21</v>
      </c>
      <c r="I1658">
        <v>1</v>
      </c>
      <c r="J1658">
        <v>1</v>
      </c>
      <c r="K1658">
        <v>200</v>
      </c>
      <c r="L1658" t="s">
        <v>22</v>
      </c>
      <c r="M1658" t="s">
        <v>115</v>
      </c>
      <c r="N1658" t="s">
        <v>215</v>
      </c>
      <c r="O1658" t="s">
        <v>4467</v>
      </c>
      <c r="P1658" t="s">
        <v>4468</v>
      </c>
      <c r="Q1658">
        <f t="shared" si="450"/>
        <v>1</v>
      </c>
      <c r="R1658">
        <f t="shared" si="451"/>
        <v>4</v>
      </c>
      <c r="S1658">
        <f t="shared" si="452"/>
        <v>5</v>
      </c>
      <c r="T1658">
        <f t="shared" si="453"/>
        <v>1</v>
      </c>
      <c r="U1658">
        <v>200</v>
      </c>
      <c r="V1658">
        <f t="shared" si="454"/>
        <v>1</v>
      </c>
      <c r="W1658">
        <f t="shared" si="455"/>
        <v>0</v>
      </c>
      <c r="X1658">
        <f t="shared" si="456"/>
        <v>0</v>
      </c>
      <c r="Y1658">
        <f t="shared" si="457"/>
        <v>0</v>
      </c>
      <c r="Z1658">
        <f t="shared" si="458"/>
        <v>0</v>
      </c>
      <c r="AA1658">
        <f t="shared" si="459"/>
        <v>0</v>
      </c>
      <c r="AB1658">
        <f t="shared" si="460"/>
        <v>0</v>
      </c>
      <c r="AC1658">
        <f t="shared" si="461"/>
        <v>1</v>
      </c>
      <c r="AD1658">
        <f t="shared" si="462"/>
        <v>0</v>
      </c>
      <c r="AE1658">
        <f t="shared" si="463"/>
        <v>0</v>
      </c>
      <c r="AF1658">
        <f t="shared" si="464"/>
        <v>1</v>
      </c>
      <c r="AG1658">
        <f t="shared" si="465"/>
        <v>0</v>
      </c>
      <c r="AH1658">
        <f t="shared" si="466"/>
        <v>0</v>
      </c>
      <c r="AI1658">
        <f t="shared" si="467"/>
        <v>0</v>
      </c>
    </row>
    <row r="1659" spans="1:35" x14ac:dyDescent="0.2">
      <c r="A1659">
        <v>534</v>
      </c>
      <c r="B1659" t="s">
        <v>1398</v>
      </c>
      <c r="C1659">
        <v>6</v>
      </c>
      <c r="D1659" t="s">
        <v>816</v>
      </c>
      <c r="E1659" t="s">
        <v>21</v>
      </c>
      <c r="F1659" t="s">
        <v>39</v>
      </c>
      <c r="G1659" t="s">
        <v>39</v>
      </c>
      <c r="H1659" t="s">
        <v>21</v>
      </c>
      <c r="I1659">
        <v>1</v>
      </c>
      <c r="J1659">
        <v>3</v>
      </c>
      <c r="K1659">
        <v>5</v>
      </c>
      <c r="L1659" t="s">
        <v>41</v>
      </c>
      <c r="M1659" t="s">
        <v>115</v>
      </c>
      <c r="N1659" t="s">
        <v>215</v>
      </c>
      <c r="O1659" t="s">
        <v>4469</v>
      </c>
      <c r="P1659" t="s">
        <v>4470</v>
      </c>
      <c r="Q1659">
        <f t="shared" si="450"/>
        <v>1</v>
      </c>
      <c r="R1659">
        <f t="shared" si="451"/>
        <v>5</v>
      </c>
      <c r="S1659">
        <f t="shared" si="452"/>
        <v>5</v>
      </c>
      <c r="T1659">
        <f t="shared" si="453"/>
        <v>1</v>
      </c>
      <c r="U1659">
        <v>5</v>
      </c>
      <c r="V1659">
        <f t="shared" si="454"/>
        <v>0</v>
      </c>
      <c r="W1659">
        <f t="shared" si="455"/>
        <v>0</v>
      </c>
      <c r="X1659">
        <f t="shared" si="456"/>
        <v>0</v>
      </c>
      <c r="Y1659">
        <f t="shared" si="457"/>
        <v>0</v>
      </c>
      <c r="Z1659">
        <f t="shared" si="458"/>
        <v>1</v>
      </c>
      <c r="AA1659">
        <f t="shared" si="459"/>
        <v>0</v>
      </c>
      <c r="AB1659">
        <f t="shared" si="460"/>
        <v>0</v>
      </c>
      <c r="AC1659">
        <f t="shared" si="461"/>
        <v>1</v>
      </c>
      <c r="AD1659">
        <f t="shared" si="462"/>
        <v>0</v>
      </c>
      <c r="AE1659">
        <f t="shared" si="463"/>
        <v>0</v>
      </c>
      <c r="AF1659">
        <f t="shared" si="464"/>
        <v>1</v>
      </c>
      <c r="AG1659">
        <f t="shared" si="465"/>
        <v>0</v>
      </c>
      <c r="AH1659">
        <f t="shared" si="466"/>
        <v>0</v>
      </c>
      <c r="AI1659">
        <f t="shared" si="467"/>
        <v>0</v>
      </c>
    </row>
    <row r="1660" spans="1:35" x14ac:dyDescent="0.2">
      <c r="A1660">
        <v>535</v>
      </c>
      <c r="B1660" t="s">
        <v>1398</v>
      </c>
      <c r="C1660">
        <v>9.6</v>
      </c>
      <c r="D1660" t="s">
        <v>4471</v>
      </c>
      <c r="E1660" t="s">
        <v>21</v>
      </c>
      <c r="F1660" t="s">
        <v>39</v>
      </c>
      <c r="G1660" t="s">
        <v>39</v>
      </c>
      <c r="H1660" t="s">
        <v>21</v>
      </c>
      <c r="I1660">
        <v>1</v>
      </c>
      <c r="J1660">
        <v>3</v>
      </c>
      <c r="K1660">
        <v>200</v>
      </c>
      <c r="L1660" t="s">
        <v>230</v>
      </c>
      <c r="M1660" t="s">
        <v>781</v>
      </c>
      <c r="N1660" t="s">
        <v>215</v>
      </c>
      <c r="O1660" t="s">
        <v>814</v>
      </c>
      <c r="P1660" t="s">
        <v>4472</v>
      </c>
      <c r="Q1660">
        <f t="shared" si="450"/>
        <v>1</v>
      </c>
      <c r="R1660">
        <f t="shared" si="451"/>
        <v>5</v>
      </c>
      <c r="S1660">
        <f t="shared" si="452"/>
        <v>5</v>
      </c>
      <c r="T1660">
        <f t="shared" si="453"/>
        <v>1</v>
      </c>
      <c r="U1660">
        <v>200</v>
      </c>
      <c r="V1660">
        <f t="shared" si="454"/>
        <v>1</v>
      </c>
      <c r="W1660">
        <f t="shared" si="455"/>
        <v>1</v>
      </c>
      <c r="X1660">
        <f t="shared" si="456"/>
        <v>1</v>
      </c>
      <c r="Y1660">
        <f t="shared" si="457"/>
        <v>1</v>
      </c>
      <c r="Z1660">
        <f t="shared" si="458"/>
        <v>1</v>
      </c>
      <c r="AA1660">
        <f t="shared" si="459"/>
        <v>0</v>
      </c>
      <c r="AB1660">
        <f t="shared" si="460"/>
        <v>1</v>
      </c>
      <c r="AC1660">
        <f t="shared" si="461"/>
        <v>1</v>
      </c>
      <c r="AD1660">
        <f t="shared" si="462"/>
        <v>1</v>
      </c>
      <c r="AE1660">
        <f t="shared" si="463"/>
        <v>1</v>
      </c>
      <c r="AF1660">
        <f t="shared" si="464"/>
        <v>1</v>
      </c>
      <c r="AG1660">
        <f t="shared" si="465"/>
        <v>0</v>
      </c>
      <c r="AH1660">
        <f t="shared" si="466"/>
        <v>0</v>
      </c>
      <c r="AI1660">
        <f t="shared" si="467"/>
        <v>0</v>
      </c>
    </row>
    <row r="1661" spans="1:35" x14ac:dyDescent="0.2">
      <c r="A1661">
        <v>536</v>
      </c>
      <c r="B1661" t="s">
        <v>1398</v>
      </c>
      <c r="C1661">
        <v>10</v>
      </c>
      <c r="D1661" t="s">
        <v>4473</v>
      </c>
      <c r="E1661" t="s">
        <v>39</v>
      </c>
      <c r="F1661" t="s">
        <v>39</v>
      </c>
      <c r="G1661" t="s">
        <v>39</v>
      </c>
      <c r="H1661" t="s">
        <v>21</v>
      </c>
      <c r="I1661">
        <v>1</v>
      </c>
      <c r="J1661">
        <v>1</v>
      </c>
      <c r="K1661" s="1">
        <v>30</v>
      </c>
      <c r="L1661" t="s">
        <v>41</v>
      </c>
      <c r="M1661" t="s">
        <v>23</v>
      </c>
      <c r="N1661" t="s">
        <v>215</v>
      </c>
      <c r="O1661" t="s">
        <v>909</v>
      </c>
      <c r="P1661" t="s">
        <v>4474</v>
      </c>
      <c r="Q1661">
        <f t="shared" si="450"/>
        <v>5</v>
      </c>
      <c r="R1661">
        <f t="shared" si="451"/>
        <v>5</v>
      </c>
      <c r="S1661">
        <f t="shared" si="452"/>
        <v>5</v>
      </c>
      <c r="T1661">
        <f t="shared" si="453"/>
        <v>1</v>
      </c>
      <c r="U1661">
        <v>30</v>
      </c>
      <c r="V1661">
        <f t="shared" si="454"/>
        <v>0</v>
      </c>
      <c r="W1661">
        <f t="shared" si="455"/>
        <v>0</v>
      </c>
      <c r="X1661">
        <f t="shared" si="456"/>
        <v>0</v>
      </c>
      <c r="Y1661">
        <f t="shared" si="457"/>
        <v>0</v>
      </c>
      <c r="Z1661">
        <f t="shared" si="458"/>
        <v>1</v>
      </c>
      <c r="AA1661">
        <f t="shared" si="459"/>
        <v>1</v>
      </c>
      <c r="AB1661">
        <f t="shared" si="460"/>
        <v>0</v>
      </c>
      <c r="AC1661">
        <f t="shared" si="461"/>
        <v>0</v>
      </c>
      <c r="AD1661">
        <f t="shared" si="462"/>
        <v>0</v>
      </c>
      <c r="AE1661">
        <f t="shared" si="463"/>
        <v>0</v>
      </c>
      <c r="AF1661">
        <f t="shared" si="464"/>
        <v>1</v>
      </c>
      <c r="AG1661">
        <f t="shared" si="465"/>
        <v>0</v>
      </c>
      <c r="AH1661">
        <f t="shared" si="466"/>
        <v>0</v>
      </c>
      <c r="AI1661">
        <f t="shared" si="467"/>
        <v>0</v>
      </c>
    </row>
    <row r="1662" spans="1:35" x14ac:dyDescent="0.2">
      <c r="A1662">
        <v>537</v>
      </c>
      <c r="B1662" t="s">
        <v>1398</v>
      </c>
      <c r="C1662">
        <v>8</v>
      </c>
      <c r="D1662" t="s">
        <v>4475</v>
      </c>
      <c r="E1662" t="s">
        <v>21</v>
      </c>
      <c r="F1662" t="s">
        <v>39</v>
      </c>
      <c r="G1662" t="s">
        <v>39</v>
      </c>
      <c r="H1662" t="s">
        <v>20</v>
      </c>
      <c r="I1662">
        <v>1</v>
      </c>
      <c r="J1662">
        <v>1</v>
      </c>
      <c r="K1662" s="1">
        <v>50</v>
      </c>
      <c r="L1662" t="s">
        <v>601</v>
      </c>
      <c r="M1662" t="s">
        <v>48</v>
      </c>
      <c r="N1662" t="s">
        <v>43</v>
      </c>
      <c r="O1662" t="s">
        <v>590</v>
      </c>
      <c r="P1662" t="s">
        <v>4476</v>
      </c>
      <c r="Q1662">
        <f t="shared" si="450"/>
        <v>1</v>
      </c>
      <c r="R1662">
        <f t="shared" si="451"/>
        <v>5</v>
      </c>
      <c r="S1662">
        <f t="shared" si="452"/>
        <v>5</v>
      </c>
      <c r="T1662">
        <f t="shared" si="453"/>
        <v>2</v>
      </c>
      <c r="U1662">
        <v>50</v>
      </c>
      <c r="V1662">
        <f t="shared" si="454"/>
        <v>0</v>
      </c>
      <c r="W1662">
        <f t="shared" si="455"/>
        <v>1</v>
      </c>
      <c r="X1662">
        <f t="shared" si="456"/>
        <v>0</v>
      </c>
      <c r="Y1662">
        <f t="shared" si="457"/>
        <v>1</v>
      </c>
      <c r="Z1662">
        <f t="shared" si="458"/>
        <v>1</v>
      </c>
      <c r="AA1662">
        <f t="shared" si="459"/>
        <v>1</v>
      </c>
      <c r="AB1662">
        <f t="shared" si="460"/>
        <v>1</v>
      </c>
      <c r="AC1662">
        <f t="shared" si="461"/>
        <v>1</v>
      </c>
      <c r="AD1662">
        <f t="shared" si="462"/>
        <v>0</v>
      </c>
      <c r="AE1662">
        <f t="shared" si="463"/>
        <v>0</v>
      </c>
      <c r="AF1662">
        <f t="shared" si="464"/>
        <v>1</v>
      </c>
      <c r="AG1662">
        <f t="shared" si="465"/>
        <v>1</v>
      </c>
      <c r="AH1662">
        <f t="shared" si="466"/>
        <v>0</v>
      </c>
      <c r="AI1662">
        <f t="shared" si="467"/>
        <v>0</v>
      </c>
    </row>
    <row r="1663" spans="1:35" x14ac:dyDescent="0.2">
      <c r="A1663">
        <v>538</v>
      </c>
      <c r="B1663" t="s">
        <v>1398</v>
      </c>
      <c r="C1663">
        <v>6</v>
      </c>
      <c r="D1663" t="s">
        <v>4477</v>
      </c>
      <c r="E1663" t="s">
        <v>20</v>
      </c>
      <c r="F1663" t="s">
        <v>18</v>
      </c>
      <c r="G1663" t="s">
        <v>18</v>
      </c>
      <c r="H1663" t="s">
        <v>20</v>
      </c>
      <c r="I1663">
        <v>3</v>
      </c>
      <c r="J1663">
        <v>5</v>
      </c>
      <c r="K1663">
        <v>200</v>
      </c>
      <c r="L1663" t="s">
        <v>79</v>
      </c>
      <c r="M1663" t="s">
        <v>468</v>
      </c>
      <c r="N1663" t="s">
        <v>84</v>
      </c>
      <c r="O1663" t="s">
        <v>60</v>
      </c>
      <c r="P1663" t="s">
        <v>4478</v>
      </c>
      <c r="Q1663">
        <f t="shared" si="450"/>
        <v>2</v>
      </c>
      <c r="R1663">
        <f t="shared" si="451"/>
        <v>4</v>
      </c>
      <c r="S1663">
        <f t="shared" si="452"/>
        <v>4</v>
      </c>
      <c r="T1663">
        <f t="shared" si="453"/>
        <v>2</v>
      </c>
      <c r="U1663">
        <v>200</v>
      </c>
      <c r="V1663">
        <f t="shared" si="454"/>
        <v>0</v>
      </c>
      <c r="W1663">
        <f t="shared" si="455"/>
        <v>1</v>
      </c>
      <c r="X1663">
        <f t="shared" si="456"/>
        <v>0</v>
      </c>
      <c r="Y1663">
        <f t="shared" si="457"/>
        <v>0</v>
      </c>
      <c r="Z1663">
        <f t="shared" si="458"/>
        <v>1</v>
      </c>
      <c r="AA1663">
        <f t="shared" si="459"/>
        <v>1</v>
      </c>
      <c r="AB1663">
        <f t="shared" si="460"/>
        <v>1</v>
      </c>
      <c r="AC1663">
        <f t="shared" si="461"/>
        <v>1</v>
      </c>
      <c r="AD1663">
        <f t="shared" si="462"/>
        <v>1</v>
      </c>
      <c r="AE1663">
        <f t="shared" si="463"/>
        <v>1</v>
      </c>
      <c r="AF1663">
        <f t="shared" si="464"/>
        <v>0</v>
      </c>
      <c r="AG1663">
        <f t="shared" si="465"/>
        <v>1</v>
      </c>
      <c r="AH1663">
        <f t="shared" si="466"/>
        <v>0</v>
      </c>
      <c r="AI1663">
        <f t="shared" si="467"/>
        <v>0</v>
      </c>
    </row>
    <row r="1664" spans="1:35" x14ac:dyDescent="0.2">
      <c r="A1664">
        <v>539</v>
      </c>
      <c r="B1664" t="s">
        <v>1398</v>
      </c>
      <c r="C1664">
        <v>5</v>
      </c>
      <c r="D1664" t="s">
        <v>4479</v>
      </c>
      <c r="E1664" t="s">
        <v>18</v>
      </c>
      <c r="F1664" t="s">
        <v>18</v>
      </c>
      <c r="G1664" t="s">
        <v>18</v>
      </c>
      <c r="H1664" t="s">
        <v>20</v>
      </c>
      <c r="I1664">
        <v>10</v>
      </c>
      <c r="J1664">
        <v>3</v>
      </c>
      <c r="K1664">
        <v>350</v>
      </c>
      <c r="L1664" t="s">
        <v>79</v>
      </c>
      <c r="M1664" t="s">
        <v>291</v>
      </c>
      <c r="N1664" t="s">
        <v>84</v>
      </c>
      <c r="O1664" t="s">
        <v>4480</v>
      </c>
      <c r="P1664" t="s">
        <v>4481</v>
      </c>
      <c r="Q1664">
        <f t="shared" si="450"/>
        <v>4</v>
      </c>
      <c r="R1664">
        <f t="shared" si="451"/>
        <v>4</v>
      </c>
      <c r="S1664">
        <f t="shared" si="452"/>
        <v>4</v>
      </c>
      <c r="T1664">
        <f t="shared" si="453"/>
        <v>2</v>
      </c>
      <c r="U1664">
        <v>350</v>
      </c>
      <c r="V1664">
        <f t="shared" si="454"/>
        <v>0</v>
      </c>
      <c r="W1664">
        <f t="shared" si="455"/>
        <v>1</v>
      </c>
      <c r="X1664">
        <f t="shared" si="456"/>
        <v>0</v>
      </c>
      <c r="Y1664">
        <f t="shared" si="457"/>
        <v>0</v>
      </c>
      <c r="Z1664">
        <f t="shared" si="458"/>
        <v>1</v>
      </c>
      <c r="AA1664">
        <f t="shared" si="459"/>
        <v>0</v>
      </c>
      <c r="AB1664">
        <f t="shared" si="460"/>
        <v>1</v>
      </c>
      <c r="AC1664">
        <f t="shared" si="461"/>
        <v>0</v>
      </c>
      <c r="AD1664">
        <f t="shared" si="462"/>
        <v>1</v>
      </c>
      <c r="AE1664">
        <f t="shared" si="463"/>
        <v>0</v>
      </c>
      <c r="AF1664">
        <f t="shared" si="464"/>
        <v>0</v>
      </c>
      <c r="AG1664">
        <f t="shared" si="465"/>
        <v>1</v>
      </c>
      <c r="AH1664">
        <f t="shared" si="466"/>
        <v>0</v>
      </c>
      <c r="AI1664">
        <f t="shared" si="467"/>
        <v>0</v>
      </c>
    </row>
    <row r="1665" spans="1:35" x14ac:dyDescent="0.2">
      <c r="A1665">
        <v>540</v>
      </c>
      <c r="B1665" t="s">
        <v>1398</v>
      </c>
      <c r="C1665">
        <v>6</v>
      </c>
      <c r="D1665" t="s">
        <v>4482</v>
      </c>
      <c r="E1665" t="s">
        <v>21</v>
      </c>
      <c r="F1665" t="s">
        <v>39</v>
      </c>
      <c r="G1665" t="s">
        <v>39</v>
      </c>
      <c r="H1665" t="s">
        <v>20</v>
      </c>
      <c r="I1665">
        <v>2</v>
      </c>
      <c r="J1665">
        <v>1</v>
      </c>
      <c r="K1665">
        <v>400</v>
      </c>
      <c r="L1665" t="s">
        <v>34</v>
      </c>
      <c r="M1665" t="s">
        <v>161</v>
      </c>
      <c r="N1665" t="s">
        <v>43</v>
      </c>
      <c r="O1665" t="s">
        <v>4483</v>
      </c>
      <c r="P1665" t="s">
        <v>4484</v>
      </c>
      <c r="Q1665">
        <f t="shared" si="450"/>
        <v>1</v>
      </c>
      <c r="R1665">
        <f t="shared" si="451"/>
        <v>5</v>
      </c>
      <c r="S1665">
        <f t="shared" si="452"/>
        <v>5</v>
      </c>
      <c r="T1665">
        <f t="shared" si="453"/>
        <v>2</v>
      </c>
      <c r="U1665">
        <v>400</v>
      </c>
      <c r="V1665">
        <f t="shared" si="454"/>
        <v>1</v>
      </c>
      <c r="W1665">
        <f t="shared" si="455"/>
        <v>0</v>
      </c>
      <c r="X1665">
        <f t="shared" si="456"/>
        <v>0</v>
      </c>
      <c r="Y1665">
        <f t="shared" si="457"/>
        <v>1</v>
      </c>
      <c r="Z1665">
        <f t="shared" si="458"/>
        <v>0</v>
      </c>
      <c r="AA1665">
        <f t="shared" si="459"/>
        <v>1</v>
      </c>
      <c r="AB1665">
        <f t="shared" si="460"/>
        <v>1</v>
      </c>
      <c r="AC1665">
        <f t="shared" si="461"/>
        <v>1</v>
      </c>
      <c r="AD1665">
        <f t="shared" si="462"/>
        <v>1</v>
      </c>
      <c r="AE1665">
        <f t="shared" si="463"/>
        <v>0</v>
      </c>
      <c r="AF1665">
        <f t="shared" si="464"/>
        <v>1</v>
      </c>
      <c r="AG1665">
        <f t="shared" si="465"/>
        <v>1</v>
      </c>
      <c r="AH1665">
        <f t="shared" si="466"/>
        <v>0</v>
      </c>
      <c r="AI1665">
        <f t="shared" si="467"/>
        <v>0</v>
      </c>
    </row>
    <row r="1666" spans="1:35" x14ac:dyDescent="0.2">
      <c r="A1666">
        <v>541</v>
      </c>
      <c r="B1666" t="s">
        <v>1398</v>
      </c>
      <c r="C1666">
        <v>5</v>
      </c>
      <c r="D1666" t="s">
        <v>4485</v>
      </c>
      <c r="E1666" t="s">
        <v>21</v>
      </c>
      <c r="F1666" t="s">
        <v>39</v>
      </c>
      <c r="G1666" t="s">
        <v>39</v>
      </c>
      <c r="H1666" t="s">
        <v>21</v>
      </c>
      <c r="I1666">
        <v>3</v>
      </c>
      <c r="J1666">
        <v>2</v>
      </c>
      <c r="K1666">
        <v>50000000</v>
      </c>
      <c r="L1666" t="s">
        <v>70</v>
      </c>
      <c r="M1666" t="s">
        <v>42</v>
      </c>
      <c r="N1666" t="s">
        <v>215</v>
      </c>
      <c r="O1666" t="s">
        <v>4486</v>
      </c>
      <c r="P1666" t="s">
        <v>4487</v>
      </c>
      <c r="Q1666">
        <f t="shared" si="450"/>
        <v>1</v>
      </c>
      <c r="R1666">
        <f t="shared" si="451"/>
        <v>5</v>
      </c>
      <c r="S1666">
        <f t="shared" si="452"/>
        <v>5</v>
      </c>
      <c r="T1666">
        <f t="shared" si="453"/>
        <v>1</v>
      </c>
      <c r="U1666">
        <v>50000000</v>
      </c>
      <c r="V1666">
        <f t="shared" si="454"/>
        <v>0</v>
      </c>
      <c r="W1666">
        <f t="shared" si="455"/>
        <v>0</v>
      </c>
      <c r="X1666">
        <f t="shared" si="456"/>
        <v>0</v>
      </c>
      <c r="Y1666">
        <f t="shared" si="457"/>
        <v>1</v>
      </c>
      <c r="Z1666">
        <f t="shared" si="458"/>
        <v>0</v>
      </c>
      <c r="AA1666">
        <f t="shared" si="459"/>
        <v>0</v>
      </c>
      <c r="AB1666">
        <f t="shared" si="460"/>
        <v>1</v>
      </c>
      <c r="AC1666">
        <f t="shared" si="461"/>
        <v>0</v>
      </c>
      <c r="AD1666">
        <f t="shared" si="462"/>
        <v>0</v>
      </c>
      <c r="AE1666">
        <f t="shared" si="463"/>
        <v>0</v>
      </c>
      <c r="AF1666">
        <f t="shared" si="464"/>
        <v>1</v>
      </c>
      <c r="AG1666">
        <f t="shared" si="465"/>
        <v>0</v>
      </c>
      <c r="AH1666">
        <f t="shared" si="466"/>
        <v>0</v>
      </c>
      <c r="AI1666">
        <f t="shared" si="467"/>
        <v>0</v>
      </c>
    </row>
    <row r="1667" spans="1:35" x14ac:dyDescent="0.2">
      <c r="A1667">
        <v>542</v>
      </c>
      <c r="B1667" t="s">
        <v>1398</v>
      </c>
      <c r="C1667">
        <v>6</v>
      </c>
      <c r="D1667" t="s">
        <v>1418</v>
      </c>
      <c r="E1667" t="s">
        <v>20</v>
      </c>
      <c r="F1667" t="s">
        <v>18</v>
      </c>
      <c r="G1667" t="s">
        <v>18</v>
      </c>
      <c r="H1667" t="s">
        <v>20</v>
      </c>
      <c r="I1667">
        <v>1</v>
      </c>
      <c r="J1667">
        <v>3</v>
      </c>
      <c r="K1667">
        <v>60</v>
      </c>
      <c r="L1667" t="s">
        <v>41</v>
      </c>
      <c r="M1667" t="s">
        <v>48</v>
      </c>
      <c r="N1667" t="s">
        <v>43</v>
      </c>
      <c r="O1667" t="s">
        <v>4302</v>
      </c>
      <c r="P1667" t="s">
        <v>4488</v>
      </c>
      <c r="Q1667">
        <f t="shared" ref="Q1667:Q1687" si="468">IF(E1667="", "", LEFT(E1667, 1) * 1)</f>
        <v>2</v>
      </c>
      <c r="R1667">
        <f t="shared" ref="R1667:R1687" si="469">IF(F1667="","",VALUE(LEFT(F1667,FIND(" ",F1667)-1)))</f>
        <v>4</v>
      </c>
      <c r="S1667">
        <f t="shared" ref="S1667:S1687" si="470">IF(G1667="","",VALUE(LEFT(G1667,FIND(" ",G1667)-1)))</f>
        <v>4</v>
      </c>
      <c r="T1667">
        <f t="shared" ref="T1667:T1687" si="471">IF(H1667="","",VALUE(LEFT(H1667,FIND(" ",H1667)-1)))</f>
        <v>2</v>
      </c>
      <c r="U1667">
        <v>60</v>
      </c>
      <c r="V1667">
        <f t="shared" ref="V1667:V1687" si="472">IF(L1667="",0,IF(ISNUMBER(SEARCH("Bathroom",L1667)),1,0))</f>
        <v>0</v>
      </c>
      <c r="W1667">
        <f t="shared" ref="W1667:W1687" si="473">IF(L1667="",0,IF(ISNUMBER(SEARCH("Dining room",L1667)),1,0))</f>
        <v>0</v>
      </c>
      <c r="X1667">
        <f t="shared" ref="X1667:X1687" si="474">IF(L1667="",0,IF(ISNUMBER(SEARCH("Office",L1667)),1,0))</f>
        <v>0</v>
      </c>
      <c r="Y1667">
        <f t="shared" ref="Y1667:Y1687" si="475">IF(L1667="",0,IF(ISNUMBER(SEARCH("Bedroom",L1667)),1,0))</f>
        <v>0</v>
      </c>
      <c r="Z1667">
        <f t="shared" ref="Z1667:Z1687" si="476">IF(L1667="",0,IF(ISNUMBER(SEARCH("Living room",L1667)),1,0))</f>
        <v>1</v>
      </c>
      <c r="AA1667">
        <f t="shared" ref="AA1667:AA1687" si="477">IF(M1667="",0, IF(ISNUMBER(SEARCH("By yourself",M1667)), 1, 0))</f>
        <v>1</v>
      </c>
      <c r="AB1667">
        <f t="shared" ref="AB1667:AB1730" si="478">IF(M1667="", 0, IF(ISNUMBER(SEARCH("Friends", M1667)), 1, 0))</f>
        <v>1</v>
      </c>
      <c r="AC1667">
        <f t="shared" ref="AC1667:AC1687" si="479">IF(M1667="",0,IF(ISNUMBER(SEARCH("Family members", M1667)), 1, 0))</f>
        <v>1</v>
      </c>
      <c r="AD1667">
        <f t="shared" ref="AD1667:AD1687" si="480">IF(M1667="", 0, IF(ISNUMBER(SEARCH("Coworkers/Classmates", M1667)), 1, 0))</f>
        <v>0</v>
      </c>
      <c r="AE1667">
        <f t="shared" ref="AE1667:AE1687" si="481">IF(M1667="", 0, IF(ISNUMBER(SEARCH("Strangers", M1667)), 1, 0))</f>
        <v>0</v>
      </c>
      <c r="AF1667">
        <f t="shared" ref="AF1667:AF1686" si="482">IF(N1667="", 0, IF(ISNUMBER(SEARCH("Spring", N1667)), 1, 0))</f>
        <v>1</v>
      </c>
      <c r="AG1667">
        <f t="shared" ref="AG1667:AG1687" si="483">IF(N1667="", 0, IF(ISNUMBER(SEARCH("Summer", N1667)), 1, 0))</f>
        <v>1</v>
      </c>
      <c r="AH1667">
        <f t="shared" ref="AH1667:AH1687" si="484">IF(N1667="", 0, IF(ISNUMBER(SEARCH("Fall", N1667)), 1, 0))</f>
        <v>0</v>
      </c>
      <c r="AI1667">
        <f t="shared" ref="AI1667:AI1687" si="485">IF(N1667="", 0, IF(ISNUMBER(SEARCH("Winter", N1667)), 1, 0))</f>
        <v>0</v>
      </c>
    </row>
    <row r="1668" spans="1:35" x14ac:dyDescent="0.2">
      <c r="A1668">
        <v>543</v>
      </c>
      <c r="B1668" t="s">
        <v>1398</v>
      </c>
      <c r="C1668">
        <v>8</v>
      </c>
      <c r="D1668" t="s">
        <v>4489</v>
      </c>
      <c r="E1668" t="s">
        <v>18</v>
      </c>
      <c r="F1668" t="s">
        <v>39</v>
      </c>
      <c r="G1668" t="s">
        <v>18</v>
      </c>
      <c r="H1668" t="s">
        <v>21</v>
      </c>
      <c r="I1668">
        <v>5</v>
      </c>
      <c r="J1668">
        <v>4</v>
      </c>
      <c r="K1668">
        <v>50</v>
      </c>
      <c r="L1668" t="s">
        <v>79</v>
      </c>
      <c r="M1668" t="s">
        <v>280</v>
      </c>
      <c r="N1668" t="s">
        <v>43</v>
      </c>
      <c r="O1668" t="s">
        <v>4490</v>
      </c>
      <c r="P1668" t="s">
        <v>4491</v>
      </c>
      <c r="Q1668">
        <f t="shared" si="468"/>
        <v>4</v>
      </c>
      <c r="R1668">
        <f t="shared" si="469"/>
        <v>5</v>
      </c>
      <c r="S1668">
        <f t="shared" si="470"/>
        <v>4</v>
      </c>
      <c r="T1668">
        <f t="shared" si="471"/>
        <v>1</v>
      </c>
      <c r="U1668">
        <v>50</v>
      </c>
      <c r="V1668">
        <f t="shared" si="472"/>
        <v>0</v>
      </c>
      <c r="W1668">
        <f t="shared" si="473"/>
        <v>1</v>
      </c>
      <c r="X1668">
        <f t="shared" si="474"/>
        <v>0</v>
      </c>
      <c r="Y1668">
        <f t="shared" si="475"/>
        <v>0</v>
      </c>
      <c r="Z1668">
        <f t="shared" si="476"/>
        <v>1</v>
      </c>
      <c r="AA1668">
        <f t="shared" si="477"/>
        <v>0</v>
      </c>
      <c r="AB1668">
        <f t="shared" si="478"/>
        <v>1</v>
      </c>
      <c r="AC1668">
        <f t="shared" si="479"/>
        <v>1</v>
      </c>
      <c r="AD1668">
        <f t="shared" si="480"/>
        <v>1</v>
      </c>
      <c r="AE1668">
        <f t="shared" si="481"/>
        <v>0</v>
      </c>
      <c r="AF1668">
        <f t="shared" si="482"/>
        <v>1</v>
      </c>
      <c r="AG1668">
        <f t="shared" si="483"/>
        <v>1</v>
      </c>
      <c r="AH1668">
        <f t="shared" si="484"/>
        <v>0</v>
      </c>
      <c r="AI1668">
        <f t="shared" si="485"/>
        <v>0</v>
      </c>
    </row>
    <row r="1669" spans="1:35" x14ac:dyDescent="0.2">
      <c r="A1669">
        <v>544</v>
      </c>
      <c r="B1669" t="s">
        <v>1398</v>
      </c>
      <c r="C1669">
        <v>10</v>
      </c>
      <c r="D1669" t="s">
        <v>4492</v>
      </c>
      <c r="E1669" t="s">
        <v>21</v>
      </c>
      <c r="F1669" t="s">
        <v>39</v>
      </c>
      <c r="G1669" t="s">
        <v>39</v>
      </c>
      <c r="H1669" t="s">
        <v>21</v>
      </c>
      <c r="I1669">
        <v>5</v>
      </c>
      <c r="J1669">
        <v>4</v>
      </c>
      <c r="K1669">
        <v>1000000000</v>
      </c>
      <c r="L1669" t="s">
        <v>41</v>
      </c>
      <c r="M1669" t="s">
        <v>468</v>
      </c>
      <c r="N1669" t="s">
        <v>215</v>
      </c>
      <c r="O1669" t="s">
        <v>4493</v>
      </c>
      <c r="P1669" t="s">
        <v>4494</v>
      </c>
      <c r="Q1669">
        <f t="shared" si="468"/>
        <v>1</v>
      </c>
      <c r="R1669">
        <f t="shared" si="469"/>
        <v>5</v>
      </c>
      <c r="S1669">
        <f t="shared" si="470"/>
        <v>5</v>
      </c>
      <c r="T1669">
        <f t="shared" si="471"/>
        <v>1</v>
      </c>
      <c r="U1669">
        <v>1000000000</v>
      </c>
      <c r="V1669">
        <f t="shared" si="472"/>
        <v>0</v>
      </c>
      <c r="W1669">
        <f t="shared" si="473"/>
        <v>0</v>
      </c>
      <c r="X1669">
        <f t="shared" si="474"/>
        <v>0</v>
      </c>
      <c r="Y1669">
        <f t="shared" si="475"/>
        <v>0</v>
      </c>
      <c r="Z1669">
        <f t="shared" si="476"/>
        <v>1</v>
      </c>
      <c r="AA1669">
        <f t="shared" si="477"/>
        <v>1</v>
      </c>
      <c r="AB1669">
        <f t="shared" si="478"/>
        <v>1</v>
      </c>
      <c r="AC1669">
        <f t="shared" si="479"/>
        <v>1</v>
      </c>
      <c r="AD1669">
        <f t="shared" si="480"/>
        <v>1</v>
      </c>
      <c r="AE1669">
        <f t="shared" si="481"/>
        <v>1</v>
      </c>
      <c r="AF1669">
        <f t="shared" si="482"/>
        <v>1</v>
      </c>
      <c r="AG1669">
        <f t="shared" si="483"/>
        <v>0</v>
      </c>
      <c r="AH1669">
        <f t="shared" si="484"/>
        <v>0</v>
      </c>
      <c r="AI1669">
        <f t="shared" si="485"/>
        <v>0</v>
      </c>
    </row>
    <row r="1670" spans="1:35" x14ac:dyDescent="0.2">
      <c r="A1670">
        <v>545</v>
      </c>
      <c r="B1670" t="s">
        <v>1398</v>
      </c>
      <c r="C1670">
        <v>5</v>
      </c>
      <c r="D1670" t="s">
        <v>4495</v>
      </c>
      <c r="E1670" t="s">
        <v>21</v>
      </c>
      <c r="F1670" t="s">
        <v>39</v>
      </c>
      <c r="G1670" t="s">
        <v>39</v>
      </c>
      <c r="H1670" t="s">
        <v>21</v>
      </c>
      <c r="I1670">
        <v>1</v>
      </c>
      <c r="J1670">
        <v>3</v>
      </c>
      <c r="K1670">
        <v>100</v>
      </c>
      <c r="L1670" t="s">
        <v>194</v>
      </c>
      <c r="M1670" t="s">
        <v>23</v>
      </c>
      <c r="N1670" t="s">
        <v>43</v>
      </c>
      <c r="O1670" t="s">
        <v>4231</v>
      </c>
      <c r="P1670" t="s">
        <v>4496</v>
      </c>
      <c r="Q1670">
        <f t="shared" si="468"/>
        <v>1</v>
      </c>
      <c r="R1670">
        <f t="shared" si="469"/>
        <v>5</v>
      </c>
      <c r="S1670">
        <f t="shared" si="470"/>
        <v>5</v>
      </c>
      <c r="T1670">
        <f t="shared" si="471"/>
        <v>1</v>
      </c>
      <c r="U1670">
        <v>100</v>
      </c>
      <c r="V1670">
        <f t="shared" si="472"/>
        <v>0</v>
      </c>
      <c r="W1670">
        <f t="shared" si="473"/>
        <v>0</v>
      </c>
      <c r="X1670">
        <f t="shared" si="474"/>
        <v>0</v>
      </c>
      <c r="Y1670">
        <f t="shared" si="475"/>
        <v>1</v>
      </c>
      <c r="Z1670">
        <f t="shared" si="476"/>
        <v>1</v>
      </c>
      <c r="AA1670">
        <f t="shared" si="477"/>
        <v>1</v>
      </c>
      <c r="AB1670">
        <f t="shared" si="478"/>
        <v>0</v>
      </c>
      <c r="AC1670">
        <f t="shared" si="479"/>
        <v>0</v>
      </c>
      <c r="AD1670">
        <f t="shared" si="480"/>
        <v>0</v>
      </c>
      <c r="AE1670">
        <f t="shared" si="481"/>
        <v>0</v>
      </c>
      <c r="AF1670">
        <f t="shared" si="482"/>
        <v>1</v>
      </c>
      <c r="AG1670">
        <f t="shared" si="483"/>
        <v>1</v>
      </c>
      <c r="AH1670">
        <f t="shared" si="484"/>
        <v>0</v>
      </c>
      <c r="AI1670">
        <f t="shared" si="485"/>
        <v>0</v>
      </c>
    </row>
    <row r="1671" spans="1:35" x14ac:dyDescent="0.2">
      <c r="A1671">
        <v>546</v>
      </c>
      <c r="B1671" t="s">
        <v>1398</v>
      </c>
      <c r="C1671">
        <v>8</v>
      </c>
      <c r="D1671" t="s">
        <v>3223</v>
      </c>
      <c r="E1671" t="s">
        <v>21</v>
      </c>
      <c r="F1671" t="s">
        <v>18</v>
      </c>
      <c r="G1671" t="s">
        <v>39</v>
      </c>
      <c r="H1671" t="s">
        <v>21</v>
      </c>
      <c r="I1671">
        <v>2</v>
      </c>
      <c r="J1671">
        <v>2</v>
      </c>
      <c r="K1671">
        <v>900</v>
      </c>
      <c r="L1671" t="s">
        <v>79</v>
      </c>
      <c r="M1671" t="s">
        <v>48</v>
      </c>
      <c r="N1671" t="s">
        <v>215</v>
      </c>
      <c r="O1671" t="s">
        <v>1419</v>
      </c>
      <c r="P1671" t="s">
        <v>4497</v>
      </c>
      <c r="Q1671">
        <f t="shared" si="468"/>
        <v>1</v>
      </c>
      <c r="R1671">
        <f t="shared" si="469"/>
        <v>4</v>
      </c>
      <c r="S1671">
        <f t="shared" si="470"/>
        <v>5</v>
      </c>
      <c r="T1671">
        <f t="shared" si="471"/>
        <v>1</v>
      </c>
      <c r="U1671">
        <v>900</v>
      </c>
      <c r="V1671">
        <f t="shared" si="472"/>
        <v>0</v>
      </c>
      <c r="W1671">
        <f t="shared" si="473"/>
        <v>1</v>
      </c>
      <c r="X1671">
        <f t="shared" si="474"/>
        <v>0</v>
      </c>
      <c r="Y1671">
        <f t="shared" si="475"/>
        <v>0</v>
      </c>
      <c r="Z1671">
        <f t="shared" si="476"/>
        <v>1</v>
      </c>
      <c r="AA1671">
        <f t="shared" si="477"/>
        <v>1</v>
      </c>
      <c r="AB1671">
        <f t="shared" si="478"/>
        <v>1</v>
      </c>
      <c r="AC1671">
        <f t="shared" si="479"/>
        <v>1</v>
      </c>
      <c r="AD1671">
        <f t="shared" si="480"/>
        <v>0</v>
      </c>
      <c r="AE1671">
        <f t="shared" si="481"/>
        <v>0</v>
      </c>
      <c r="AF1671">
        <f t="shared" si="482"/>
        <v>1</v>
      </c>
      <c r="AG1671">
        <f t="shared" si="483"/>
        <v>0</v>
      </c>
      <c r="AH1671">
        <f t="shared" si="484"/>
        <v>0</v>
      </c>
      <c r="AI1671">
        <f t="shared" si="485"/>
        <v>0</v>
      </c>
    </row>
    <row r="1672" spans="1:35" x14ac:dyDescent="0.2">
      <c r="A1672">
        <v>547</v>
      </c>
      <c r="B1672" t="s">
        <v>1398</v>
      </c>
      <c r="C1672">
        <v>2</v>
      </c>
      <c r="D1672" t="s">
        <v>1199</v>
      </c>
      <c r="E1672" t="s">
        <v>21</v>
      </c>
      <c r="F1672" t="s">
        <v>18</v>
      </c>
      <c r="G1672" t="s">
        <v>39</v>
      </c>
      <c r="H1672" t="s">
        <v>21</v>
      </c>
      <c r="I1672">
        <v>1</v>
      </c>
      <c r="J1672">
        <v>2</v>
      </c>
      <c r="K1672" t="s">
        <v>4498</v>
      </c>
      <c r="L1672" t="s">
        <v>53</v>
      </c>
      <c r="M1672" t="s">
        <v>23</v>
      </c>
      <c r="N1672" t="s">
        <v>215</v>
      </c>
      <c r="O1672" t="s">
        <v>4499</v>
      </c>
      <c r="P1672" t="s">
        <v>4500</v>
      </c>
      <c r="Q1672">
        <f t="shared" si="468"/>
        <v>1</v>
      </c>
      <c r="R1672">
        <f t="shared" si="469"/>
        <v>4</v>
      </c>
      <c r="S1672">
        <f t="shared" si="470"/>
        <v>5</v>
      </c>
      <c r="T1672">
        <f t="shared" si="471"/>
        <v>1</v>
      </c>
      <c r="U1672">
        <v>10</v>
      </c>
      <c r="V1672">
        <f t="shared" si="472"/>
        <v>0</v>
      </c>
      <c r="W1672">
        <f t="shared" si="473"/>
        <v>0</v>
      </c>
      <c r="X1672">
        <f t="shared" si="474"/>
        <v>1</v>
      </c>
      <c r="Y1672">
        <f t="shared" si="475"/>
        <v>0</v>
      </c>
      <c r="Z1672">
        <f t="shared" si="476"/>
        <v>0</v>
      </c>
      <c r="AA1672">
        <f t="shared" si="477"/>
        <v>1</v>
      </c>
      <c r="AB1672">
        <f t="shared" si="478"/>
        <v>0</v>
      </c>
      <c r="AC1672">
        <f t="shared" si="479"/>
        <v>0</v>
      </c>
      <c r="AD1672">
        <f t="shared" si="480"/>
        <v>0</v>
      </c>
      <c r="AE1672">
        <f t="shared" si="481"/>
        <v>0</v>
      </c>
      <c r="AF1672">
        <f t="shared" si="482"/>
        <v>1</v>
      </c>
      <c r="AG1672">
        <f t="shared" si="483"/>
        <v>0</v>
      </c>
      <c r="AH1672">
        <f t="shared" si="484"/>
        <v>0</v>
      </c>
      <c r="AI1672">
        <f t="shared" si="485"/>
        <v>0</v>
      </c>
    </row>
    <row r="1673" spans="1:35" x14ac:dyDescent="0.2">
      <c r="A1673">
        <v>548</v>
      </c>
      <c r="B1673" t="s">
        <v>1398</v>
      </c>
      <c r="C1673">
        <v>6</v>
      </c>
      <c r="D1673" t="s">
        <v>4501</v>
      </c>
      <c r="E1673" t="s">
        <v>21</v>
      </c>
      <c r="F1673" t="s">
        <v>18</v>
      </c>
      <c r="G1673" t="s">
        <v>18</v>
      </c>
      <c r="H1673" t="s">
        <v>21</v>
      </c>
      <c r="I1673">
        <v>2</v>
      </c>
      <c r="J1673">
        <v>2</v>
      </c>
      <c r="K1673">
        <v>14.99</v>
      </c>
      <c r="L1673" t="s">
        <v>47</v>
      </c>
      <c r="M1673" t="s">
        <v>123</v>
      </c>
      <c r="N1673" t="s">
        <v>43</v>
      </c>
      <c r="O1673" t="s">
        <v>4502</v>
      </c>
      <c r="P1673" t="s">
        <v>4503</v>
      </c>
      <c r="Q1673">
        <f t="shared" si="468"/>
        <v>1</v>
      </c>
      <c r="R1673">
        <f t="shared" si="469"/>
        <v>4</v>
      </c>
      <c r="S1673">
        <f t="shared" si="470"/>
        <v>4</v>
      </c>
      <c r="T1673">
        <f t="shared" si="471"/>
        <v>1</v>
      </c>
      <c r="U1673">
        <v>14.99</v>
      </c>
      <c r="V1673">
        <f t="shared" si="472"/>
        <v>0</v>
      </c>
      <c r="W1673">
        <f t="shared" si="473"/>
        <v>0</v>
      </c>
      <c r="X1673">
        <f t="shared" si="474"/>
        <v>1</v>
      </c>
      <c r="Y1673">
        <f t="shared" si="475"/>
        <v>0</v>
      </c>
      <c r="Z1673">
        <f t="shared" si="476"/>
        <v>1</v>
      </c>
      <c r="AA1673">
        <f t="shared" si="477"/>
        <v>0</v>
      </c>
      <c r="AB1673">
        <f t="shared" si="478"/>
        <v>1</v>
      </c>
      <c r="AC1673">
        <f t="shared" si="479"/>
        <v>1</v>
      </c>
      <c r="AD1673">
        <f t="shared" si="480"/>
        <v>0</v>
      </c>
      <c r="AE1673">
        <f t="shared" si="481"/>
        <v>0</v>
      </c>
      <c r="AF1673">
        <f t="shared" si="482"/>
        <v>1</v>
      </c>
      <c r="AG1673">
        <f t="shared" si="483"/>
        <v>1</v>
      </c>
      <c r="AH1673">
        <f t="shared" si="484"/>
        <v>0</v>
      </c>
      <c r="AI1673">
        <f t="shared" si="485"/>
        <v>0</v>
      </c>
    </row>
    <row r="1674" spans="1:35" x14ac:dyDescent="0.2">
      <c r="A1674">
        <v>549</v>
      </c>
      <c r="B1674" t="s">
        <v>1398</v>
      </c>
      <c r="C1674">
        <v>7</v>
      </c>
      <c r="D1674" t="s">
        <v>4504</v>
      </c>
      <c r="E1674" t="s">
        <v>18</v>
      </c>
      <c r="F1674" t="s">
        <v>39</v>
      </c>
      <c r="G1674" t="s">
        <v>18</v>
      </c>
      <c r="H1674" t="s">
        <v>20</v>
      </c>
      <c r="I1674">
        <v>1</v>
      </c>
      <c r="J1674">
        <v>1</v>
      </c>
      <c r="K1674">
        <v>20</v>
      </c>
      <c r="L1674" t="s">
        <v>494</v>
      </c>
      <c r="M1674" t="s">
        <v>468</v>
      </c>
      <c r="N1674" t="s">
        <v>43</v>
      </c>
      <c r="O1674" t="s">
        <v>1558</v>
      </c>
      <c r="P1674" t="s">
        <v>4505</v>
      </c>
      <c r="Q1674">
        <f t="shared" si="468"/>
        <v>4</v>
      </c>
      <c r="R1674">
        <f t="shared" si="469"/>
        <v>5</v>
      </c>
      <c r="S1674">
        <f t="shared" si="470"/>
        <v>4</v>
      </c>
      <c r="T1674">
        <f t="shared" si="471"/>
        <v>2</v>
      </c>
      <c r="U1674">
        <v>20</v>
      </c>
      <c r="V1674">
        <f t="shared" si="472"/>
        <v>0</v>
      </c>
      <c r="W1674">
        <f t="shared" si="473"/>
        <v>1</v>
      </c>
      <c r="X1674">
        <f t="shared" si="474"/>
        <v>1</v>
      </c>
      <c r="Y1674">
        <f t="shared" si="475"/>
        <v>1</v>
      </c>
      <c r="Z1674">
        <f t="shared" si="476"/>
        <v>1</v>
      </c>
      <c r="AA1674">
        <f t="shared" si="477"/>
        <v>1</v>
      </c>
      <c r="AB1674">
        <f t="shared" si="478"/>
        <v>1</v>
      </c>
      <c r="AC1674">
        <f t="shared" si="479"/>
        <v>1</v>
      </c>
      <c r="AD1674">
        <f t="shared" si="480"/>
        <v>1</v>
      </c>
      <c r="AE1674">
        <f t="shared" si="481"/>
        <v>1</v>
      </c>
      <c r="AF1674">
        <f t="shared" si="482"/>
        <v>1</v>
      </c>
      <c r="AG1674">
        <f t="shared" si="483"/>
        <v>1</v>
      </c>
      <c r="AH1674">
        <f t="shared" si="484"/>
        <v>0</v>
      </c>
      <c r="AI1674">
        <f t="shared" si="485"/>
        <v>0</v>
      </c>
    </row>
    <row r="1675" spans="1:35" x14ac:dyDescent="0.2">
      <c r="A1675">
        <v>550</v>
      </c>
      <c r="B1675" t="s">
        <v>1398</v>
      </c>
      <c r="C1675">
        <v>2</v>
      </c>
      <c r="D1675" t="s">
        <v>1551</v>
      </c>
      <c r="E1675" t="s">
        <v>20</v>
      </c>
      <c r="F1675" t="s">
        <v>18</v>
      </c>
      <c r="G1675" t="s">
        <v>18</v>
      </c>
      <c r="H1675" t="s">
        <v>20</v>
      </c>
      <c r="I1675">
        <v>3</v>
      </c>
      <c r="J1675">
        <v>2</v>
      </c>
      <c r="K1675">
        <v>67</v>
      </c>
      <c r="L1675" t="s">
        <v>22</v>
      </c>
      <c r="M1675" t="s">
        <v>219</v>
      </c>
      <c r="N1675" t="s">
        <v>215</v>
      </c>
      <c r="O1675" t="s">
        <v>272</v>
      </c>
      <c r="P1675" t="s">
        <v>4506</v>
      </c>
      <c r="Q1675">
        <f t="shared" si="468"/>
        <v>2</v>
      </c>
      <c r="R1675">
        <f t="shared" si="469"/>
        <v>4</v>
      </c>
      <c r="S1675">
        <f t="shared" si="470"/>
        <v>4</v>
      </c>
      <c r="T1675">
        <f t="shared" si="471"/>
        <v>2</v>
      </c>
      <c r="U1675">
        <v>67</v>
      </c>
      <c r="V1675">
        <f t="shared" si="472"/>
        <v>1</v>
      </c>
      <c r="W1675">
        <f t="shared" si="473"/>
        <v>0</v>
      </c>
      <c r="X1675">
        <f t="shared" si="474"/>
        <v>0</v>
      </c>
      <c r="Y1675">
        <f t="shared" si="475"/>
        <v>0</v>
      </c>
      <c r="Z1675">
        <f t="shared" si="476"/>
        <v>0</v>
      </c>
      <c r="AA1675">
        <f t="shared" si="477"/>
        <v>0</v>
      </c>
      <c r="AB1675">
        <f t="shared" si="478"/>
        <v>0</v>
      </c>
      <c r="AC1675">
        <f t="shared" si="479"/>
        <v>0</v>
      </c>
      <c r="AD1675">
        <f t="shared" si="480"/>
        <v>0</v>
      </c>
      <c r="AE1675">
        <f t="shared" si="481"/>
        <v>1</v>
      </c>
      <c r="AF1675">
        <f t="shared" si="482"/>
        <v>1</v>
      </c>
      <c r="AG1675">
        <f t="shared" si="483"/>
        <v>0</v>
      </c>
      <c r="AH1675">
        <f t="shared" si="484"/>
        <v>0</v>
      </c>
      <c r="AI1675">
        <f t="shared" si="485"/>
        <v>0</v>
      </c>
    </row>
    <row r="1676" spans="1:35" x14ac:dyDescent="0.2">
      <c r="A1676">
        <v>551</v>
      </c>
      <c r="B1676" t="s">
        <v>1398</v>
      </c>
      <c r="C1676">
        <v>9</v>
      </c>
      <c r="D1676" t="s">
        <v>4507</v>
      </c>
      <c r="E1676" t="s">
        <v>20</v>
      </c>
      <c r="F1676" t="s">
        <v>39</v>
      </c>
      <c r="G1676" t="s">
        <v>39</v>
      </c>
      <c r="H1676" t="s">
        <v>21</v>
      </c>
      <c r="I1676">
        <v>2</v>
      </c>
      <c r="J1676">
        <v>1</v>
      </c>
      <c r="K1676">
        <v>0</v>
      </c>
      <c r="L1676" t="s">
        <v>494</v>
      </c>
      <c r="M1676" t="s">
        <v>436</v>
      </c>
      <c r="N1676" t="s">
        <v>215</v>
      </c>
      <c r="O1676" t="s">
        <v>4302</v>
      </c>
      <c r="P1676" t="s">
        <v>4508</v>
      </c>
      <c r="Q1676">
        <f t="shared" si="468"/>
        <v>2</v>
      </c>
      <c r="R1676">
        <f t="shared" si="469"/>
        <v>5</v>
      </c>
      <c r="S1676">
        <f t="shared" si="470"/>
        <v>5</v>
      </c>
      <c r="T1676">
        <f t="shared" si="471"/>
        <v>1</v>
      </c>
      <c r="U1676">
        <v>0</v>
      </c>
      <c r="V1676">
        <f t="shared" si="472"/>
        <v>0</v>
      </c>
      <c r="W1676">
        <f t="shared" si="473"/>
        <v>1</v>
      </c>
      <c r="X1676">
        <f t="shared" si="474"/>
        <v>1</v>
      </c>
      <c r="Y1676">
        <f t="shared" si="475"/>
        <v>1</v>
      </c>
      <c r="Z1676">
        <f t="shared" si="476"/>
        <v>1</v>
      </c>
      <c r="AA1676">
        <f t="shared" si="477"/>
        <v>1</v>
      </c>
      <c r="AB1676">
        <f t="shared" si="478"/>
        <v>0</v>
      </c>
      <c r="AC1676">
        <f t="shared" si="479"/>
        <v>0</v>
      </c>
      <c r="AD1676">
        <f t="shared" si="480"/>
        <v>1</v>
      </c>
      <c r="AE1676">
        <f t="shared" si="481"/>
        <v>1</v>
      </c>
      <c r="AF1676">
        <f t="shared" si="482"/>
        <v>1</v>
      </c>
      <c r="AG1676">
        <f t="shared" si="483"/>
        <v>0</v>
      </c>
      <c r="AH1676">
        <f t="shared" si="484"/>
        <v>0</v>
      </c>
      <c r="AI1676">
        <f t="shared" si="485"/>
        <v>0</v>
      </c>
    </row>
    <row r="1677" spans="1:35" x14ac:dyDescent="0.2">
      <c r="A1677">
        <v>552</v>
      </c>
      <c r="B1677" t="s">
        <v>1398</v>
      </c>
      <c r="C1677">
        <v>8</v>
      </c>
      <c r="D1677" t="s">
        <v>4509</v>
      </c>
      <c r="E1677" t="s">
        <v>21</v>
      </c>
      <c r="F1677" t="s">
        <v>39</v>
      </c>
      <c r="G1677" t="s">
        <v>39</v>
      </c>
      <c r="H1677" t="s">
        <v>21</v>
      </c>
      <c r="I1677">
        <v>4</v>
      </c>
      <c r="J1677">
        <v>3</v>
      </c>
      <c r="K1677">
        <v>100</v>
      </c>
      <c r="L1677" t="s">
        <v>41</v>
      </c>
      <c r="M1677" t="s">
        <v>115</v>
      </c>
      <c r="N1677" t="s">
        <v>84</v>
      </c>
      <c r="O1677" t="s">
        <v>4510</v>
      </c>
      <c r="P1677" t="s">
        <v>4511</v>
      </c>
      <c r="Q1677">
        <f t="shared" si="468"/>
        <v>1</v>
      </c>
      <c r="R1677">
        <f t="shared" si="469"/>
        <v>5</v>
      </c>
      <c r="S1677">
        <f t="shared" si="470"/>
        <v>5</v>
      </c>
      <c r="T1677">
        <f t="shared" si="471"/>
        <v>1</v>
      </c>
      <c r="U1677">
        <v>100</v>
      </c>
      <c r="V1677">
        <f t="shared" si="472"/>
        <v>0</v>
      </c>
      <c r="W1677">
        <f t="shared" si="473"/>
        <v>0</v>
      </c>
      <c r="X1677">
        <f t="shared" si="474"/>
        <v>0</v>
      </c>
      <c r="Y1677">
        <f t="shared" si="475"/>
        <v>0</v>
      </c>
      <c r="Z1677">
        <f t="shared" si="476"/>
        <v>1</v>
      </c>
      <c r="AA1677">
        <f t="shared" si="477"/>
        <v>0</v>
      </c>
      <c r="AB1677">
        <f t="shared" si="478"/>
        <v>0</v>
      </c>
      <c r="AC1677">
        <f t="shared" si="479"/>
        <v>1</v>
      </c>
      <c r="AD1677">
        <f t="shared" si="480"/>
        <v>0</v>
      </c>
      <c r="AE1677">
        <f t="shared" si="481"/>
        <v>0</v>
      </c>
      <c r="AF1677">
        <f t="shared" si="482"/>
        <v>0</v>
      </c>
      <c r="AG1677">
        <f t="shared" si="483"/>
        <v>1</v>
      </c>
      <c r="AH1677">
        <f t="shared" si="484"/>
        <v>0</v>
      </c>
      <c r="AI1677">
        <f t="shared" si="485"/>
        <v>0</v>
      </c>
    </row>
    <row r="1678" spans="1:35" x14ac:dyDescent="0.2">
      <c r="A1678">
        <v>553</v>
      </c>
      <c r="B1678" t="s">
        <v>1398</v>
      </c>
      <c r="C1678">
        <v>5</v>
      </c>
      <c r="D1678" t="s">
        <v>1199</v>
      </c>
      <c r="E1678" t="s">
        <v>20</v>
      </c>
      <c r="F1678" t="s">
        <v>39</v>
      </c>
      <c r="G1678" t="s">
        <v>39</v>
      </c>
      <c r="H1678" t="s">
        <v>21</v>
      </c>
      <c r="I1678">
        <v>1</v>
      </c>
      <c r="J1678">
        <v>1</v>
      </c>
      <c r="K1678">
        <v>5000</v>
      </c>
      <c r="L1678" t="s">
        <v>70</v>
      </c>
      <c r="M1678" t="s">
        <v>115</v>
      </c>
      <c r="N1678" t="s">
        <v>215</v>
      </c>
      <c r="O1678" t="s">
        <v>4512</v>
      </c>
      <c r="P1678" t="s">
        <v>4513</v>
      </c>
      <c r="Q1678">
        <f t="shared" si="468"/>
        <v>2</v>
      </c>
      <c r="R1678">
        <f t="shared" si="469"/>
        <v>5</v>
      </c>
      <c r="S1678">
        <f t="shared" si="470"/>
        <v>5</v>
      </c>
      <c r="T1678">
        <f t="shared" si="471"/>
        <v>1</v>
      </c>
      <c r="U1678">
        <v>5000</v>
      </c>
      <c r="V1678">
        <f t="shared" si="472"/>
        <v>0</v>
      </c>
      <c r="W1678">
        <f t="shared" si="473"/>
        <v>0</v>
      </c>
      <c r="X1678">
        <f t="shared" si="474"/>
        <v>0</v>
      </c>
      <c r="Y1678">
        <f t="shared" si="475"/>
        <v>1</v>
      </c>
      <c r="Z1678">
        <f t="shared" si="476"/>
        <v>0</v>
      </c>
      <c r="AA1678">
        <f t="shared" si="477"/>
        <v>0</v>
      </c>
      <c r="AB1678">
        <f t="shared" si="478"/>
        <v>0</v>
      </c>
      <c r="AC1678">
        <f t="shared" si="479"/>
        <v>1</v>
      </c>
      <c r="AD1678">
        <f t="shared" si="480"/>
        <v>0</v>
      </c>
      <c r="AE1678">
        <f t="shared" si="481"/>
        <v>0</v>
      </c>
      <c r="AF1678">
        <f t="shared" si="482"/>
        <v>1</v>
      </c>
      <c r="AG1678">
        <f t="shared" si="483"/>
        <v>0</v>
      </c>
      <c r="AH1678">
        <f t="shared" si="484"/>
        <v>0</v>
      </c>
      <c r="AI1678">
        <f t="shared" si="485"/>
        <v>0</v>
      </c>
    </row>
    <row r="1679" spans="1:35" x14ac:dyDescent="0.2">
      <c r="A1679">
        <v>554</v>
      </c>
      <c r="B1679" t="s">
        <v>1398</v>
      </c>
      <c r="C1679">
        <v>5</v>
      </c>
      <c r="D1679" t="s">
        <v>4514</v>
      </c>
      <c r="E1679" t="s">
        <v>21</v>
      </c>
      <c r="F1679" t="s">
        <v>39</v>
      </c>
      <c r="G1679" t="s">
        <v>39</v>
      </c>
      <c r="H1679" t="s">
        <v>21</v>
      </c>
      <c r="I1679">
        <v>3</v>
      </c>
      <c r="J1679">
        <v>2</v>
      </c>
      <c r="K1679">
        <v>100</v>
      </c>
      <c r="L1679" t="s">
        <v>435</v>
      </c>
      <c r="M1679" t="s">
        <v>48</v>
      </c>
      <c r="N1679" t="s">
        <v>43</v>
      </c>
      <c r="O1679" t="s">
        <v>4402</v>
      </c>
      <c r="P1679" t="s">
        <v>4515</v>
      </c>
      <c r="Q1679">
        <f t="shared" si="468"/>
        <v>1</v>
      </c>
      <c r="R1679">
        <f t="shared" si="469"/>
        <v>5</v>
      </c>
      <c r="S1679">
        <f t="shared" si="470"/>
        <v>5</v>
      </c>
      <c r="T1679">
        <f t="shared" si="471"/>
        <v>1</v>
      </c>
      <c r="U1679">
        <v>100</v>
      </c>
      <c r="V1679">
        <f t="shared" si="472"/>
        <v>1</v>
      </c>
      <c r="W1679">
        <f t="shared" si="473"/>
        <v>0</v>
      </c>
      <c r="X1679">
        <f t="shared" si="474"/>
        <v>0</v>
      </c>
      <c r="Y1679">
        <f t="shared" si="475"/>
        <v>0</v>
      </c>
      <c r="Z1679">
        <f t="shared" si="476"/>
        <v>1</v>
      </c>
      <c r="AA1679">
        <f t="shared" si="477"/>
        <v>1</v>
      </c>
      <c r="AB1679">
        <f t="shared" si="478"/>
        <v>1</v>
      </c>
      <c r="AC1679">
        <f t="shared" si="479"/>
        <v>1</v>
      </c>
      <c r="AD1679">
        <f t="shared" si="480"/>
        <v>0</v>
      </c>
      <c r="AE1679">
        <f t="shared" si="481"/>
        <v>0</v>
      </c>
      <c r="AF1679">
        <f t="shared" si="482"/>
        <v>1</v>
      </c>
      <c r="AG1679">
        <f t="shared" si="483"/>
        <v>1</v>
      </c>
      <c r="AH1679">
        <f t="shared" si="484"/>
        <v>0</v>
      </c>
      <c r="AI1679">
        <f t="shared" si="485"/>
        <v>0</v>
      </c>
    </row>
    <row r="1680" spans="1:35" x14ac:dyDescent="0.2">
      <c r="A1680">
        <v>555</v>
      </c>
      <c r="B1680" t="s">
        <v>1398</v>
      </c>
      <c r="C1680">
        <v>5</v>
      </c>
      <c r="D1680" t="s">
        <v>1130</v>
      </c>
      <c r="E1680" t="s">
        <v>18</v>
      </c>
      <c r="F1680" t="s">
        <v>20</v>
      </c>
      <c r="G1680" t="s">
        <v>39</v>
      </c>
      <c r="H1680" t="s">
        <v>20</v>
      </c>
      <c r="I1680">
        <v>1</v>
      </c>
      <c r="J1680">
        <v>1</v>
      </c>
      <c r="K1680">
        <v>150</v>
      </c>
      <c r="L1680" t="s">
        <v>22</v>
      </c>
      <c r="M1680" t="s">
        <v>35</v>
      </c>
      <c r="N1680" t="s">
        <v>215</v>
      </c>
      <c r="O1680" t="s">
        <v>1419</v>
      </c>
      <c r="P1680" t="s">
        <v>4516</v>
      </c>
      <c r="Q1680">
        <f t="shared" si="468"/>
        <v>4</v>
      </c>
      <c r="R1680">
        <f t="shared" si="469"/>
        <v>2</v>
      </c>
      <c r="S1680">
        <f t="shared" si="470"/>
        <v>5</v>
      </c>
      <c r="T1680">
        <f t="shared" si="471"/>
        <v>2</v>
      </c>
      <c r="U1680">
        <v>150</v>
      </c>
      <c r="V1680">
        <f t="shared" si="472"/>
        <v>1</v>
      </c>
      <c r="W1680">
        <f t="shared" si="473"/>
        <v>0</v>
      </c>
      <c r="X1680">
        <f t="shared" si="474"/>
        <v>0</v>
      </c>
      <c r="Y1680">
        <f t="shared" si="475"/>
        <v>0</v>
      </c>
      <c r="Z1680">
        <f t="shared" si="476"/>
        <v>0</v>
      </c>
      <c r="AA1680">
        <f t="shared" si="477"/>
        <v>0</v>
      </c>
      <c r="AB1680">
        <f t="shared" si="478"/>
        <v>0</v>
      </c>
      <c r="AC1680">
        <f t="shared" si="479"/>
        <v>0</v>
      </c>
      <c r="AD1680">
        <f t="shared" si="480"/>
        <v>1</v>
      </c>
      <c r="AE1680">
        <f t="shared" si="481"/>
        <v>0</v>
      </c>
      <c r="AF1680">
        <f t="shared" si="482"/>
        <v>1</v>
      </c>
      <c r="AG1680">
        <f t="shared" si="483"/>
        <v>0</v>
      </c>
      <c r="AH1680">
        <f t="shared" si="484"/>
        <v>0</v>
      </c>
      <c r="AI1680">
        <f t="shared" si="485"/>
        <v>0</v>
      </c>
    </row>
    <row r="1681" spans="1:35" x14ac:dyDescent="0.2">
      <c r="A1681">
        <v>556</v>
      </c>
      <c r="B1681" t="s">
        <v>1398</v>
      </c>
      <c r="C1681">
        <v>6</v>
      </c>
      <c r="D1681" t="s">
        <v>4517</v>
      </c>
      <c r="E1681" t="s">
        <v>21</v>
      </c>
      <c r="F1681" t="s">
        <v>39</v>
      </c>
      <c r="G1681" t="s">
        <v>18</v>
      </c>
      <c r="H1681" t="s">
        <v>21</v>
      </c>
      <c r="I1681">
        <v>1</v>
      </c>
      <c r="J1681">
        <v>1</v>
      </c>
      <c r="K1681">
        <v>25</v>
      </c>
      <c r="L1681" t="s">
        <v>79</v>
      </c>
      <c r="M1681" t="s">
        <v>154</v>
      </c>
      <c r="N1681" t="s">
        <v>43</v>
      </c>
      <c r="O1681" t="s">
        <v>1419</v>
      </c>
      <c r="P1681" t="s">
        <v>4518</v>
      </c>
      <c r="Q1681">
        <f t="shared" si="468"/>
        <v>1</v>
      </c>
      <c r="R1681">
        <f t="shared" si="469"/>
        <v>5</v>
      </c>
      <c r="S1681">
        <f t="shared" si="470"/>
        <v>4</v>
      </c>
      <c r="T1681">
        <f t="shared" si="471"/>
        <v>1</v>
      </c>
      <c r="U1681">
        <v>25</v>
      </c>
      <c r="V1681">
        <f t="shared" si="472"/>
        <v>0</v>
      </c>
      <c r="W1681">
        <f t="shared" si="473"/>
        <v>1</v>
      </c>
      <c r="X1681">
        <f t="shared" si="474"/>
        <v>0</v>
      </c>
      <c r="Y1681">
        <f t="shared" si="475"/>
        <v>0</v>
      </c>
      <c r="Z1681">
        <f t="shared" si="476"/>
        <v>1</v>
      </c>
      <c r="AA1681">
        <f t="shared" si="477"/>
        <v>1</v>
      </c>
      <c r="AB1681">
        <f t="shared" si="478"/>
        <v>0</v>
      </c>
      <c r="AC1681">
        <f t="shared" si="479"/>
        <v>1</v>
      </c>
      <c r="AD1681">
        <f t="shared" si="480"/>
        <v>0</v>
      </c>
      <c r="AE1681">
        <f t="shared" si="481"/>
        <v>0</v>
      </c>
      <c r="AF1681">
        <f t="shared" si="482"/>
        <v>1</v>
      </c>
      <c r="AG1681">
        <f t="shared" si="483"/>
        <v>1</v>
      </c>
      <c r="AH1681">
        <f t="shared" si="484"/>
        <v>0</v>
      </c>
      <c r="AI1681">
        <f t="shared" si="485"/>
        <v>0</v>
      </c>
    </row>
    <row r="1682" spans="1:35" x14ac:dyDescent="0.2">
      <c r="A1682">
        <v>557</v>
      </c>
      <c r="B1682" t="s">
        <v>1398</v>
      </c>
      <c r="C1682">
        <v>7</v>
      </c>
      <c r="D1682" t="s">
        <v>4519</v>
      </c>
      <c r="E1682" t="s">
        <v>20</v>
      </c>
      <c r="F1682" t="s">
        <v>39</v>
      </c>
      <c r="G1682" t="s">
        <v>39</v>
      </c>
      <c r="H1682" t="s">
        <v>21</v>
      </c>
      <c r="I1682">
        <v>2</v>
      </c>
      <c r="J1682">
        <v>1</v>
      </c>
      <c r="K1682">
        <v>500</v>
      </c>
      <c r="L1682" t="s">
        <v>41</v>
      </c>
      <c r="M1682" t="s">
        <v>42</v>
      </c>
      <c r="N1682" t="s">
        <v>215</v>
      </c>
      <c r="O1682" t="s">
        <v>1893</v>
      </c>
      <c r="P1682" t="s">
        <v>4520</v>
      </c>
      <c r="Q1682">
        <f t="shared" si="468"/>
        <v>2</v>
      </c>
      <c r="R1682">
        <f t="shared" si="469"/>
        <v>5</v>
      </c>
      <c r="S1682">
        <f t="shared" si="470"/>
        <v>5</v>
      </c>
      <c r="T1682">
        <f t="shared" si="471"/>
        <v>1</v>
      </c>
      <c r="U1682">
        <v>500</v>
      </c>
      <c r="V1682">
        <f t="shared" si="472"/>
        <v>0</v>
      </c>
      <c r="W1682">
        <f t="shared" si="473"/>
        <v>0</v>
      </c>
      <c r="X1682">
        <f t="shared" si="474"/>
        <v>0</v>
      </c>
      <c r="Y1682">
        <f t="shared" si="475"/>
        <v>0</v>
      </c>
      <c r="Z1682">
        <f t="shared" si="476"/>
        <v>1</v>
      </c>
      <c r="AA1682">
        <f t="shared" si="477"/>
        <v>0</v>
      </c>
      <c r="AB1682">
        <f t="shared" si="478"/>
        <v>1</v>
      </c>
      <c r="AC1682">
        <f t="shared" si="479"/>
        <v>0</v>
      </c>
      <c r="AD1682">
        <f t="shared" si="480"/>
        <v>0</v>
      </c>
      <c r="AE1682">
        <f t="shared" si="481"/>
        <v>0</v>
      </c>
      <c r="AF1682">
        <f t="shared" si="482"/>
        <v>1</v>
      </c>
      <c r="AG1682">
        <f t="shared" si="483"/>
        <v>0</v>
      </c>
      <c r="AH1682">
        <f t="shared" si="484"/>
        <v>0</v>
      </c>
      <c r="AI1682">
        <f t="shared" si="485"/>
        <v>0</v>
      </c>
    </row>
    <row r="1683" spans="1:35" x14ac:dyDescent="0.2">
      <c r="A1683">
        <v>558</v>
      </c>
      <c r="B1683" t="s">
        <v>1398</v>
      </c>
      <c r="C1683">
        <v>5</v>
      </c>
      <c r="D1683" t="s">
        <v>4521</v>
      </c>
      <c r="E1683" t="s">
        <v>20</v>
      </c>
      <c r="F1683" t="s">
        <v>18</v>
      </c>
      <c r="G1683" t="s">
        <v>18</v>
      </c>
      <c r="H1683" t="s">
        <v>20</v>
      </c>
      <c r="I1683">
        <v>2</v>
      </c>
      <c r="J1683">
        <v>1</v>
      </c>
      <c r="K1683" s="1">
        <v>35</v>
      </c>
      <c r="L1683" t="s">
        <v>494</v>
      </c>
      <c r="M1683" t="s">
        <v>468</v>
      </c>
      <c r="N1683" t="s">
        <v>215</v>
      </c>
      <c r="O1683" t="s">
        <v>4522</v>
      </c>
      <c r="P1683" t="s">
        <v>4523</v>
      </c>
      <c r="Q1683">
        <f t="shared" si="468"/>
        <v>2</v>
      </c>
      <c r="R1683">
        <f t="shared" si="469"/>
        <v>4</v>
      </c>
      <c r="S1683">
        <f t="shared" si="470"/>
        <v>4</v>
      </c>
      <c r="T1683">
        <f t="shared" si="471"/>
        <v>2</v>
      </c>
      <c r="U1683">
        <v>35</v>
      </c>
      <c r="V1683">
        <f t="shared" si="472"/>
        <v>0</v>
      </c>
      <c r="W1683">
        <f t="shared" si="473"/>
        <v>1</v>
      </c>
      <c r="X1683">
        <f t="shared" si="474"/>
        <v>1</v>
      </c>
      <c r="Y1683">
        <f t="shared" si="475"/>
        <v>1</v>
      </c>
      <c r="Z1683">
        <f t="shared" si="476"/>
        <v>1</v>
      </c>
      <c r="AA1683">
        <f t="shared" si="477"/>
        <v>1</v>
      </c>
      <c r="AB1683">
        <f t="shared" si="478"/>
        <v>1</v>
      </c>
      <c r="AC1683">
        <f t="shared" si="479"/>
        <v>1</v>
      </c>
      <c r="AD1683">
        <f t="shared" si="480"/>
        <v>1</v>
      </c>
      <c r="AE1683">
        <f t="shared" si="481"/>
        <v>1</v>
      </c>
      <c r="AF1683">
        <f t="shared" si="482"/>
        <v>1</v>
      </c>
      <c r="AG1683">
        <f t="shared" si="483"/>
        <v>0</v>
      </c>
      <c r="AH1683">
        <f t="shared" si="484"/>
        <v>0</v>
      </c>
      <c r="AI1683">
        <f t="shared" si="485"/>
        <v>0</v>
      </c>
    </row>
    <row r="1684" spans="1:35" x14ac:dyDescent="0.2">
      <c r="A1684">
        <v>559</v>
      </c>
      <c r="B1684" t="s">
        <v>1398</v>
      </c>
      <c r="C1684">
        <v>9</v>
      </c>
      <c r="D1684" t="s">
        <v>4524</v>
      </c>
      <c r="E1684" t="s">
        <v>20</v>
      </c>
      <c r="F1684" t="s">
        <v>39</v>
      </c>
      <c r="G1684" t="s">
        <v>39</v>
      </c>
      <c r="H1684" t="s">
        <v>21</v>
      </c>
      <c r="I1684">
        <v>3</v>
      </c>
      <c r="J1684">
        <v>3</v>
      </c>
      <c r="K1684">
        <v>200</v>
      </c>
      <c r="L1684" t="s">
        <v>714</v>
      </c>
      <c r="M1684" t="s">
        <v>42</v>
      </c>
      <c r="N1684" t="s">
        <v>43</v>
      </c>
      <c r="O1684" t="s">
        <v>1419</v>
      </c>
      <c r="P1684" t="s">
        <v>4525</v>
      </c>
      <c r="Q1684">
        <f t="shared" si="468"/>
        <v>2</v>
      </c>
      <c r="R1684">
        <f t="shared" si="469"/>
        <v>5</v>
      </c>
      <c r="S1684">
        <f t="shared" si="470"/>
        <v>5</v>
      </c>
      <c r="T1684">
        <f t="shared" si="471"/>
        <v>1</v>
      </c>
      <c r="U1684">
        <v>200</v>
      </c>
      <c r="V1684">
        <f t="shared" si="472"/>
        <v>0</v>
      </c>
      <c r="W1684">
        <f t="shared" si="473"/>
        <v>0</v>
      </c>
      <c r="X1684">
        <f t="shared" si="474"/>
        <v>1</v>
      </c>
      <c r="Y1684">
        <f t="shared" si="475"/>
        <v>1</v>
      </c>
      <c r="Z1684">
        <f t="shared" si="476"/>
        <v>1</v>
      </c>
      <c r="AA1684">
        <f t="shared" si="477"/>
        <v>0</v>
      </c>
      <c r="AB1684">
        <f t="shared" si="478"/>
        <v>1</v>
      </c>
      <c r="AC1684">
        <f t="shared" si="479"/>
        <v>0</v>
      </c>
      <c r="AD1684">
        <f t="shared" si="480"/>
        <v>0</v>
      </c>
      <c r="AE1684">
        <f t="shared" si="481"/>
        <v>0</v>
      </c>
      <c r="AF1684">
        <f t="shared" si="482"/>
        <v>1</v>
      </c>
      <c r="AG1684">
        <f t="shared" si="483"/>
        <v>1</v>
      </c>
      <c r="AH1684">
        <f t="shared" si="484"/>
        <v>0</v>
      </c>
      <c r="AI1684">
        <f t="shared" si="485"/>
        <v>0</v>
      </c>
    </row>
    <row r="1685" spans="1:35" x14ac:dyDescent="0.2">
      <c r="A1685">
        <v>560</v>
      </c>
      <c r="B1685" t="s">
        <v>1398</v>
      </c>
      <c r="C1685">
        <v>8</v>
      </c>
      <c r="D1685" t="s">
        <v>4526</v>
      </c>
      <c r="E1685" t="s">
        <v>21</v>
      </c>
      <c r="F1685" t="s">
        <v>39</v>
      </c>
      <c r="G1685" t="s">
        <v>19</v>
      </c>
      <c r="H1685" t="s">
        <v>21</v>
      </c>
      <c r="I1685">
        <v>2</v>
      </c>
      <c r="J1685">
        <v>2</v>
      </c>
      <c r="K1685" t="s">
        <v>4527</v>
      </c>
      <c r="L1685" t="s">
        <v>194</v>
      </c>
      <c r="M1685" t="s">
        <v>123</v>
      </c>
      <c r="N1685" t="s">
        <v>215</v>
      </c>
      <c r="O1685" t="s">
        <v>4528</v>
      </c>
      <c r="P1685" t="s">
        <v>4529</v>
      </c>
      <c r="Q1685">
        <f t="shared" si="468"/>
        <v>1</v>
      </c>
      <c r="R1685">
        <f t="shared" si="469"/>
        <v>5</v>
      </c>
      <c r="S1685">
        <f t="shared" si="470"/>
        <v>3</v>
      </c>
      <c r="T1685">
        <f t="shared" si="471"/>
        <v>1</v>
      </c>
      <c r="U1685">
        <v>200</v>
      </c>
      <c r="V1685">
        <f t="shared" si="472"/>
        <v>0</v>
      </c>
      <c r="W1685">
        <f t="shared" si="473"/>
        <v>0</v>
      </c>
      <c r="X1685">
        <f t="shared" si="474"/>
        <v>0</v>
      </c>
      <c r="Y1685">
        <f t="shared" si="475"/>
        <v>1</v>
      </c>
      <c r="Z1685">
        <f t="shared" si="476"/>
        <v>1</v>
      </c>
      <c r="AA1685">
        <f t="shared" si="477"/>
        <v>0</v>
      </c>
      <c r="AB1685">
        <f t="shared" si="478"/>
        <v>1</v>
      </c>
      <c r="AC1685">
        <f t="shared" si="479"/>
        <v>1</v>
      </c>
      <c r="AD1685">
        <f t="shared" si="480"/>
        <v>0</v>
      </c>
      <c r="AE1685">
        <f t="shared" si="481"/>
        <v>0</v>
      </c>
      <c r="AF1685">
        <f t="shared" si="482"/>
        <v>1</v>
      </c>
      <c r="AG1685">
        <f t="shared" si="483"/>
        <v>0</v>
      </c>
      <c r="AH1685">
        <f t="shared" si="484"/>
        <v>0</v>
      </c>
      <c r="AI1685">
        <f t="shared" si="485"/>
        <v>0</v>
      </c>
    </row>
    <row r="1686" spans="1:35" x14ac:dyDescent="0.2">
      <c r="A1686">
        <v>561</v>
      </c>
      <c r="B1686" t="s">
        <v>1398</v>
      </c>
      <c r="C1686">
        <v>5</v>
      </c>
      <c r="D1686" t="s">
        <v>4530</v>
      </c>
      <c r="E1686" t="s">
        <v>20</v>
      </c>
      <c r="F1686" t="s">
        <v>20</v>
      </c>
      <c r="G1686" t="s">
        <v>18</v>
      </c>
      <c r="H1686" t="s">
        <v>21</v>
      </c>
      <c r="I1686">
        <v>4</v>
      </c>
      <c r="J1686">
        <v>1</v>
      </c>
      <c r="K1686">
        <v>10</v>
      </c>
      <c r="L1686" t="s">
        <v>128</v>
      </c>
      <c r="M1686" t="s">
        <v>468</v>
      </c>
      <c r="N1686" t="s">
        <v>215</v>
      </c>
      <c r="O1686" t="s">
        <v>1698</v>
      </c>
      <c r="P1686" t="s">
        <v>4531</v>
      </c>
      <c r="Q1686">
        <f t="shared" si="468"/>
        <v>2</v>
      </c>
      <c r="R1686">
        <f t="shared" si="469"/>
        <v>2</v>
      </c>
      <c r="S1686">
        <f t="shared" si="470"/>
        <v>4</v>
      </c>
      <c r="T1686">
        <f t="shared" si="471"/>
        <v>1</v>
      </c>
      <c r="U1686">
        <v>10</v>
      </c>
      <c r="V1686">
        <f t="shared" si="472"/>
        <v>1</v>
      </c>
      <c r="W1686">
        <f t="shared" si="473"/>
        <v>0</v>
      </c>
      <c r="X1686">
        <f t="shared" si="474"/>
        <v>1</v>
      </c>
      <c r="Y1686">
        <f t="shared" si="475"/>
        <v>0</v>
      </c>
      <c r="Z1686">
        <f t="shared" si="476"/>
        <v>0</v>
      </c>
      <c r="AA1686">
        <f t="shared" si="477"/>
        <v>1</v>
      </c>
      <c r="AB1686">
        <f t="shared" si="478"/>
        <v>1</v>
      </c>
      <c r="AC1686">
        <f t="shared" si="479"/>
        <v>1</v>
      </c>
      <c r="AD1686">
        <f t="shared" si="480"/>
        <v>1</v>
      </c>
      <c r="AE1686">
        <f t="shared" si="481"/>
        <v>1</v>
      </c>
      <c r="AF1686">
        <f t="shared" si="482"/>
        <v>1</v>
      </c>
      <c r="AG1686">
        <f t="shared" si="483"/>
        <v>0</v>
      </c>
      <c r="AH1686">
        <f t="shared" si="484"/>
        <v>0</v>
      </c>
      <c r="AI1686">
        <f t="shared" si="485"/>
        <v>0</v>
      </c>
    </row>
    <row r="1687" spans="1:35" x14ac:dyDescent="0.2">
      <c r="A1687">
        <v>562</v>
      </c>
      <c r="B1687" t="s">
        <v>1398</v>
      </c>
      <c r="C1687">
        <v>4</v>
      </c>
      <c r="D1687" t="s">
        <v>4532</v>
      </c>
      <c r="E1687" t="s">
        <v>21</v>
      </c>
      <c r="F1687" t="s">
        <v>39</v>
      </c>
      <c r="G1687" t="s">
        <v>39</v>
      </c>
      <c r="H1687" t="s">
        <v>21</v>
      </c>
      <c r="I1687">
        <v>4</v>
      </c>
      <c r="J1687">
        <v>4</v>
      </c>
      <c r="K1687">
        <v>20</v>
      </c>
      <c r="L1687" t="s">
        <v>79</v>
      </c>
      <c r="M1687" t="s">
        <v>48</v>
      </c>
      <c r="N1687" t="s">
        <v>43</v>
      </c>
      <c r="O1687" t="s">
        <v>4533</v>
      </c>
      <c r="P1687" t="s">
        <v>4534</v>
      </c>
      <c r="Q1687">
        <f t="shared" si="468"/>
        <v>1</v>
      </c>
      <c r="R1687">
        <f t="shared" si="469"/>
        <v>5</v>
      </c>
      <c r="S1687">
        <f t="shared" si="470"/>
        <v>5</v>
      </c>
      <c r="T1687">
        <f t="shared" si="471"/>
        <v>1</v>
      </c>
      <c r="U1687">
        <v>20</v>
      </c>
      <c r="V1687">
        <f t="shared" si="472"/>
        <v>0</v>
      </c>
      <c r="W1687">
        <f t="shared" si="473"/>
        <v>1</v>
      </c>
      <c r="X1687">
        <f t="shared" si="474"/>
        <v>0</v>
      </c>
      <c r="Y1687">
        <f t="shared" si="475"/>
        <v>0</v>
      </c>
      <c r="Z1687">
        <f t="shared" si="476"/>
        <v>1</v>
      </c>
      <c r="AA1687">
        <f t="shared" si="477"/>
        <v>1</v>
      </c>
      <c r="AB1687">
        <f t="shared" si="478"/>
        <v>1</v>
      </c>
      <c r="AC1687">
        <f t="shared" si="479"/>
        <v>1</v>
      </c>
      <c r="AD1687">
        <f t="shared" si="480"/>
        <v>0</v>
      </c>
      <c r="AE1687">
        <f t="shared" si="481"/>
        <v>0</v>
      </c>
      <c r="AF1687">
        <f>IF(N1687="", 0, IF(ISNUMBER(SEARCH("Spring", N1687)), 1, 0))</f>
        <v>1</v>
      </c>
      <c r="AG1687">
        <f>IF(N1687="", 0, IF(ISNUMBER(SEARCH("Summer", N1687)), 1, 0))</f>
        <v>1</v>
      </c>
      <c r="AH1687">
        <f>IF(N1687="", 0, IF(ISNUMBER(SEARCH("Fall", N1687)), 1, 0))</f>
        <v>0</v>
      </c>
      <c r="AI1687">
        <f>IF(N1687="", 0, IF(ISNUMBER(SEARCH("Winter", N1687)), 1, 0))</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8A56A-4412-484D-BB21-30E6ABF42CBC}">
  <dimension ref="A1:D43"/>
  <sheetViews>
    <sheetView zoomScale="159" workbookViewId="0">
      <selection activeCell="E11" sqref="E11"/>
    </sheetView>
  </sheetViews>
  <sheetFormatPr baseColWidth="10" defaultRowHeight="16" x14ac:dyDescent="0.2"/>
  <cols>
    <col min="1" max="1" width="36.33203125" style="7" customWidth="1"/>
    <col min="2" max="2" width="29" customWidth="1"/>
    <col min="3" max="3" width="29.1640625" customWidth="1"/>
    <col min="4" max="4" width="27.5" customWidth="1"/>
  </cols>
  <sheetData>
    <row r="1" spans="1:4" x14ac:dyDescent="0.2">
      <c r="B1" s="7" t="s">
        <v>16</v>
      </c>
      <c r="C1" s="7" t="s">
        <v>749</v>
      </c>
      <c r="D1" s="7" t="s">
        <v>1398</v>
      </c>
    </row>
    <row r="2" spans="1:4" x14ac:dyDescent="0.2">
      <c r="A2" s="7" t="s">
        <v>4535</v>
      </c>
      <c r="B2">
        <f>AVERAGEIF(ml_challenge_dataset!B:B, "The Persistence of Memory", ml_challenge_dataset!C:C)</f>
        <v>6.3580586080586077</v>
      </c>
      <c r="C2">
        <f>AVERAGEIF(ml_challenge_dataset!B:B, "The Starry Night", ml_challenge_dataset!C:C)</f>
        <v>6.5262962962962963</v>
      </c>
      <c r="D2">
        <f>AVERAGEIF(ml_challenge_dataset!B:B, "The Water Lily Pond", ml_challenge_dataset!C:C)</f>
        <v>6.0786915887850466</v>
      </c>
    </row>
    <row r="3" spans="1:4" x14ac:dyDescent="0.2">
      <c r="A3" s="7" t="s">
        <v>4536</v>
      </c>
      <c r="B3" cm="1">
        <f t="array" ref="B3">STDEV(IF(ml_challenge_dataset!B:B="The Persistence of Memory", ml_challenge_dataset!C:C))</f>
        <v>2.2217262550150254</v>
      </c>
      <c r="C3" cm="1">
        <f t="array" ref="C3">STDEV(IF(ml_challenge_dataset!B:B="The Starry Night", ml_challenge_dataset!C:C))</f>
        <v>2.5323297888534073</v>
      </c>
      <c r="D3" cm="1">
        <f t="array" ref="D3">STDEV(IF(ml_challenge_dataset!B:B="The Water Lily Pond",ml_challenge_dataset!C:C))</f>
        <v>2.6253358705529797</v>
      </c>
    </row>
    <row r="4" spans="1:4" s="9" customFormat="1" x14ac:dyDescent="0.2">
      <c r="A4" s="8" t="s">
        <v>4537</v>
      </c>
      <c r="B4" s="9">
        <f>AVERAGEIF(ml_challenge_dataset!B:B, "The Persistence of Memory", ml_challenge_dataset!Q:Q)</f>
        <v>3.9079189686924494</v>
      </c>
      <c r="C4" s="9">
        <f>AVERAGEIF(ml_challenge_dataset!B:B, "The Starry Night", ml_challenge_dataset!Q:Q)</f>
        <v>2.7616387337057726</v>
      </c>
      <c r="D4" s="9">
        <f>AVERAGEIF(ml_challenge_dataset!B:B, "The Water Lily Pond", ml_challenge_dataset!Q:Q)</f>
        <v>1.6436567164179106</v>
      </c>
    </row>
    <row r="5" spans="1:4" x14ac:dyDescent="0.2">
      <c r="A5" s="7" t="s">
        <v>4538</v>
      </c>
      <c r="B5" cm="1">
        <f t="array" ref="B5">STDEV(IF(ml_challenge_dataset!B:B="The Persistence of Memory", ml_challenge_dataset!Q:Q))</f>
        <v>0.84978394088694209</v>
      </c>
      <c r="C5" cm="1">
        <f t="array" ref="C5">STDEV(IF(ml_challenge_dataset!B:B="The Starry Night", ml_challenge_dataset!Q:Q))</f>
        <v>1.1714018884091586</v>
      </c>
      <c r="D5" cm="1">
        <f t="array" ref="D5">STDEV(IF(ml_challenge_dataset!B:B="The Water Lily Pond", ml_challenge_dataset!Q:Q))</f>
        <v>1.0184635971690612</v>
      </c>
    </row>
    <row r="6" spans="1:4" s="9" customFormat="1" x14ac:dyDescent="0.2">
      <c r="A6" s="8" t="s">
        <v>4539</v>
      </c>
      <c r="B6" s="9">
        <f>AVERAGEIF(ml_challenge_dataset!B:B, "The Persistence of Memory", ml_challenge_dataset!R:R)</f>
        <v>2.1491712707182322</v>
      </c>
      <c r="C6" s="9">
        <f>AVERAGEIF(ml_challenge_dataset!B:B, "The Starry Night", ml_challenge_dataset!R:R)</f>
        <v>3.6175373134328357</v>
      </c>
      <c r="D6" s="9">
        <f>AVERAGEIF(ml_challenge_dataset!B:B, "The Water Lily Pond", ml_challenge_dataset!R:R)</f>
        <v>4.4074766355140182</v>
      </c>
    </row>
    <row r="7" spans="1:4" x14ac:dyDescent="0.2">
      <c r="A7" s="7" t="s">
        <v>4540</v>
      </c>
      <c r="B7" cm="1">
        <f t="array" ref="B7">STDEV(IF(ml_challenge_dataset!B:B="The Persistence of Memory", ml_challenge_dataset!R:R))</f>
        <v>0.87071791123435816</v>
      </c>
      <c r="C7" cm="1">
        <f t="array" ref="C7">STDEV(IF(ml_challenge_dataset!B:B="The Starry Night", ml_challenge_dataset!R:R))</f>
        <v>0.98264867059395078</v>
      </c>
      <c r="D7" cm="1">
        <f t="array" ref="D7">STDEV(IF(ml_challenge_dataset!B:B="The Water Lily Pond", ml_challenge_dataset!R:R))</f>
        <v>0.77793794156891416</v>
      </c>
    </row>
    <row r="8" spans="1:4" s="9" customFormat="1" x14ac:dyDescent="0.2">
      <c r="A8" s="8" t="s">
        <v>4541</v>
      </c>
      <c r="B8" s="9">
        <f>AVERAGEIF(ml_challenge_dataset!B:B, "The Persistence of Memory", ml_challenge_dataset!S:S)</f>
        <v>2.6464088397790055</v>
      </c>
      <c r="C8" s="9">
        <f>AVERAGEIF(ml_challenge_dataset!B:B, "The Starry Night", ml_challenge_dataset!S:S)</f>
        <v>3.9123134328358211</v>
      </c>
      <c r="D8" s="9">
        <f>AVERAGEIF(ml_challenge_dataset!B:B, "The Water Lily Pond", ml_challenge_dataset!S:S)</f>
        <v>4.4720149253731343</v>
      </c>
    </row>
    <row r="9" spans="1:4" x14ac:dyDescent="0.2">
      <c r="A9" s="7" t="s">
        <v>4542</v>
      </c>
      <c r="B9" cm="1">
        <f t="array" ref="B9">STDEV(IF(ml_challenge_dataset!B:B="The Persistence of Memory", ml_challenge_dataset!S:S))</f>
        <v>1.0345600855189709</v>
      </c>
      <c r="C9" cm="1">
        <f t="array" ref="C9">STDEV(IF(ml_challenge_dataset!B:B="The Starry Night", ml_challenge_dataset!S:S))</f>
        <v>1.0293621392521508</v>
      </c>
      <c r="D9" cm="1">
        <f t="array" ref="D9">STDEV(IF(ml_challenge_dataset!B:B="The Water Lily Pond", ml_challenge_dataset!S:S))</f>
        <v>0.76802967217869311</v>
      </c>
    </row>
    <row r="10" spans="1:4" s="9" customFormat="1" x14ac:dyDescent="0.2">
      <c r="A10" s="8" t="s">
        <v>4543</v>
      </c>
      <c r="B10" s="9">
        <f>AVERAGEIF(ml_challenge_dataset!B:B, "The Persistence of Memory", ml_challenge_dataset!T:T)</f>
        <v>3.8489871086556171</v>
      </c>
      <c r="C10" s="9">
        <f>AVERAGEIF(ml_challenge_dataset!B:B, "The Starry Night", ml_challenge_dataset!T:T)</f>
        <v>2.1063432835820897</v>
      </c>
      <c r="D10" s="9">
        <f>AVERAGEIF(ml_challenge_dataset!B:B, "The Water Lily Pond", ml_challenge_dataset!T:T)</f>
        <v>1.3563432835820894</v>
      </c>
    </row>
    <row r="11" spans="1:4" x14ac:dyDescent="0.2">
      <c r="A11" s="7" t="s">
        <v>4544</v>
      </c>
      <c r="B11" cm="1">
        <f t="array" ref="B11">STDEV(IF(ml_challenge_dataset!B:B="The Persistence of Memory", ml_challenge_dataset!T:T))</f>
        <v>0.96585329548249343</v>
      </c>
      <c r="C11" cm="1">
        <f t="array" ref="C11">STDEV(IF(ml_challenge_dataset!B:B="The Starry Night", ml_challenge_dataset!T:T))</f>
        <v>1.0527564467348187</v>
      </c>
      <c r="D11" cm="1">
        <f t="array" ref="D11">STDEV(IF(ml_challenge_dataset!B:B="The Water Lily Pond", ml_challenge_dataset!T:T))</f>
        <v>0.68486772423083508</v>
      </c>
    </row>
    <row r="12" spans="1:4" s="9" customFormat="1" x14ac:dyDescent="0.2">
      <c r="A12" s="8" t="s">
        <v>4545</v>
      </c>
      <c r="B12" s="9">
        <f>AVERAGEIF(ml_challenge_dataset!B:B, "The Persistence of Memory", ml_challenge_dataset!I:I)</f>
        <v>4.7859778597785976</v>
      </c>
      <c r="C12" s="9">
        <f>AVERAGEIF(ml_challenge_dataset!B:B, "The Starry Night", ml_challenge_dataset!I:I)</f>
        <v>3.8992537313432836</v>
      </c>
      <c r="D12" s="9">
        <f>AVERAGEIF(ml_challenge_dataset!B:B, "The Water Lily Pond", ml_challenge_dataset!I:I)</f>
        <v>2.9363295880149813</v>
      </c>
    </row>
    <row r="13" spans="1:4" x14ac:dyDescent="0.2">
      <c r="A13" s="7" t="s">
        <v>4546</v>
      </c>
      <c r="B13" cm="1">
        <f t="array" ref="B13">STDEV(IF(ml_challenge_dataset!B:B="The Persistence of Memory", ml_challenge_dataset!I:I))</f>
        <v>2.4381775602568236</v>
      </c>
      <c r="C13" s="10" cm="1">
        <f t="array" ref="C13">STDEV(IF(ml_challenge_dataset!B:B="The Starry Night", ml_challenge_dataset!I:I))</f>
        <v>4.7933368917950148</v>
      </c>
      <c r="D13" cm="1">
        <f t="array" ref="D13">STDEV(IF(ml_challenge_dataset!B:B="The Water Lily Pond", ml_challenge_dataset!I:I))</f>
        <v>2.530112479899191</v>
      </c>
    </row>
    <row r="14" spans="1:4" s="9" customFormat="1" x14ac:dyDescent="0.2">
      <c r="A14" s="8" t="s">
        <v>4547</v>
      </c>
      <c r="B14" s="9">
        <f>AVERAGEIF(ml_challenge_dataset!B:B, "The Persistence of Memory", ml_challenge_dataset!J:J)</f>
        <v>5.2643253234750462</v>
      </c>
      <c r="C14" s="9">
        <f>AVERAGEIF(ml_challenge_dataset!B:B, "The Starry Night", ml_challenge_dataset!J:J)</f>
        <v>4.2649253731343286</v>
      </c>
      <c r="D14" s="9">
        <f>AVERAGEIF(ml_challenge_dataset!B:B, "The Water Lily Pond", ml_challenge_dataset!J:J)</f>
        <v>2.3869158878504675</v>
      </c>
    </row>
    <row r="15" spans="1:4" x14ac:dyDescent="0.2">
      <c r="A15" s="7" t="s">
        <v>4548</v>
      </c>
      <c r="B15" cm="1">
        <f t="array" ref="B15">STDEV(IF(ml_challenge_dataset!B:B="The Persistence of Memory", ml_challenge_dataset!J:J))</f>
        <v>2.1233909101217172</v>
      </c>
      <c r="C15" s="10" cm="1">
        <f t="array" ref="C15">STDEV(IF(ml_challenge_dataset!B:B="The Starry Night", ml_challenge_dataset!J:J))</f>
        <v>5.470945882590657</v>
      </c>
      <c r="D15" cm="1">
        <f t="array" ref="D15">STDEV(IF(ml_challenge_dataset!B:B="The Water Lily Pond", ml_challenge_dataset!J:J))</f>
        <v>2.3519806100008367</v>
      </c>
    </row>
    <row r="16" spans="1:4" s="9" customFormat="1" x14ac:dyDescent="0.2">
      <c r="A16" s="8" t="s">
        <v>4556</v>
      </c>
      <c r="B16" s="9">
        <f>AVERAGEIF(ml_challenge_dataset!B:B, "The Persistence of Memory", ml_challenge_dataset!V:V)</f>
        <v>0.26156583629893237</v>
      </c>
      <c r="C16" s="9">
        <f>AVERAGEIF(ml_challenge_dataset!B:B, "The Starry Night", ml_challenge_dataset!V:V)</f>
        <v>0.1708185053380783</v>
      </c>
      <c r="D16" s="9">
        <f>AVERAGEIF(ml_challenge_dataset!B:B, "The Water Lily Pond", ml_challenge_dataset!V:V)</f>
        <v>0.29359430604982206</v>
      </c>
    </row>
    <row r="17" spans="1:4" x14ac:dyDescent="0.2">
      <c r="A17" s="7" t="s">
        <v>4557</v>
      </c>
      <c r="B17" cm="1">
        <f t="array" ref="B17">STDEV(IF(ml_challenge_dataset!B:B="The Persistence of Memory", ml_challenge_dataset!V:V))</f>
        <v>0.43987889693011062</v>
      </c>
      <c r="C17" cm="1">
        <f t="array" ref="C17">STDEV(IF(ml_challenge_dataset!B:B="The Starry Night", ml_challenge_dataset!V:V))</f>
        <v>0.37668557242998618</v>
      </c>
      <c r="D17" cm="1">
        <f t="array" ref="D17">STDEV(IF(ml_challenge_dataset!B:B="The Water Lily Pond", ml_challenge_dataset!V:V))</f>
        <v>0.45581397584275735</v>
      </c>
    </row>
    <row r="18" spans="1:4" s="9" customFormat="1" x14ac:dyDescent="0.2">
      <c r="A18" s="8" t="s">
        <v>4558</v>
      </c>
      <c r="B18" s="9">
        <f>AVERAGEIF(ml_challenge_dataset!B:B, "The Persistence of Memory", ml_challenge_dataset!W:W)</f>
        <v>0.14234875444839859</v>
      </c>
      <c r="C18" s="9">
        <f>AVERAGEIF(ml_challenge_dataset!B:B, "The Starry Night", ml_challenge_dataset!W:W)</f>
        <v>0.31138790035587188</v>
      </c>
      <c r="D18" s="9">
        <f>AVERAGEIF(ml_challenge_dataset!B:B, "The Water Lily Pond", ml_challenge_dataset!W:W)</f>
        <v>0.39857651245551601</v>
      </c>
    </row>
    <row r="19" spans="1:4" x14ac:dyDescent="0.2">
      <c r="A19" s="7" t="s">
        <v>4559</v>
      </c>
      <c r="B19" cm="1">
        <f t="array" ref="B19">STDEV(IF(ml_challenge_dataset!B:B="The Persistence of Memory", ml_challenge_dataset!W:W))</f>
        <v>0.34971875546186681</v>
      </c>
      <c r="C19" cm="1">
        <f t="array" ref="C19">STDEV(IF(ml_challenge_dataset!B:B="The Starry Night", ml_challenge_dataset!W:W))</f>
        <v>0.46347351161357608</v>
      </c>
      <c r="D19" cm="1">
        <f t="array" ref="D19">STDEV(IF(ml_challenge_dataset!B:B="The Water Lily Pond", ml_challenge_dataset!W:W))</f>
        <v>0.49004139882950859</v>
      </c>
    </row>
    <row r="20" spans="1:4" s="9" customFormat="1" x14ac:dyDescent="0.2">
      <c r="A20" s="8" t="s">
        <v>4554</v>
      </c>
      <c r="B20" s="9">
        <f>AVERAGEIF(ml_challenge_dataset!B:B, "The Persistence of Memory", ml_challenge_dataset!X:X)</f>
        <v>0.49644128113879005</v>
      </c>
      <c r="C20" s="9">
        <f>AVERAGEIF(ml_challenge_dataset!B:B, "The Starry Night", ml_challenge_dataset!X:X)</f>
        <v>0.29893238434163699</v>
      </c>
      <c r="D20" s="9">
        <f>AVERAGEIF(ml_challenge_dataset!B:B, "The Water Lily Pond", ml_challenge_dataset!X:X)</f>
        <v>0.32562277580071175</v>
      </c>
    </row>
    <row r="21" spans="1:4" x14ac:dyDescent="0.2">
      <c r="A21" s="7" t="s">
        <v>4555</v>
      </c>
      <c r="B21" cm="1">
        <f t="array" ref="B21">STDEV(IF(ml_challenge_dataset!B:B="The Persistence of Memory", ml_challenge_dataset!X:X))</f>
        <v>0.50043275846392221</v>
      </c>
      <c r="C21" cm="1">
        <f t="array" ref="C21">STDEV(IF(ml_challenge_dataset!B:B="The Starry Night", ml_challenge_dataset!X:X))</f>
        <v>0.45819797274676194</v>
      </c>
      <c r="D21" cm="1">
        <f t="array" ref="D21">STDEV(IF(ml_challenge_dataset!B:B="The Water Lily Pond", ml_challenge_dataset!X:X))</f>
        <v>0.46902453487104251</v>
      </c>
    </row>
    <row r="22" spans="1:4" s="9" customFormat="1" x14ac:dyDescent="0.2">
      <c r="A22" s="8" t="s">
        <v>4560</v>
      </c>
      <c r="B22" s="9">
        <f>AVERAGEIF(ml_challenge_dataset!B:B, "The Persistence of Memory", ml_challenge_dataset!Y:Y)</f>
        <v>0.10320284697508897</v>
      </c>
      <c r="C22" s="9">
        <f>AVERAGEIF(ml_challenge_dataset!B:B, "The Starry Night", ml_challenge_dataset!Y:Y)</f>
        <v>0.59786476868327398</v>
      </c>
      <c r="D22" s="9">
        <f>AVERAGEIF(ml_challenge_dataset!B:B, "The Water Lily Pond", ml_challenge_dataset!Y:Y)</f>
        <v>0.47864768683274023</v>
      </c>
    </row>
    <row r="23" spans="1:4" x14ac:dyDescent="0.2">
      <c r="A23" s="7" t="s">
        <v>4561</v>
      </c>
      <c r="B23" cm="1">
        <f t="array" ref="B23">STDEV(IF(ml_challenge_dataset!B:B="The Persistence of Memory", ml_challenge_dataset!Y:Y))</f>
        <v>0.30449465711718843</v>
      </c>
      <c r="C23" cm="1">
        <f t="array" ref="C23">STDEV(IF(ml_challenge_dataset!B:B="The Starry Night", ml_challenge_dataset!Y:Y))</f>
        <v>0.49076577675460126</v>
      </c>
      <c r="D23" cm="1">
        <f t="array" ref="D23">STDEV(IF(ml_challenge_dataset!B:B="The Water Lily Pond", ml_challenge_dataset!Y:Y))</f>
        <v>0.499988898703843</v>
      </c>
    </row>
    <row r="24" spans="1:4" s="9" customFormat="1" x14ac:dyDescent="0.2">
      <c r="A24" s="8" t="s">
        <v>4562</v>
      </c>
      <c r="B24" s="9">
        <f>AVERAGEIF(ml_challenge_dataset!B:B, "The Persistence of Memory", ml_challenge_dataset!Z:Z)</f>
        <v>0.31494661921708184</v>
      </c>
      <c r="C24" s="9">
        <f>AVERAGEIF(ml_challenge_dataset!B:B, "The Starry Night", ml_challenge_dataset!Z:Z)</f>
        <v>0.55871886120996439</v>
      </c>
      <c r="D24" s="9">
        <f>AVERAGEIF(ml_challenge_dataset!B:B, "The Water Lily Pond", ml_challenge_dataset!Z:Z)</f>
        <v>0.6708185053380783</v>
      </c>
    </row>
    <row r="25" spans="1:4" x14ac:dyDescent="0.2">
      <c r="A25" s="7" t="s">
        <v>4563</v>
      </c>
      <c r="B25" cm="1">
        <f t="array" ref="B25">STDEV(IF(ml_challenge_dataset!B:B="The Persistence of Memory", ml_challenge_dataset!Z:Z))</f>
        <v>0.46490841755942125</v>
      </c>
      <c r="C25" cm="1">
        <f t="array" ref="C25">STDEV(IF(ml_challenge_dataset!B:B="The Starry Night", ml_challenge_dataset!Z:Z))</f>
        <v>0.49698247669225148</v>
      </c>
      <c r="D25" cm="1">
        <f t="array" ref="D25">STDEV(IF(ml_challenge_dataset!B:B="The Water Lily Pond", ml_challenge_dataset!Z:Z))</f>
        <v>0.47033462409551985</v>
      </c>
    </row>
    <row r="26" spans="1:4" x14ac:dyDescent="0.2">
      <c r="A26" s="7" t="s">
        <v>4565</v>
      </c>
      <c r="B26">
        <f>AVERAGEIF(ml_challenge_dataset!B:B, "The Persistence of Memory", ml_challenge_dataset!AA:AA)</f>
        <v>0.65658362989323849</v>
      </c>
      <c r="C26">
        <f>AVERAGEIF(ml_challenge_dataset!B:B, "The Starry Night", ml_challenge_dataset!AA:AA)</f>
        <v>0.54092526690391463</v>
      </c>
      <c r="D26">
        <f>AVERAGEIF(ml_challenge_dataset!B:B, "The Water Lily Pond", ml_challenge_dataset!AA:AA)</f>
        <v>0.50889679715302494</v>
      </c>
    </row>
    <row r="27" spans="1:4" x14ac:dyDescent="0.2">
      <c r="A27" s="7" t="s">
        <v>4566</v>
      </c>
      <c r="B27" cm="1">
        <f t="array" ref="B27">STDEV(IF(ml_challenge_dataset!B:B="The Persistence of Memory", ml_challenge_dataset!AA:AA))</f>
        <v>0.47527202187390033</v>
      </c>
      <c r="C27" cm="1">
        <f t="array" ref="C27">STDEV(IF(ml_challenge_dataset!B:B="The Starry Night", ml_challenge_dataset!AA:AA))</f>
        <v>0.498766247661245</v>
      </c>
      <c r="D27" cm="1">
        <f t="array" ref="D27">STDEV(IF(ml_challenge_dataset!B:B="The Water Lily Pond", ml_challenge_dataset!AA:AA))</f>
        <v>0.50036620460049164</v>
      </c>
    </row>
    <row r="28" spans="1:4" x14ac:dyDescent="0.2">
      <c r="A28" s="7" t="s">
        <v>4567</v>
      </c>
      <c r="B28">
        <f>AVERAGEIF(ml_challenge_dataset!B:B, "The Persistence of Memory", ml_challenge_dataset!AB:AB)</f>
        <v>0.3487544483985765</v>
      </c>
      <c r="C28">
        <f>AVERAGEIF(ml_challenge_dataset!B:B, "The Starry Night", ml_challenge_dataset!AB:AB)</f>
        <v>0.64234875444839856</v>
      </c>
      <c r="D28">
        <f>AVERAGEIF(ml_challenge_dataset!B:B, "The Water Lily Pond", ml_challenge_dataset!AB:AB)</f>
        <v>0.62989323843416367</v>
      </c>
    </row>
    <row r="29" spans="1:4" x14ac:dyDescent="0.2">
      <c r="A29" s="7" t="s">
        <v>4568</v>
      </c>
      <c r="B29" cm="1">
        <f t="array" ref="B29">STDEV(IF(ml_challenge_dataset!B:B="The Persistence of Memory", ml_challenge_dataset!AB:AB))</f>
        <v>0.47700067099710836</v>
      </c>
      <c r="C29" cm="1">
        <f t="array" ref="C29">STDEV(IF(ml_challenge_dataset!B:B="The Starry Night", ml_challenge_dataset!AB:AB))</f>
        <v>0.47973570346254085</v>
      </c>
      <c r="D29" cm="1">
        <f t="array" ref="D29">STDEV(IF(ml_challenge_dataset!B:B="The Water Lily Pond", ml_challenge_dataset!AB:AB))</f>
        <v>0.48326318304798693</v>
      </c>
    </row>
    <row r="30" spans="1:4" s="9" customFormat="1" x14ac:dyDescent="0.2">
      <c r="A30" s="8" t="s">
        <v>4569</v>
      </c>
      <c r="B30" s="9">
        <f>AVERAGEIF(ml_challenge_dataset!B:B, "The Persistence of Memory", ml_challenge_dataset!AC:AC)</f>
        <v>0.20640569395017794</v>
      </c>
      <c r="C30" s="9">
        <f>AVERAGEIF(ml_challenge_dataset!B:B, "The Starry Night", ml_challenge_dataset!AC:AC)</f>
        <v>0.61387900355871883</v>
      </c>
      <c r="D30" s="9">
        <f>AVERAGEIF(ml_challenge_dataset!B:B, "The Water Lily Pond", ml_challenge_dataset!AC:AC)</f>
        <v>0.69039145907473309</v>
      </c>
    </row>
    <row r="31" spans="1:4" x14ac:dyDescent="0.2">
      <c r="A31" s="7" t="s">
        <v>4570</v>
      </c>
      <c r="B31" cm="1">
        <f t="array" ref="B31">STDEV(IF(ml_challenge_dataset!B:B="The Persistence of Memory", ml_challenge_dataset!AC:AC))</f>
        <v>0.40508562837174589</v>
      </c>
      <c r="C31" cm="1">
        <f t="array" ref="C31">STDEV(IF(ml_challenge_dataset!B:B="The Starry Night", ml_challenge_dataset!AC:AC))</f>
        <v>0.48729261098499527</v>
      </c>
      <c r="D31" cm="1">
        <f t="array" ref="D31">STDEV(IF(ml_challenge_dataset!B:B="The Water Lily Pond", ml_challenge_dataset!AC:AC))</f>
        <v>0.46274410887795653</v>
      </c>
    </row>
    <row r="32" spans="1:4" s="9" customFormat="1" x14ac:dyDescent="0.2">
      <c r="A32" s="8" t="s">
        <v>4571</v>
      </c>
      <c r="B32" s="9">
        <f>AVERAGEIF(ml_challenge_dataset!B:B, "The Persistence of Memory", ml_challenge_dataset!AD:AD)</f>
        <v>0.1512455516014235</v>
      </c>
      <c r="C32" s="9">
        <f>AVERAGEIF(ml_challenge_dataset!B:B, "The Starry Night", ml_challenge_dataset!AD:AD)</f>
        <v>0.27402135231316727</v>
      </c>
      <c r="D32" s="9">
        <f>AVERAGEIF(ml_challenge_dataset!B:B, "The Water Lily Pond", ml_challenge_dataset!AD:AD)</f>
        <v>0.27046263345195731</v>
      </c>
    </row>
    <row r="33" spans="1:4" x14ac:dyDescent="0.2">
      <c r="A33" s="7" t="s">
        <v>4572</v>
      </c>
      <c r="B33" cm="1">
        <f t="array" ref="B33">STDEV(IF(ml_challenge_dataset!B:B="The Persistence of Memory", ml_challenge_dataset!AD:AD))</f>
        <v>0.35860724873915917</v>
      </c>
      <c r="C33" cm="1">
        <f t="array" ref="C33">STDEV(IF(ml_challenge_dataset!B:B="The Starry Night", ml_challenge_dataset!AD:AD))</f>
        <v>0.44641713254282478</v>
      </c>
      <c r="D33" cm="1">
        <f t="array" ref="D33">STDEV(IF(ml_challenge_dataset!B:B="The Water Lily Pond", ml_challenge_dataset!AD:AD))</f>
        <v>0.44459454924459885</v>
      </c>
    </row>
    <row r="34" spans="1:4" x14ac:dyDescent="0.2">
      <c r="A34" s="7" t="s">
        <v>4573</v>
      </c>
      <c r="B34">
        <f>AVERAGEIF(ml_challenge_dataset!B:B, "The Persistence of Memory", ml_challenge_dataset!AE:AE)</f>
        <v>0.22241992882562278</v>
      </c>
      <c r="C34">
        <f>AVERAGEIF(ml_challenge_dataset!B:B, "The Starry Night", ml_challenge_dataset!AE:AE)</f>
        <v>0.22597864768683273</v>
      </c>
      <c r="D34">
        <f>AVERAGEIF(ml_challenge_dataset!B:B, "The Water Lily Pond", ml_challenge_dataset!AE:AE)</f>
        <v>0.20996441281138789</v>
      </c>
    </row>
    <row r="35" spans="1:4" x14ac:dyDescent="0.2">
      <c r="A35" s="7" t="s">
        <v>4574</v>
      </c>
      <c r="B35" cm="1">
        <f t="array" ref="B35">STDEV(IF(ml_challenge_dataset!B:B="The Persistence of Memory", ml_challenge_dataset!AE:AE))</f>
        <v>0.41624222709426567</v>
      </c>
      <c r="C35" cm="1">
        <f t="array" ref="C35">STDEV(IF(ml_challenge_dataset!B:B="The Starry Night", ml_challenge_dataset!AE:AE))</f>
        <v>0.41859776051092695</v>
      </c>
      <c r="D35" cm="1">
        <f t="array" ref="D35">STDEV(IF(ml_challenge_dataset!B:B="The Water Lily Pond", ml_challenge_dataset!AE:AE))</f>
        <v>0.40764573258477071</v>
      </c>
    </row>
    <row r="36" spans="1:4" s="9" customFormat="1" x14ac:dyDescent="0.2">
      <c r="A36" s="8" t="s">
        <v>4575</v>
      </c>
      <c r="B36" s="9">
        <f>AVERAGEIF(ml_challenge_dataset!B:B, "The Persistence of Memory", ml_challenge_dataset!AF:AF)</f>
        <v>8.0071174377224205E-2</v>
      </c>
      <c r="C36" s="9">
        <f>AVERAGEIF(ml_challenge_dataset!B:B, "The Starry Night", ml_challenge_dataset!AF:AF)</f>
        <v>0.20462633451957296</v>
      </c>
      <c r="D36" s="9">
        <f>AVERAGEIF(ml_challenge_dataset!B:B, "The Water Lily Pond", ml_challenge_dataset!AF:AF)</f>
        <v>0.802491103202847</v>
      </c>
    </row>
    <row r="37" spans="1:4" x14ac:dyDescent="0.2">
      <c r="A37" s="7" t="s">
        <v>4576</v>
      </c>
      <c r="B37" cm="1">
        <f t="array" ref="B37">STDEV(IF(ml_challenge_dataset!B:B="The Persistence of Memory", ml_challenge_dataset!AF:AF))</f>
        <v>0.27164514033791698</v>
      </c>
      <c r="C37" cm="1">
        <f t="array" ref="C37">STDEV(IF(ml_challenge_dataset!B:B="The Starry Night", ml_challenge_dataset!AF:AF))</f>
        <v>0.4037877072567197</v>
      </c>
      <c r="D37" cm="1">
        <f t="array" ref="D37">STDEV(IF(ml_challenge_dataset!B:B="The Water Lily Pond", ml_challenge_dataset!AF:AF))</f>
        <v>0.39847416745762154</v>
      </c>
    </row>
    <row r="38" spans="1:4" s="9" customFormat="1" x14ac:dyDescent="0.2">
      <c r="A38" s="8" t="s">
        <v>4577</v>
      </c>
      <c r="B38" s="9">
        <f>AVERAGEIF(ml_challenge_dataset!B:B, "The Persistence of Memory", ml_challenge_dataset!AG:AG)</f>
        <v>0.26868327402135234</v>
      </c>
      <c r="C38" s="9">
        <f>AVERAGEIF(ml_challenge_dataset!B:B, "The Starry Night", ml_challenge_dataset!AG:AG)</f>
        <v>0.37010676156583627</v>
      </c>
      <c r="D38" s="9">
        <f>AVERAGEIF(ml_challenge_dataset!B:B, "The Water Lily Pond", ml_challenge_dataset!AG:AG)</f>
        <v>0.53202846975088969</v>
      </c>
    </row>
    <row r="39" spans="1:4" x14ac:dyDescent="0.2">
      <c r="A39" s="7" t="s">
        <v>4578</v>
      </c>
      <c r="B39" cm="1">
        <f t="array" ref="B39">STDEV(IF(ml_challenge_dataset!B:B="The Persistence of Memory", ml_challenge_dataset!AG:AG))</f>
        <v>0.44366972673607136</v>
      </c>
      <c r="C39" cm="1">
        <f t="array" ref="C39">STDEV(IF(ml_challenge_dataset!B:B="The Starry Night", ml_challenge_dataset!AG:AG))</f>
        <v>0.48326318304798693</v>
      </c>
      <c r="D39" cm="1">
        <f t="array" ref="D39">STDEV(IF(ml_challenge_dataset!B:B="The Water Lily Pond", ml_challenge_dataset!AG:AG))</f>
        <v>0.49941764222213508</v>
      </c>
    </row>
    <row r="40" spans="1:4" s="9" customFormat="1" x14ac:dyDescent="0.2">
      <c r="A40" s="8" t="s">
        <v>4579</v>
      </c>
      <c r="B40" s="9">
        <f>AVERAGEIF(ml_challenge_dataset!B:B, "The Persistence of Memory", ml_challenge_dataset!AH:AH)</f>
        <v>0.58540925266903909</v>
      </c>
      <c r="C40" s="9">
        <f>AVERAGEIF(ml_challenge_dataset!B:B, "The Starry Night", ml_challenge_dataset!AH:AH)</f>
        <v>0.17615658362989323</v>
      </c>
      <c r="D40" s="9">
        <f>AVERAGEIF(ml_challenge_dataset!B:B, "The Water Lily Pond", ml_challenge_dataset!AH:AH)</f>
        <v>2.1352313167259787E-2</v>
      </c>
    </row>
    <row r="41" spans="1:4" x14ac:dyDescent="0.2">
      <c r="A41" s="7" t="s">
        <v>4580</v>
      </c>
      <c r="B41" cm="1">
        <f t="array" ref="B41">STDEV(IF(ml_challenge_dataset!B:B="The Persistence of Memory", ml_challenge_dataset!AH:AH))</f>
        <v>0.49309014313277338</v>
      </c>
      <c r="C41" cm="1">
        <f t="array" ref="C41">STDEV(IF(ml_challenge_dataset!B:B="The Starry Night", ml_challenge_dataset!AH:AH))</f>
        <v>0.38129271210004401</v>
      </c>
      <c r="D41" s="9" cm="1">
        <f t="array" ref="D41">STDEV(IF(ml_challenge_dataset!B:B="The Water Lily Pond", ml_challenge_dataset!AH:AH))</f>
        <v>0.14468462378586958</v>
      </c>
    </row>
    <row r="42" spans="1:4" s="9" customFormat="1" x14ac:dyDescent="0.2">
      <c r="A42" s="8" t="s">
        <v>4581</v>
      </c>
      <c r="B42" s="9">
        <f>AVERAGEIF(ml_challenge_dataset!B:B, "The Persistence of Memory", ml_challenge_dataset!AI:AI)</f>
        <v>0.19750889679715303</v>
      </c>
      <c r="C42" s="9">
        <f>AVERAGEIF(ml_challenge_dataset!B:B, "The Starry Night", ml_challenge_dataset!AI:AI)</f>
        <v>0.52135231316725983</v>
      </c>
      <c r="D42" s="9">
        <f>AVERAGEIF(ml_challenge_dataset!B:B, "The Water Lily Pond", ml_challenge_dataset!AI:AI)</f>
        <v>1.7793594306049821E-3</v>
      </c>
    </row>
    <row r="43" spans="1:4" x14ac:dyDescent="0.2">
      <c r="A43" s="7" t="s">
        <v>4582</v>
      </c>
      <c r="B43" cm="1">
        <f t="array" ref="B43">STDEV(IF(ml_challenge_dataset!B:B="The Persistence of Memory", ml_challenge_dataset!AI:AI))</f>
        <v>0.39847416745762149</v>
      </c>
      <c r="C43" cm="1">
        <f t="array" ref="C43">STDEV(IF(ml_challenge_dataset!B:B="The Starry Night", ml_challenge_dataset!AI:AI))</f>
        <v>0.499988898703843</v>
      </c>
      <c r="D43" s="9" cm="1">
        <f t="array" ref="D43">STDEV(IF(ml_challenge_dataset!B:B="The Water Lily Pond", ml_challenge_dataset!AI:AI))</f>
        <v>4.218245406095978E-2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ml_challenge_dataset</vt:lpstr>
      <vt:lpstr>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2026-03-05T17:58:33Z</dcterms:created>
  <dcterms:modified xsi:type="dcterms:W3CDTF">2026-03-05T18:00:51Z</dcterms:modified>
</cp:coreProperties>
</file>